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Методика" sheetId="1" state="visible" r:id="rId1"/>
    <sheet name="Дашборд" sheetId="2" state="visible" r:id="rId2"/>
    <sheet name="Параметры" sheetId="3" state="visible" r:id="rId3"/>
    <sheet name="Ввод данных" sheetId="4" state="visible" r:id="rId4"/>
    <sheet name="Поставщик 1" sheetId="5" state="visible" r:id="rId5"/>
    <sheet name="Поставщик 2" sheetId="6" state="visible" r:id="rId6"/>
    <sheet name="Поставщик 3" sheetId="7" state="visible" r:id="rId7"/>
    <sheet name="Поставщик 4" sheetId="8" state="visible" r:id="rId8"/>
    <sheet name="Поставщик 5" sheetId="9" state="visible" r:id="rId9"/>
    <sheet name="Данные по годам" sheetId="10" state="visible" r:id="rId10"/>
    <sheet name="Производительность" sheetId="11" state="visible" r:id="rId11"/>
    <sheet name="Денежный поток" sheetId="12" state="visible" r:id="rId12"/>
    <sheet name="Расчёт аннуитета" sheetId="13" state="visible" r:id="rId13"/>
    <sheet name="Сравнение" sheetId="14" state="visible" r:id="rId14"/>
    <sheet name="Аналитика" sheetId="15" state="visible" r:id="rId15"/>
    <sheet name="Чувствительность" sheetId="16" state="visible" r:id="rId16"/>
    <sheet name="Справочник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20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FFFFFF"/>
      <sz val="10"/>
    </font>
    <font>
      <b val="1"/>
      <color rgb="00FFFFFF"/>
      <sz val="11"/>
    </font>
    <font>
      <b val="1"/>
      <color rgb="001F3864"/>
      <sz val="9"/>
    </font>
    <font>
      <sz val="10"/>
    </font>
    <font>
      <b val="1"/>
      <sz val="10"/>
    </font>
    <font>
      <i val="1"/>
      <color rgb="00808080"/>
      <sz val="8"/>
    </font>
    <font>
      <b val="1"/>
      <color rgb="001F3864"/>
      <sz val="10"/>
    </font>
    <font>
      <b val="1"/>
      <color rgb="00C55A11"/>
      <sz val="9"/>
    </font>
    <font>
      <b val="1"/>
      <color rgb="001F3864"/>
    </font>
    <font>
      <i val="1"/>
      <color rgb="00808080"/>
      <sz val="9"/>
    </font>
    <font>
      <i val="1"/>
      <color rgb="00C55A11"/>
      <sz val="9"/>
    </font>
    <font>
      <b val="1"/>
      <color rgb="001F3864"/>
      <sz val="12"/>
    </font>
    <font>
      <b val="1"/>
      <color rgb="00006100"/>
      <sz val="12"/>
    </font>
    <font>
      <b val="1"/>
      <color rgb="00FFFFFF"/>
      <sz val="9"/>
    </font>
    <font>
      <b val="1"/>
      <color rgb="001F3864"/>
      <sz val="14"/>
    </font>
    <font>
      <b val="1"/>
      <color rgb="00006100"/>
    </font>
    <font>
      <b val="1"/>
      <color rgb="00C55A11"/>
    </font>
    <font>
      <b val="1"/>
      <color rgb="00006100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DCE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0" fontId="0" fillId="6" borderId="1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center" vertical="center" wrapText="1"/>
    </xf>
    <xf numFmtId="3" fontId="16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4" fontId="6" fillId="8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6" fontId="8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4" fontId="8" fillId="6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165" fontId="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4" fillId="4" borderId="1" pivotButton="0" quotePrefix="0" xfId="0"/>
    <xf numFmtId="0" fontId="19" fillId="8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8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4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руб/пог.м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'Сравнение'!$D$4:$H$4</f>
            </numRef>
          </cat>
          <val>
            <numRef>
              <f>'Сравнение'!$D$12:$H$12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Траектория аннуитета по годам, руб/пог.м</a:t>
            </a:r>
          </a:p>
        </rich>
      </tx>
    </title>
    <plotArea>
      <lineChart>
        <grouping val="standard"/>
        <ser>
          <idx val="0"/>
          <order val="0"/>
          <tx>
            <strRef>
              <f>'Ввод данных'!D$7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поток'!$E$29:$N$29</f>
            </numRef>
          </val>
        </ser>
        <ser>
          <idx val="1"/>
          <order val="1"/>
          <tx>
            <strRef>
              <f>'Ввод данных'!E$7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поток'!$E$52:$N$52</f>
            </numRef>
          </val>
        </ser>
        <ser>
          <idx val="2"/>
          <order val="2"/>
          <tx>
            <strRef>
              <f>'Ввод данных'!F$7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поток'!$E$75:$N$75</f>
            </numRef>
          </val>
        </ser>
        <ser>
          <idx val="3"/>
          <order val="3"/>
          <tx>
            <strRef>
              <f>'Ввод данных'!G$7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поток'!$E$98:$N$98</f>
            </numRef>
          </val>
        </ser>
        <ser>
          <idx val="4"/>
          <order val="4"/>
          <tx>
            <strRef>
              <f>'Ввод данных'!H$7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поток'!$E$121:$N$121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Год эксплуатации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аннуитета, руб/пог.м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'Сравнение'!$B$22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'Сравнение'!$D$22:$H$22</f>
            </numRef>
          </val>
        </ser>
        <ser>
          <idx val="1"/>
          <order val="1"/>
          <tx>
            <strRef>
              <f>'Сравнение'!$B$23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'Сравнение'!$D$23:$H$23</f>
            </numRef>
          </val>
        </ser>
        <ser>
          <idx val="2"/>
          <order val="2"/>
          <tx>
            <strRef>
              <f>'Сравнение'!$B$24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'Сравнение'!$D$24:$H$24</f>
            </numRef>
          </val>
        </ser>
        <ser>
          <idx val="3"/>
          <order val="3"/>
          <tx>
            <strRef>
              <f>'Сравнение'!$B$25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'Сравнение'!$D$25:$H$25</f>
            </numRef>
          </val>
        </ser>
        <ser>
          <idx val="4"/>
          <order val="4"/>
          <tx>
            <strRef>
              <f>'Сравнение'!$B$26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'Сравнение'!$D$26:$H$26</f>
            </numRef>
          </val>
        </ser>
        <ser>
          <idx val="5"/>
          <order val="5"/>
          <tx>
            <strRef>
              <f>'Сравнение'!$B$27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'Сравнение'!$D$27:$H$27</f>
            </numRef>
          </val>
        </ser>
        <ser>
          <idx val="6"/>
          <order val="6"/>
          <tx>
            <strRef>
              <f>'Сравнение'!$B$28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'Сравнение'!$D$28:$H$28</f>
            </numRef>
          </val>
        </ser>
        <ser>
          <idx val="7"/>
          <order val="7"/>
          <tx>
            <strRef>
              <f>'Сравнение'!$B$29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'Сравнение'!$D$29:$H$29</f>
            </numRef>
          </val>
        </ser>
        <ser>
          <idx val="8"/>
          <order val="8"/>
          <tx>
            <strRef>
              <f>'Сравнение'!$B$30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'Сравнение'!$D$30:$H$30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руб/пог.м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'Сравнение'!$D$4:$H$4</f>
            </numRef>
          </cat>
          <val>
            <numRef>
              <f>'Сравнение'!$D$12:$H$12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Стоимость станка, тыс.руб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'Сравнение'!$D$4:$H$4</f>
            </numRef>
          </cat>
          <val>
            <numRef>
              <f>'Сравнение'!$D$5:$H$5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Аннуитет vs производительность</a:t>
            </a:r>
          </a:p>
        </rich>
      </tx>
    </title>
    <plotArea>
      <scatterChart>
        <ser>
          <idx val="0"/>
          <order val="0"/>
          <tx>
            <v>варианты</v>
          </tx>
          <spPr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'Аналитика'!$D$7:$H$7</f>
            </numRef>
          </xVal>
          <yVal>
            <numRef>
              <f>'Аналитика'!$D$9:$H$9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Годовой объём бурения, тыс.пог.м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Аннуитет, руб/пог.м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Диапазон риска аннуитета, руб/пог.м</a:t>
            </a:r>
          </a:p>
        </rich>
      </tx>
    </title>
    <plotArea>
      <barChart>
        <barDir val="col"/>
        <grouping val="clustered"/>
        <ser>
          <idx val="0"/>
          <order val="0"/>
          <tx>
            <v>оптимистичный</v>
          </tx>
          <spPr>
            <a:ln>
              <a:prstDash val="solid"/>
            </a:ln>
          </spPr>
          <cat>
            <numRef>
              <f>'Аналитика'!$D$4:$H$4</f>
            </numRef>
          </cat>
          <val>
            <numRef>
              <f>'Аналитика'!$D$24:$H$24</f>
            </numRef>
          </val>
        </ser>
        <ser>
          <idx val="1"/>
          <order val="1"/>
          <tx>
            <v>базовый</v>
          </tx>
          <spPr>
            <a:ln>
              <a:prstDash val="solid"/>
            </a:ln>
          </spPr>
          <cat>
            <numRef>
              <f>'Аналитика'!$D$4:$H$4</f>
            </numRef>
          </cat>
          <val>
            <numRef>
              <f>'Аналитика'!$D$25:$H$25</f>
            </numRef>
          </val>
        </ser>
        <ser>
          <idx val="2"/>
          <order val="2"/>
          <tx>
            <v>пессимистичный</v>
          </tx>
          <spPr>
            <a:ln>
              <a:prstDash val="solid"/>
            </a:ln>
          </spPr>
          <cat>
            <numRef>
              <f>'Аналитика'!$D$4:$H$4</f>
            </numRef>
          </cat>
          <val>
            <numRef>
              <f>'Аналитика'!$D$26:$H$26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Торнадо: отклонение аннуитета, руб/пог.м</a:t>
            </a:r>
          </a:p>
        </rich>
      </tx>
    </title>
    <plotArea>
      <barChart>
        <barDir val="bar"/>
        <grouping val="stacked"/>
        <ser>
          <idx val="0"/>
          <order val="0"/>
          <spPr>
            <a:solidFill>
              <a:srgbClr val="70AD47"/>
            </a:solidFill>
            <a:ln>
              <a:prstDash val="solid"/>
            </a:ln>
          </spPr>
          <cat>
            <numRef>
              <f>'Чувствительность'!$B$19:$B$22</f>
            </numRef>
          </cat>
          <val>
            <numRef>
              <f>'Чувствительность'!$I$19:$I$22</f>
            </numRef>
          </val>
        </ser>
        <ser>
          <idx val="1"/>
          <order val="1"/>
          <spPr>
            <a:solidFill>
              <a:srgbClr val="C55A11"/>
            </a:solidFill>
            <a:ln>
              <a:prstDash val="solid"/>
            </a:ln>
          </spPr>
          <cat>
            <numRef>
              <f>'Чувствительность'!$B$19:$B$22</f>
            </numRef>
          </cat>
          <val>
            <numRef>
              <f>'Чувствительность'!$J$19:$J$22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22</row>
      <rowOff>0</rowOff>
    </from>
    <ext cx="39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21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4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22" customWidth="1" min="3" max="3"/>
  </cols>
  <sheetData>
    <row r="1">
      <c r="B1" s="1" t="inlineStr">
        <is>
          <t>МЕТОДИКА: АННУИТЕТ ЗАТРАТ (РУБ/ПОГ.М) НА ВЛАДЕНИЕ БУРОВЫМИ СТАНКАМИ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Пост-налоговый погодовой дисконтированный аннуитет жизненного цикла.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4" t="n"/>
      <c r="C4" s="5" t="inlineStr">
        <is>
          <t>1. НАЗНАЧЕНИЕ</t>
        </is>
      </c>
    </row>
    <row r="5" ht="50" customHeight="1">
      <c r="C5" s="6" t="inlineStr">
        <is>
          <t>Экономическое сравнение буровых станков одного класса по удельному аннуитету затрат (руб/пог.м пробуренной скважины, а также руб/м³ взорванной горной массы) за полный срок эксплуатации. Метрика корректно сопоставляет станки с разной ценой, производительностью и структурой затрат. Лучший вариант — минимум руб/пог.м.</t>
        </is>
      </c>
    </row>
    <row r="6">
      <c r="B6" s="4" t="n"/>
      <c r="C6" s="5" t="inlineStr">
        <is>
          <t>2. ПРОИЗВОДИТЕЛЬНОСТЬ (методика бурения из файла «W час»)</t>
        </is>
      </c>
    </row>
    <row r="7" ht="70" customHeight="1">
      <c r="C7" s="6" t="inlineStr">
        <is>
          <t>Теоретическая скорость бурения = (0,1 × мощность вращателя) / (2,73^(0,017 × крепость породы) × диаметр_заряда²); диаметр заряда = диаметр долота × коэффициент разбура. Время цикла скважины = бурение + продувка + наращивание + подъём става + разбор + переезд. Скважин/смену = смена / время цикла. Часовая производительность (п.м/час) = скважин/смену × средняя глубина / смена. КИО = КТГ × (1 − простои_смены/(60 × смена)); эффективное время = КФВ × КИО. Годовой объём бурения (тыс.пог.м) = часовая × эффективное время; объём взрывания (тыс.м³) = бурение × выход м³/пог.м.</t>
        </is>
      </c>
    </row>
    <row r="8">
      <c r="B8" s="4" t="n"/>
      <c r="C8" s="5" t="inlineStr">
        <is>
          <t>3. ПОГОДОВОЙ ДЕНЕЖНЫЙ ПОТОК (10 лет)</t>
        </is>
      </c>
    </row>
    <row r="9" ht="65" customHeight="1">
      <c r="C9" s="6" t="inlineStr">
        <is>
          <t>Для каждого года считаются: топливо/энергия (эфф.время × расход × цена), ТОиР и сервис (задаются ПО ГОДАМ на листах «Поставщик N» — ТО, текущие и капитальные ремонты; годы капремонтов дают всплеск затрат), буровой инструмент (долота, штанги), расходники, персонал, транспортный налог. Добавляются амортизация (НУ) и налог на прибыль (щит). Операционный поток = база + налог − амортизация. Инвестиции — в год 0, остаточная стоимость — в конце срока.</t>
        </is>
      </c>
    </row>
    <row r="10">
      <c r="B10" s="4" t="n"/>
      <c r="C10" s="5" t="inlineStr">
        <is>
          <t>4. АННУИТЕТ (ЯДРО)</t>
        </is>
      </c>
    </row>
    <row r="11" ht="65" customHeight="1">
      <c r="C11" s="6" t="inlineStr">
        <is>
          <t>Потоки дисконтируются и преобразуются в эквивалентный годовой платёж: Аннуитет = NPV затрат / Σ(дисконт-факторов). Инвестиционный аннуитет = (Цена − дисконт. остаточная стоимость) / Σ(дисконт-факторов). Операционный аннуитет — приведённые эксплуатационные затраты после налога. Общий = инвестиционный + операционный. Удельный аннуитет (руб/пог.м) = общий аннуитет / средний годовой объём бурения (пог.м); руб/м³ = руб/пог.м / выход м³ с 1 пог.м.</t>
        </is>
      </c>
    </row>
    <row r="12">
      <c r="B12" s="4" t="n"/>
      <c r="C12" s="5" t="inlineStr">
        <is>
          <t>5. ПОРЯДОК РАБОТЫ</t>
        </is>
      </c>
    </row>
    <row r="13" ht="70" customHeight="1">
      <c r="C13" s="6" t="inlineStr">
        <is>
          <t>«Параметры» → «Ввод данных» (цена, физика бурения: мощность вращателя, диаметр, скорость СПО; персонал) → листы «Поставщик 1…5»: по каждой машине задаются КТГ, простои и затраты ТОиР по годам, расход ДТ, буровой инструмент — КТГ и ИТОГО ТОиР считаются автоматически. Сводка «Данные по годам» тянет итоги сама → авторасчёт «Производительность», «Денежный поток», «Расчёт аннуитета» → «Дашборд», «Сравнение», «Аналитика», «Чувствительность». Правки — в листах «Поставщик N» и «Ввод данных».</t>
        </is>
      </c>
    </row>
    <row r="14">
      <c r="B14" s="4" t="n"/>
      <c r="C14" s="5" t="inlineStr">
        <is>
          <t>6. ДОПУЩЕНИЯ</t>
        </is>
      </c>
    </row>
    <row r="15">
      <c r="C15" s="6" t="inlineStr">
        <is>
          <t>• Станки сравниваются в одном классе и одной задаче; разница в производительности учтена через руб/пог.м и руб/м³.</t>
        </is>
      </c>
    </row>
    <row r="16">
      <c r="C16" s="6" t="inlineStr">
        <is>
          <t>• Данные примера — «в расчёте» из корпоративного файла 000_БСЛ-2027 (карьер «Сухой Лог»), горизонт 10 лет.</t>
        </is>
      </c>
    </row>
    <row r="17">
      <c r="C17" s="6" t="inlineStr">
        <is>
          <t>• Цена станков в файле поставщика не указана — подставлена ОЦЕНКА, требует уточнения (жёлтые ячейки «Ввод данных»).</t>
        </is>
      </c>
    </row>
    <row r="18" ht="30" customHeight="1">
      <c r="C18" s="6" t="inlineStr">
        <is>
          <t>• Ставка дисконтирования и эскалации должны быть согласованы (номинальные либо реальные).</t>
        </is>
      </c>
    </row>
    <row r="20">
      <c r="C20" s="7" t="inlineStr">
        <is>
          <t>Обозначения:</t>
        </is>
      </c>
    </row>
    <row r="21">
      <c r="B21" s="8" t="n"/>
      <c r="C21" s="9" t="inlineStr">
        <is>
          <t>жёлтые ячейки — ввод данных</t>
        </is>
      </c>
    </row>
    <row r="22">
      <c r="B22" s="10" t="n"/>
      <c r="C22" s="9" t="inlineStr">
        <is>
          <t>зелёные ячейки — итоговые показатели / лучший вариант</t>
        </is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6" customWidth="1" min="6" max="6"/>
    <col width="13" customWidth="1" min="7" max="7"/>
    <col width="13" customWidth="1" min="8" max="8"/>
    <col width="15" customWidth="1" min="9" max="9"/>
    <col width="13" customWidth="1" min="10" max="10"/>
  </cols>
  <sheetData>
    <row r="1">
      <c r="B1" s="1" t="inlineStr">
        <is>
          <t>ИТОГОВЫЙ ДАШБОРД — СРАВНЕНИЕ БУРОВЫХ СТАНКОВ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Ключевые показатели и графики. Данные обновляются автоматически.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5" t="inlineStr">
        <is>
          <t>КЛЮЧЕВЫЕ ПОКАЗАТЕЛИ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B5" s="11" t="inlineStr">
        <is>
          <t>Лучший вариант</t>
        </is>
      </c>
      <c r="C5" s="11" t="inlineStr">
        <is>
          <t>Мин. аннуитет, руб/пог.м</t>
        </is>
      </c>
      <c r="D5" s="11" t="inlineStr">
        <is>
          <t>Мин. NPV владения, тыс.руб</t>
        </is>
      </c>
      <c r="E5" s="11" t="inlineStr">
        <is>
          <t>Разброс аннуитета, руб/пог.м</t>
        </is>
      </c>
    </row>
    <row r="6">
      <c r="B6" s="12" t="str">
        <f>INDEX('Ввод данных'!D7:H7,MATCH(MIN('Расчёт аннуитета'!D30:H30),'Расчёт аннуитета'!D30:H30,0))</f>
        <v>Sunward
SWDRT270SM</v>
      </c>
      <c r="C6" s="13">
        <f>MIN('Расчёт аннуитета'!D30:H30)</f>
        <v>671.5212951727241</v>
      </c>
      <c r="D6" s="14">
        <f>MIN('Расчёт аннуитета'!D16:H16)</f>
        <v>424882.77936008305</v>
      </c>
      <c r="E6" s="13">
        <f>MAX('Расчёт аннуитета'!D30:H30)-MIN('Расчёт аннуитета'!D30:H30)</f>
        <v>434.4688443932463</v>
      </c>
    </row>
    <row r="8">
      <c r="B8" s="5" t="inlineStr">
        <is>
          <t>РЕЙТИНГ ПО УДЕЛЬНОМУ АННУИТЕТУ (руб/пог.м)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B9" s="15" t="inlineStr">
        <is>
          <t>Место</t>
        </is>
      </c>
      <c r="C9" s="15" t="inlineStr">
        <is>
          <t>Буровой станок</t>
        </is>
      </c>
      <c r="D9" s="16" t="n"/>
      <c r="E9" s="16" t="n"/>
      <c r="F9" s="17" t="n"/>
      <c r="G9" s="15" t="inlineStr">
        <is>
          <t>руб/пог.м</t>
        </is>
      </c>
      <c r="H9" s="17" t="n"/>
      <c r="I9" s="15" t="inlineStr">
        <is>
          <t>руб/м³</t>
        </is>
      </c>
    </row>
    <row r="10">
      <c r="B10" s="18" t="n">
        <v>1</v>
      </c>
      <c r="C10" s="19" t="str">
        <f>INDEX('Ввод данных'!D7:H7,MATCH(SMALL('Расчёт аннуитета'!D30:H30,1),'Расчёт аннуитета'!D30:H30,0))</f>
        <v>Sunward
SWDRT270SM</v>
      </c>
      <c r="G10" s="20">
        <f>SMALL('Расчёт аннуитета'!D30:H30,1)</f>
        <v>671.5212951727241</v>
      </c>
      <c r="I10" s="21">
        <f>INDEX('Расчёт аннуитета'!$D$32:$H$32,MATCH(SMALL('Расчёт аннуитета'!D30:H30,1),'Расчёт аннуитета'!D30:H30,0))</f>
        <v>13.575685740881918</v>
      </c>
    </row>
    <row r="11">
      <c r="B11" s="18" t="n">
        <v>2</v>
      </c>
      <c r="C11" s="22" t="str">
        <f>INDEX('Ввод данных'!D7:H7,MATCH(SMALL('Расчёт аннуитета'!D30:H30,2),'Расчёт аннуитета'!D30:H30,0))</f>
        <v>Sunward
SWDRT250SM</v>
      </c>
      <c r="G11" s="21">
        <f>SMALL('Расчёт аннуитета'!D30:H30,2)</f>
        <v>700.2985229339251</v>
      </c>
      <c r="I11" s="21">
        <f>INDEX('Расчёт аннуитета'!$D$32:$H$32,MATCH(SMALL('Расчёт аннуитета'!D30:H30,2),'Расчёт аннуитета'!D30:H30,0))</f>
        <v>14.157455229635604</v>
      </c>
    </row>
    <row r="12">
      <c r="B12" s="18" t="n">
        <v>3</v>
      </c>
      <c r="C12" s="22" t="str">
        <f>INDEX('Ввод данных'!D7:H7,MATCH(SMALL('Расчёт аннуитета'!D30:H30,3),'Расчёт аннуитета'!D30:H30,0))</f>
        <v>Sunward
SWDRT270B</v>
      </c>
      <c r="G12" s="21">
        <f>SMALL('Расчёт аннуитета'!D30:H30,3)</f>
        <v>792.1306821150066</v>
      </c>
      <c r="I12" s="21">
        <f>INDEX('Расчёт аннуитета'!$D$32:$H$32,MATCH(SMALL('Расчёт аннуитета'!D30:H30,3),'Расчёт аннуитета'!D30:H30,0))</f>
        <v>16.01396304690198</v>
      </c>
    </row>
    <row r="13">
      <c r="B13" s="18" t="n">
        <v>4</v>
      </c>
      <c r="C13" s="22" t="str">
        <f>INDEX('Ввод данных'!D7:H7,MATCH(SMALL('Расчёт аннуитета'!D30:H30,4),'Расчёт аннуитета'!D30:H30,0))</f>
        <v>HIFO 75D
(аналог DM75)</v>
      </c>
      <c r="G13" s="21">
        <f>SMALL('Расчёт аннуитета'!D30:H30,4)</f>
        <v>948.2782846349047</v>
      </c>
      <c r="I13" s="21">
        <f>INDEX('Расчёт аннуитета'!$D$32:$H$32,MATCH(SMALL('Расчёт аннуитета'!D30:H30,4),'Расчёт аннуитета'!D30:H30,0))</f>
        <v>19.17069209814828</v>
      </c>
    </row>
    <row r="14">
      <c r="B14" s="18" t="n">
        <v>5</v>
      </c>
      <c r="C14" s="22" t="str">
        <f>INDEX('Ввод данных'!D7:H7,MATCH(SMALL('Расчёт аннуитета'!D30:H30,5),'Расчёт аннуитета'!D30:H30,0))</f>
        <v>YANGZI DR75
(аналог Epiroc DM75)</v>
      </c>
      <c r="G14" s="21">
        <f>SMALL('Расчёт аннуитета'!D30:H30,5)</f>
        <v>1105.9901395659704</v>
      </c>
      <c r="I14" s="21">
        <f>INDEX('Расчёт аннуитета'!$D$32:$H$32,MATCH(SMALL('Расчёт аннуитета'!D30:H30,5),'Расчёт аннуитета'!D30:H30,0))</f>
        <v>22.35904456819914</v>
      </c>
    </row>
  </sheetData>
  <mergeCells count="16">
    <mergeCell ref="C13:F13"/>
    <mergeCell ref="C9:F9"/>
    <mergeCell ref="G12:H12"/>
    <mergeCell ref="B1:N1"/>
    <mergeCell ref="C14:F14"/>
    <mergeCell ref="G10:H10"/>
    <mergeCell ref="G11:H11"/>
    <mergeCell ref="C12:F12"/>
    <mergeCell ref="B8:J8"/>
    <mergeCell ref="G14:H14"/>
    <mergeCell ref="B4:J4"/>
    <mergeCell ref="C11:F11"/>
    <mergeCell ref="C10:F10"/>
    <mergeCell ref="G9:H9"/>
    <mergeCell ref="B2:N2"/>
    <mergeCell ref="G13:H1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3" customWidth="1" min="3" max="3"/>
    <col width="12" customWidth="1" min="4" max="4"/>
    <col width="54" customWidth="1" min="5" max="5"/>
  </cols>
  <sheetData>
    <row r="1">
      <c r="B1" s="1" t="inlineStr">
        <is>
          <t>ГЛОБАЛЬНЫЕ ПАРАМЕТРЫ МОДЕЛИ</t>
        </is>
      </c>
      <c r="C1" s="2" t="n"/>
      <c r="D1" s="2" t="n"/>
      <c r="E1" s="2" t="n"/>
      <c r="F1" s="2" t="n"/>
    </row>
    <row r="2">
      <c r="B2" s="3" t="inlineStr">
        <is>
          <t>Единые допущения для всех вариантов. Жёлтые ячейки — ввод.</t>
        </is>
      </c>
      <c r="C2" s="2" t="n"/>
      <c r="D2" s="2" t="n"/>
      <c r="E2" s="2" t="n"/>
      <c r="F2" s="2" t="n"/>
    </row>
    <row r="4">
      <c r="B4" s="5" t="inlineStr">
        <is>
          <t>Финансовые допущения</t>
        </is>
      </c>
      <c r="C4" s="4" t="n"/>
      <c r="D4" s="4" t="n"/>
      <c r="E4" s="4" t="n"/>
    </row>
    <row r="5">
      <c r="B5" s="15" t="inlineStr">
        <is>
          <t>Параметр</t>
        </is>
      </c>
      <c r="C5" s="15" t="inlineStr">
        <is>
          <t>Значение</t>
        </is>
      </c>
      <c r="D5" s="15" t="inlineStr">
        <is>
          <t>Ед.</t>
        </is>
      </c>
      <c r="E5" s="15" t="inlineStr">
        <is>
          <t>Комментарий</t>
        </is>
      </c>
    </row>
    <row r="6">
      <c r="B6" s="22" t="inlineStr">
        <is>
          <t>Ставка дисконтирования (WACC)</t>
        </is>
      </c>
      <c r="C6" s="23" t="n">
        <v>0.12</v>
      </c>
      <c r="D6" s="24" t="inlineStr">
        <is>
          <t>%/год</t>
        </is>
      </c>
      <c r="E6" s="25" t="inlineStr">
        <is>
          <t>Стоимость капитала для приведения к текущей стоимости</t>
        </is>
      </c>
    </row>
    <row r="7">
      <c r="B7" s="22" t="inlineStr">
        <is>
          <t>Налог на прибыль</t>
        </is>
      </c>
      <c r="C7" s="23" t="n">
        <v>0.25</v>
      </c>
      <c r="D7" s="24" t="inlineStr">
        <is>
          <t>%</t>
        </is>
      </c>
      <c r="E7" s="25" t="inlineStr">
        <is>
          <t>Формирует налоговый щит на затраты и амортизацию</t>
        </is>
      </c>
    </row>
    <row r="8">
      <c r="B8" s="22" t="inlineStr">
        <is>
          <t>Срок эксплуатации (горизонт)</t>
        </is>
      </c>
      <c r="C8" s="26" t="n">
        <v>10</v>
      </c>
      <c r="D8" s="24" t="inlineStr">
        <is>
          <t>лет</t>
        </is>
      </c>
      <c r="E8" s="25" t="inlineStr">
        <is>
          <t>Фиксирован = 10 лет в погодовом движке</t>
        </is>
      </c>
    </row>
    <row r="9">
      <c r="B9" s="22" t="inlineStr">
        <is>
          <t>Срок амортизации (налоговый учёт)</t>
        </is>
      </c>
      <c r="C9" s="27" t="n">
        <v>5.083</v>
      </c>
      <c r="D9" s="24" t="inlineStr">
        <is>
          <t>лет</t>
        </is>
      </c>
      <c r="E9" s="25" t="inlineStr">
        <is>
          <t>Линейная; 61 мес ≈ 5,08 года (как в исходной модели)</t>
        </is>
      </c>
    </row>
    <row r="10">
      <c r="B10" s="22" t="inlineStr">
        <is>
          <t>Цена дизельного топлива</t>
        </is>
      </c>
      <c r="C10" s="28" t="n">
        <v>66.01900000000001</v>
      </c>
      <c r="D10" s="24" t="inlineStr">
        <is>
          <t>тыс.руб/т</t>
        </is>
      </c>
      <c r="E10" s="25" t="inlineStr">
        <is>
          <t>СЛ 2025: 1 274 749,9 тыс.руб / 19 308,86 т</t>
        </is>
      </c>
    </row>
    <row r="11">
      <c r="B11" s="22" t="inlineStr">
        <is>
          <t>Цена электроэнергии</t>
        </is>
      </c>
      <c r="C11" s="28" t="n">
        <v>5.133</v>
      </c>
      <c r="D11" s="24" t="inlineStr">
        <is>
          <t>руб/кВт·ч</t>
        </is>
      </c>
      <c r="E11" s="25" t="inlineStr">
        <is>
          <t>Для электрических станков (СЛ 2025)</t>
        </is>
      </c>
    </row>
    <row r="13">
      <c r="B13" s="5" t="inlineStr">
        <is>
          <t>Эскалация цен (реальный/номинальный рост)</t>
        </is>
      </c>
      <c r="C13" s="4" t="n"/>
      <c r="D13" s="4" t="n"/>
      <c r="E13" s="4" t="n"/>
    </row>
    <row r="14">
      <c r="B14" s="15" t="inlineStr">
        <is>
          <t>Параметр</t>
        </is>
      </c>
      <c r="C14" s="15" t="inlineStr">
        <is>
          <t>Значение</t>
        </is>
      </c>
      <c r="D14" s="15" t="inlineStr">
        <is>
          <t>Ед.</t>
        </is>
      </c>
      <c r="E14" s="15" t="inlineStr">
        <is>
          <t>Комментарий</t>
        </is>
      </c>
    </row>
    <row r="15">
      <c r="B15" s="22" t="inlineStr">
        <is>
          <t>Эскалация цены топлива/энергии</t>
        </is>
      </c>
      <c r="C15" s="23" t="n">
        <v>0</v>
      </c>
      <c r="D15" s="24" t="inlineStr">
        <is>
          <t>%/год</t>
        </is>
      </c>
      <c r="E15" s="25" t="inlineStr">
        <is>
          <t>0 = данные уже с учётом инфляции</t>
        </is>
      </c>
    </row>
    <row r="16">
      <c r="B16" s="22" t="inlineStr">
        <is>
          <t>Эскалация ЗЧ/инструмента/расходников</t>
        </is>
      </c>
      <c r="C16" s="23" t="n">
        <v>0</v>
      </c>
      <c r="D16" s="24" t="inlineStr">
        <is>
          <t>%/год</t>
        </is>
      </c>
      <c r="E16" s="25" t="inlineStr">
        <is>
          <t>ТОиР задаётся по годам напрямую</t>
        </is>
      </c>
    </row>
    <row r="17">
      <c r="B17" s="22" t="inlineStr">
        <is>
          <t>Эскалация оплаты труда</t>
        </is>
      </c>
      <c r="C17" s="23" t="n">
        <v>0</v>
      </c>
      <c r="D17" s="24" t="inlineStr">
        <is>
          <t>%/год</t>
        </is>
      </c>
      <c r="E17" s="25" t="inlineStr">
        <is>
          <t>Рост ФОТ экипажей</t>
        </is>
      </c>
    </row>
    <row r="19">
      <c r="B19" s="5" t="inlineStr">
        <is>
          <t>Курсы валют</t>
        </is>
      </c>
      <c r="C19" s="4" t="n"/>
      <c r="D19" s="4" t="n"/>
      <c r="E19" s="4" t="n"/>
    </row>
    <row r="20">
      <c r="B20" s="15" t="inlineStr">
        <is>
          <t>Параметр</t>
        </is>
      </c>
      <c r="C20" s="15" t="inlineStr">
        <is>
          <t>Значение</t>
        </is>
      </c>
      <c r="D20" s="15" t="inlineStr">
        <is>
          <t>Ед.</t>
        </is>
      </c>
      <c r="E20" s="15" t="inlineStr">
        <is>
          <t>Комментарий</t>
        </is>
      </c>
    </row>
    <row r="21">
      <c r="B21" s="22" t="inlineStr">
        <is>
          <t>Курс юаня (CNY)</t>
        </is>
      </c>
      <c r="C21" s="28" t="n">
        <v>11</v>
      </c>
      <c r="D21" s="24" t="inlineStr">
        <is>
          <t>руб</t>
        </is>
      </c>
      <c r="E21" s="25" t="inlineStr">
        <is>
          <t>Для оборудования из Китая</t>
        </is>
      </c>
    </row>
    <row r="22">
      <c r="B22" s="22" t="inlineStr">
        <is>
          <t>Курс доллара (USD)</t>
        </is>
      </c>
      <c r="C22" s="28" t="n">
        <v>80</v>
      </c>
      <c r="D22" s="24" t="inlineStr">
        <is>
          <t>руб</t>
        </is>
      </c>
      <c r="E22" s="25" t="inlineStr"/>
    </row>
    <row r="23">
      <c r="B23" s="22" t="inlineStr">
        <is>
          <t>Курс евро (EUR)</t>
        </is>
      </c>
      <c r="C23" s="28" t="n">
        <v>90</v>
      </c>
      <c r="D23" s="24" t="inlineStr">
        <is>
          <t>руб</t>
        </is>
      </c>
      <c r="E23" s="25" t="inlineStr"/>
    </row>
    <row r="25">
      <c r="B25" s="5" t="inlineStr">
        <is>
          <t>Параметры производительности (карьер / буровзрывные работы)</t>
        </is>
      </c>
      <c r="C25" s="4" t="n"/>
      <c r="D25" s="4" t="n"/>
      <c r="E25" s="4" t="n"/>
    </row>
    <row r="26">
      <c r="B26" s="15" t="inlineStr">
        <is>
          <t>Параметр</t>
        </is>
      </c>
      <c r="C26" s="15" t="inlineStr">
        <is>
          <t>Значение</t>
        </is>
      </c>
      <c r="D26" s="15" t="inlineStr">
        <is>
          <t>Ед.</t>
        </is>
      </c>
      <c r="E26" s="15" t="inlineStr">
        <is>
          <t>Комментарий</t>
        </is>
      </c>
    </row>
    <row r="27">
      <c r="B27" s="22" t="inlineStr">
        <is>
          <t>Календарный фонд времени</t>
        </is>
      </c>
      <c r="C27" s="26" t="n">
        <v>8760</v>
      </c>
      <c r="D27" s="24" t="inlineStr">
        <is>
          <t>час/год</t>
        </is>
      </c>
      <c r="E27" s="25" t="inlineStr">
        <is>
          <t>24 ч × 365 дн</t>
        </is>
      </c>
    </row>
    <row r="28">
      <c r="B28" s="22" t="inlineStr">
        <is>
          <t>Длительность смены</t>
        </is>
      </c>
      <c r="C28" s="26" t="n">
        <v>12</v>
      </c>
      <c r="D28" s="24" t="inlineStr">
        <is>
          <t>час</t>
        </is>
      </c>
      <c r="E28" s="25" t="inlineStr">
        <is>
          <t>Для пересчёта простоев и производительности</t>
        </is>
      </c>
    </row>
    <row r="29">
      <c r="B29" s="22" t="inlineStr">
        <is>
          <t>Предел прочности породы на сжатие</t>
        </is>
      </c>
      <c r="C29" s="26" t="n">
        <v>130</v>
      </c>
      <c r="D29" s="24" t="inlineStr">
        <is>
          <t>МПа</t>
        </is>
      </c>
      <c r="E29" s="25" t="inlineStr">
        <is>
          <t>Влияет на скорость бурения (крепость f)</t>
        </is>
      </c>
    </row>
    <row r="30">
      <c r="B30" s="22" t="inlineStr">
        <is>
          <t>Коэффициент разбура</t>
        </is>
      </c>
      <c r="C30" s="27" t="n">
        <v>1.05</v>
      </c>
      <c r="D30" s="24" t="inlineStr">
        <is>
          <t>коэф.</t>
        </is>
      </c>
      <c r="E30" s="25" t="inlineStr">
        <is>
          <t>Диаметр заряда = диаметр долота × k_разбура</t>
        </is>
      </c>
    </row>
    <row r="31">
      <c r="B31" s="22" t="inlineStr">
        <is>
          <t>Средняя глубина скважин</t>
        </is>
      </c>
      <c r="C31" s="27" t="n">
        <v>16.16</v>
      </c>
      <c r="D31" s="24" t="inlineStr">
        <is>
          <t>м</t>
        </is>
      </c>
      <c r="E31" s="25" t="inlineStr">
        <is>
          <t>(гл.руда×доля + гл.вскрыша×доля); из «W час»</t>
        </is>
      </c>
    </row>
    <row r="32">
      <c r="B32" s="22" t="inlineStr">
        <is>
          <t>КПД скорости подъёма става</t>
        </is>
      </c>
      <c r="C32" s="27" t="n">
        <v>0.8</v>
      </c>
      <c r="D32" s="24" t="inlineStr">
        <is>
          <t>коэф.</t>
        </is>
      </c>
      <c r="E32" s="25" t="inlineStr">
        <is>
          <t>Фактическая скорость = паспортная × КПД</t>
        </is>
      </c>
    </row>
    <row r="33">
      <c r="B33" s="22" t="inlineStr">
        <is>
          <t>Время продувки скважины</t>
        </is>
      </c>
      <c r="C33" s="29" t="n">
        <v>2</v>
      </c>
      <c r="D33" s="24" t="inlineStr">
        <is>
          <t>мин</t>
        </is>
      </c>
      <c r="E33" s="25" t="inlineStr">
        <is>
          <t>Часть цикла бурения одной скважины</t>
        </is>
      </c>
    </row>
    <row r="34">
      <c r="B34" s="22" t="inlineStr">
        <is>
          <t>Время переезда между скважинами</t>
        </is>
      </c>
      <c r="C34" s="29" t="n">
        <v>2.5</v>
      </c>
      <c r="D34" s="24" t="inlineStr">
        <is>
          <t>мин</t>
        </is>
      </c>
      <c r="E34" s="25" t="inlineStr">
        <is>
          <t>Часть цикла бурения одной скважины</t>
        </is>
      </c>
    </row>
    <row r="35">
      <c r="B35" s="22" t="inlineStr">
        <is>
          <t>Выход горной массы с 1 пог.м скважины</t>
        </is>
      </c>
      <c r="C35" s="28" t="n">
        <v>49.465</v>
      </c>
      <c r="D35" s="24" t="inlineStr">
        <is>
          <t>м³/пог.м</t>
        </is>
      </c>
      <c r="E35" s="25" t="inlineStr">
        <is>
          <t>Для пересчёта руб/пог.м → руб/м³ (сетка БВР)</t>
        </is>
      </c>
    </row>
    <row r="37">
      <c r="B37" s="5" t="inlineStr">
        <is>
          <t>Расчётные финансовые коэффициенты</t>
        </is>
      </c>
      <c r="C37" s="4" t="n"/>
      <c r="D37" s="4" t="n"/>
      <c r="E37" s="4" t="n"/>
    </row>
    <row r="38">
      <c r="B38" s="15" t="inlineStr">
        <is>
          <t>Параметр</t>
        </is>
      </c>
      <c r="C38" s="15" t="inlineStr">
        <is>
          <t>Значение</t>
        </is>
      </c>
      <c r="D38" s="15" t="inlineStr">
        <is>
          <t>Ед.</t>
        </is>
      </c>
      <c r="E38" s="15" t="inlineStr">
        <is>
          <t>Комментарий</t>
        </is>
      </c>
    </row>
    <row r="39">
      <c r="B39" s="22" t="inlineStr">
        <is>
          <t>Коэф. аннуитета Σдиск.факторов (r, N)</t>
        </is>
      </c>
      <c r="C39" s="30">
        <f>IF('Параметры'!C6=0,'Параметры'!C8,(1-(1+'Параметры'!C6)^-'Параметры'!C8)/'Параметры'!C6)</f>
        <v>5.650223028410867</v>
      </c>
      <c r="D39" s="24" t="inlineStr">
        <is>
          <t>коэф.</t>
        </is>
      </c>
      <c r="E39" s="25" t="inlineStr">
        <is>
          <t>Сумма дисконт-факторов за срок службы</t>
        </is>
      </c>
    </row>
    <row r="40">
      <c r="B40" s="22" t="inlineStr">
        <is>
          <t>Коэф. приведённой амортизации</t>
        </is>
      </c>
      <c r="C40" s="30">
        <f>(1/'Параметры'!C9)*((1-(1+'Параметры'!C6)^-INT('Параметры'!C9))/'Параметры'!C6+('Параметры'!C9-INT('Параметры'!C9))*(1+'Параметры'!C6)^-(INT('Параметры'!C9)+1))</f>
        <v>0.7174555548697079</v>
      </c>
      <c r="D40" s="24" t="inlineStr">
        <is>
          <t>коэф.</t>
        </is>
      </c>
      <c r="E40" s="25" t="inlineStr">
        <is>
          <t>Приведённая амортизация на 1 руб. цены (налог. щит)</t>
        </is>
      </c>
    </row>
    <row r="42">
      <c r="B42" s="7" t="inlineStr">
        <is>
          <t>Легенда:</t>
        </is>
      </c>
      <c r="C42" s="8" t="n"/>
      <c r="D42" s="9" t="inlineStr">
        <is>
          <t>— ввод данных</t>
        </is>
      </c>
    </row>
    <row r="43">
      <c r="C43" s="10" t="n"/>
      <c r="D43" s="9" t="inlineStr">
        <is>
          <t>— расчётные показатели</t>
        </is>
      </c>
    </row>
  </sheetData>
  <mergeCells count="9">
    <mergeCell ref="B4:E4"/>
    <mergeCell ref="B2:F2"/>
    <mergeCell ref="D42:E42"/>
    <mergeCell ref="B13:E13"/>
    <mergeCell ref="B37:E37"/>
    <mergeCell ref="D43:E43"/>
    <mergeCell ref="B25:E25"/>
    <mergeCell ref="B19:E19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11" max="11"/>
  </cols>
  <sheetData>
    <row r="1">
      <c r="B1" s="1" t="inlineStr">
        <is>
          <t>ВВОД ИСХОДНЫХ ДАННЫХ ПО БУРОВЫМ СТАНКАМ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Сравнение до 5 машин одного класса. Пример: станки класса 250–270 мм (дизель), карьер «Сухой Лог».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inlineStr">
        <is>
          <t>Станок 1</t>
        </is>
      </c>
      <c r="E4" s="15" t="inlineStr">
        <is>
          <t>Станок 2</t>
        </is>
      </c>
      <c r="F4" s="15" t="inlineStr">
        <is>
          <t>Станок 3</t>
        </is>
      </c>
      <c r="G4" s="15" t="inlineStr">
        <is>
          <t>Станок 4</t>
        </is>
      </c>
      <c r="H4" s="15" t="inlineStr">
        <is>
          <t>Станок 5</t>
        </is>
      </c>
      <c r="K4" s="15" t="inlineStr">
        <is>
          <t>Пояснение</t>
        </is>
      </c>
    </row>
    <row r="6">
      <c r="B6" s="5" t="inlineStr">
        <is>
          <t>A. ИДЕНТИФИКАЦИЯ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B7" s="22" t="inlineStr">
        <is>
          <t>Наименование / модель</t>
        </is>
      </c>
      <c r="C7" s="24" t="inlineStr">
        <is>
          <t>—</t>
        </is>
      </c>
      <c r="D7" s="31" t="inlineStr">
        <is>
          <t>YANGZI DR75
(аналог Epiroc DM75)</t>
        </is>
      </c>
      <c r="E7" s="31" t="inlineStr">
        <is>
          <t>Sunward
SWDRT250SM</t>
        </is>
      </c>
      <c r="F7" s="31" t="inlineStr">
        <is>
          <t>Sunward
SWDRT270SM</t>
        </is>
      </c>
      <c r="G7" s="31" t="inlineStr">
        <is>
          <t>Sunward
SWDRT270B</t>
        </is>
      </c>
      <c r="H7" s="31" t="inlineStr">
        <is>
          <t>HIFO 75D
(аналог DM75)</t>
        </is>
      </c>
      <c r="K7" s="25" t="inlineStr">
        <is>
          <t>Название варианта</t>
        </is>
      </c>
    </row>
    <row r="8">
      <c r="B8" s="22" t="inlineStr">
        <is>
          <t>Поставщик</t>
        </is>
      </c>
      <c r="C8" s="24" t="inlineStr">
        <is>
          <t>—</t>
        </is>
      </c>
      <c r="D8" s="31" t="inlineStr">
        <is>
          <t>Огунвей</t>
        </is>
      </c>
      <c r="E8" s="31" t="inlineStr">
        <is>
          <t>Стройкомпозит-Н</t>
        </is>
      </c>
      <c r="F8" s="31" t="inlineStr">
        <is>
          <t>Стройкомпозит-Н</t>
        </is>
      </c>
      <c r="G8" s="31" t="inlineStr">
        <is>
          <t>Огунвей</t>
        </is>
      </c>
      <c r="H8" s="31" t="inlineStr">
        <is>
          <t>Майнинг Солюшнс</t>
        </is>
      </c>
      <c r="K8" s="25" t="inlineStr"/>
    </row>
    <row r="9">
      <c r="B9" s="22" t="inlineStr">
        <is>
          <t>Двигатель / привод</t>
        </is>
      </c>
      <c r="C9" s="24" t="inlineStr">
        <is>
          <t>—</t>
        </is>
      </c>
      <c r="D9" s="31" t="inlineStr">
        <is>
          <t>Cummins QSK19</t>
        </is>
      </c>
      <c r="E9" s="31" t="inlineStr">
        <is>
          <t>CAT C27</t>
        </is>
      </c>
      <c r="F9" s="31" t="inlineStr">
        <is>
          <t>CAT C27</t>
        </is>
      </c>
      <c r="G9" s="31" t="inlineStr">
        <is>
          <t>CAT C27</t>
        </is>
      </c>
      <c r="H9" s="31" t="inlineStr">
        <is>
          <t>CAT C27</t>
        </is>
      </c>
      <c r="K9" s="25" t="inlineStr"/>
    </row>
    <row r="10">
      <c r="B10" s="5" t="inlineStr">
        <is>
          <t>B. СТОИМОСТЬ И ОСТАТОЧНАЯ ЦЕНА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B11" s="22" t="inlineStr">
        <is>
          <t>Цена за единицу</t>
        </is>
      </c>
      <c r="C11" s="24" t="inlineStr">
        <is>
          <t>тыс.вал.</t>
        </is>
      </c>
      <c r="D11" s="32" t="n">
        <v>1900</v>
      </c>
      <c r="E11" s="32" t="n">
        <v>1400</v>
      </c>
      <c r="F11" s="32" t="n">
        <v>1700</v>
      </c>
      <c r="G11" s="32" t="n">
        <v>1700</v>
      </c>
      <c r="H11" s="32" t="n">
        <v>12000</v>
      </c>
      <c r="K11" s="25" t="inlineStr">
        <is>
          <t>⚠ В файле поставщика цена не указана — ОЦЕНКА, уточнить</t>
        </is>
      </c>
    </row>
    <row r="12">
      <c r="B12" s="22" t="inlineStr">
        <is>
          <t>Валюта цены</t>
        </is>
      </c>
      <c r="C12" s="24" t="inlineStr">
        <is>
          <t>—</t>
        </is>
      </c>
      <c r="D12" s="31" t="inlineStr">
        <is>
          <t>USD</t>
        </is>
      </c>
      <c r="E12" s="31" t="inlineStr">
        <is>
          <t>USD</t>
        </is>
      </c>
      <c r="F12" s="31" t="inlineStr">
        <is>
          <t>USD</t>
        </is>
      </c>
      <c r="G12" s="31" t="inlineStr">
        <is>
          <t>USD</t>
        </is>
      </c>
      <c r="H12" s="31" t="inlineStr">
        <is>
          <t>CNY</t>
        </is>
      </c>
      <c r="K12" s="25" t="inlineStr">
        <is>
          <t>CNY / USD / EUR / RUB</t>
        </is>
      </c>
    </row>
    <row r="13">
      <c r="B13" s="22" t="inlineStr">
        <is>
          <t>Монтаж, доставка, ПНР</t>
        </is>
      </c>
      <c r="C13" s="24" t="inlineStr">
        <is>
          <t>тыс.руб</t>
        </is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0</v>
      </c>
      <c r="K13" s="25" t="inlineStr">
        <is>
          <t>Дополнительно к цене</t>
        </is>
      </c>
    </row>
    <row r="14">
      <c r="B14" s="22" t="inlineStr">
        <is>
          <t>Остаточная стоимость</t>
        </is>
      </c>
      <c r="C14" s="24" t="inlineStr">
        <is>
          <t>% от цены</t>
        </is>
      </c>
      <c r="D14" s="33" t="n">
        <v>0</v>
      </c>
      <c r="E14" s="33" t="n">
        <v>0</v>
      </c>
      <c r="F14" s="33" t="n">
        <v>0</v>
      </c>
      <c r="G14" s="33" t="n">
        <v>0</v>
      </c>
      <c r="H14" s="33" t="n">
        <v>0</v>
      </c>
      <c r="K14" s="25" t="inlineStr">
        <is>
          <t>Реализация в конце срока (0 = не учитывать)</t>
        </is>
      </c>
    </row>
    <row r="15">
      <c r="B15" s="5" t="inlineStr">
        <is>
          <t>C. ПРОИЗВОДИТЕЛЬНОСТЬ (физика бурения — лист «W час»)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22" t="inlineStr">
        <is>
          <t>Мощность вращателя (в расчёте)</t>
        </is>
      </c>
      <c r="C16" s="24" t="inlineStr">
        <is>
          <t>кВт</t>
        </is>
      </c>
      <c r="D16" s="34" t="n">
        <v>136</v>
      </c>
      <c r="E16" s="34" t="n">
        <v>148.3</v>
      </c>
      <c r="F16" s="34" t="n">
        <v>173.4</v>
      </c>
      <c r="G16" s="34" t="n">
        <v>173.4</v>
      </c>
      <c r="H16" s="34" t="n">
        <v>136</v>
      </c>
      <c r="K16" s="25" t="inlineStr">
        <is>
          <t>Ключевой драйвер скорости бурения</t>
        </is>
      </c>
    </row>
    <row r="17">
      <c r="B17" s="22" t="inlineStr">
        <is>
          <t>Диаметр долота (в расчёте)</t>
        </is>
      </c>
      <c r="C17" s="24" t="inlineStr">
        <is>
          <t>м</t>
        </is>
      </c>
      <c r="D17" s="35" t="n">
        <v>0.267</v>
      </c>
      <c r="E17" s="35" t="n">
        <v>0.267</v>
      </c>
      <c r="F17" s="35" t="n">
        <v>0.267</v>
      </c>
      <c r="G17" s="35" t="n">
        <v>0.267</v>
      </c>
      <c r="H17" s="35" t="n">
        <v>0.267</v>
      </c>
      <c r="K17" s="25" t="inlineStr">
        <is>
          <t>Диаметр заряда = диаметр × k_разбура</t>
        </is>
      </c>
    </row>
    <row r="18">
      <c r="B18" s="22" t="inlineStr">
        <is>
          <t>Скорость подъёма става</t>
        </is>
      </c>
      <c r="C18" s="24" t="inlineStr">
        <is>
          <t>м/мин</t>
        </is>
      </c>
      <c r="D18" s="34" t="n">
        <v>51.5</v>
      </c>
      <c r="E18" s="34" t="n">
        <v>60</v>
      </c>
      <c r="F18" s="34" t="n">
        <v>45</v>
      </c>
      <c r="G18" s="34" t="n">
        <v>45</v>
      </c>
      <c r="H18" s="34" t="n">
        <v>51.5</v>
      </c>
      <c r="K18" s="25" t="inlineStr">
        <is>
          <t>Влияет на время СПО</t>
        </is>
      </c>
    </row>
    <row r="19">
      <c r="B19" s="22" t="inlineStr">
        <is>
          <t>Время наращивания/разбора става</t>
        </is>
      </c>
      <c r="C19" s="24" t="inlineStr">
        <is>
          <t>мин</t>
        </is>
      </c>
      <c r="D19" s="34" t="n">
        <v>1.5</v>
      </c>
      <c r="E19" s="34" t="n">
        <v>1.5</v>
      </c>
      <c r="F19" s="34" t="n">
        <v>1.5</v>
      </c>
      <c r="G19" s="34" t="n">
        <v>1.5</v>
      </c>
      <c r="H19" s="34" t="n">
        <v>1.5</v>
      </c>
      <c r="K19" s="25" t="inlineStr">
        <is>
          <t>На одну операцию</t>
        </is>
      </c>
    </row>
    <row r="20">
      <c r="B20" s="22" t="inlineStr">
        <is>
          <t>Кол-во операций свинчивания</t>
        </is>
      </c>
      <c r="C20" s="24" t="inlineStr">
        <is>
          <t>ед.</t>
        </is>
      </c>
      <c r="D20" s="32" t="n">
        <v>1</v>
      </c>
      <c r="E20" s="32" t="n">
        <v>1</v>
      </c>
      <c r="F20" s="32" t="n">
        <v>1</v>
      </c>
      <c r="G20" s="32" t="n">
        <v>1</v>
      </c>
      <c r="H20" s="32" t="n">
        <v>1</v>
      </c>
      <c r="K20" s="25" t="inlineStr">
        <is>
          <t>Штанг на скважину − 1</t>
        </is>
      </c>
    </row>
    <row r="21">
      <c r="B21" s="5" t="inlineStr">
        <is>
          <t>D. ПРОЧИЕ ГОДОВЫЕ ЗАТРАТЫ И ПАРАМЕТРЫ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22" t="inlineStr">
        <is>
          <t>Расходы на персонал (экипаж)</t>
        </is>
      </c>
      <c r="C22" s="24" t="inlineStr">
        <is>
          <t>тыс.руб/год</t>
        </is>
      </c>
      <c r="D22" s="32" t="n">
        <v>15710</v>
      </c>
      <c r="E22" s="32" t="n">
        <v>15710</v>
      </c>
      <c r="F22" s="32" t="n">
        <v>15710</v>
      </c>
      <c r="G22" s="32" t="n">
        <v>15710</v>
      </c>
      <c r="H22" s="32" t="n">
        <v>15710</v>
      </c>
      <c r="K22" s="25" t="inlineStr">
        <is>
          <t>ФОТ+отчисления+прочее на 1 машину</t>
        </is>
      </c>
    </row>
    <row r="23">
      <c r="B23" s="22" t="inlineStr">
        <is>
          <t>Мощность двигателя (транспортный налог)</t>
        </is>
      </c>
      <c r="C23" s="24" t="inlineStr">
        <is>
          <t>л.с.</t>
        </is>
      </c>
      <c r="D23" s="34" t="n">
        <v>800</v>
      </c>
      <c r="E23" s="34" t="n">
        <v>800</v>
      </c>
      <c r="F23" s="34" t="n">
        <v>800</v>
      </c>
      <c r="G23" s="34" t="n">
        <v>800</v>
      </c>
      <c r="H23" s="34" t="n">
        <v>811.6900000000001</v>
      </c>
      <c r="K23" s="25" t="inlineStr">
        <is>
          <t>× ставку налога (руб/л.с.)</t>
        </is>
      </c>
    </row>
    <row r="24">
      <c r="B24" s="36" t="inlineStr">
        <is>
          <t>ℹ  КТГ, простои, затраты на ТОиР (ТО/ТР/капремонты/сервис), удельный расход ДТ, буровой инструмент и расходники задаются ПО ГОДАМ на листах «Поставщик 1…5». Сводка — на листе «Данные по годам».</t>
        </is>
      </c>
    </row>
  </sheetData>
  <mergeCells count="7">
    <mergeCell ref="B1:K1"/>
    <mergeCell ref="B21:K21"/>
    <mergeCell ref="B15:K15"/>
    <mergeCell ref="B6:K6"/>
    <mergeCell ref="B24:K24"/>
    <mergeCell ref="B2:K2"/>
    <mergeCell ref="B10:K10"/>
  </mergeCells>
  <dataValidations count="1">
    <dataValidation sqref="D12:H12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1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37" t="str">
        <f>'Ввод данных'!D7</f>
        <v>YANGZI DR75
(аналог Epiroc DM75)</v>
      </c>
    </row>
    <row r="5">
      <c r="B5" s="9" t="inlineStr">
        <is>
          <t>Валюта затрат ТОиР:</t>
        </is>
      </c>
      <c r="D5" s="38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E40</f>
        <v>636.3723333333335</v>
      </c>
      <c r="F8" s="40">
        <f>F40</f>
        <v>636.3723333333335</v>
      </c>
      <c r="G8" s="40">
        <f>G40</f>
        <v>636.3723333333335</v>
      </c>
      <c r="H8" s="40">
        <f>H40</f>
        <v>636.3723333333335</v>
      </c>
      <c r="I8" s="40">
        <f>I40</f>
        <v>636.3723333333335</v>
      </c>
      <c r="J8" s="40">
        <f>J40</f>
        <v>636.3723333333335</v>
      </c>
      <c r="K8" s="40">
        <f>K40</f>
        <v>636.3723333333335</v>
      </c>
      <c r="L8" s="40">
        <f>L40</f>
        <v>636.3723333333335</v>
      </c>
      <c r="M8" s="40">
        <f>M40</f>
        <v>636.3723333333335</v>
      </c>
      <c r="N8" s="40">
        <f>N40</f>
        <v>636.3723333333335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200</v>
      </c>
      <c r="F9" s="32" t="n">
        <v>300</v>
      </c>
      <c r="G9" s="32" t="n">
        <v>200</v>
      </c>
      <c r="H9" s="32" t="n">
        <v>300</v>
      </c>
      <c r="I9" s="32" t="n">
        <v>600</v>
      </c>
      <c r="J9" s="32" t="n">
        <v>300</v>
      </c>
      <c r="K9" s="32" t="n">
        <v>900</v>
      </c>
      <c r="L9" s="32" t="n">
        <v>300</v>
      </c>
      <c r="M9" s="32" t="n">
        <v>200</v>
      </c>
      <c r="N9" s="32" t="n">
        <v>900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('Параметры'!C27-E8-E9)/'Параметры'!C28*20/60</f>
        <v>220.10076851851852</v>
      </c>
      <c r="F10" s="41">
        <f>('Параметры'!C27-F8-F9)/'Параметры'!C28*20/60</f>
        <v>217.32299074074072</v>
      </c>
      <c r="G10" s="41">
        <f>('Параметры'!C27-G8-G9)/'Параметры'!C28*20/60</f>
        <v>220.10076851851852</v>
      </c>
      <c r="H10" s="41">
        <f>('Параметры'!C27-H8-H9)/'Параметры'!C28*20/60</f>
        <v>217.32299074074072</v>
      </c>
      <c r="I10" s="41">
        <f>('Параметры'!C27-I8-I9)/'Параметры'!C28*20/60</f>
        <v>208.98965740740738</v>
      </c>
      <c r="J10" s="41">
        <f>('Параметры'!C27-J8-J9)/'Параметры'!C28*20/60</f>
        <v>217.32299074074072</v>
      </c>
      <c r="K10" s="41">
        <f>('Параметры'!C27-K8-K9)/'Параметры'!C28*20/60</f>
        <v>200.65632407407404</v>
      </c>
      <c r="L10" s="41">
        <f>('Параметры'!C27-L8-L9)/'Параметры'!C28*20/60</f>
        <v>217.32299074074072</v>
      </c>
      <c r="M10" s="41">
        <f>('Параметры'!C27-M8-M9)/'Параметры'!C28*20/60</f>
        <v>220.10076851851852</v>
      </c>
      <c r="N10" s="41">
        <f>('Параметры'!C27-N8-N9)/'Параметры'!C28*20/60</f>
        <v>200.65632407407404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0.9308999999999999</v>
      </c>
      <c r="F11" s="33" t="n">
        <v>0.9172</v>
      </c>
      <c r="G11" s="33" t="n">
        <v>0.9308999999999999</v>
      </c>
      <c r="H11" s="33" t="n">
        <v>0.9172</v>
      </c>
      <c r="I11" s="33" t="n">
        <v>0.8865</v>
      </c>
      <c r="J11" s="33" t="n">
        <v>0.9172</v>
      </c>
      <c r="K11" s="33" t="n">
        <v>0.8506</v>
      </c>
      <c r="L11" s="33" t="n">
        <v>0.9198</v>
      </c>
      <c r="M11" s="33" t="n">
        <v>0.9283</v>
      </c>
      <c r="N11" s="33" t="n">
        <v>0.8532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E85</f>
        <v>136.07378843333333</v>
      </c>
      <c r="F12" s="42">
        <f>F85</f>
        <v>136.07378843333333</v>
      </c>
      <c r="G12" s="42">
        <f>G85</f>
        <v>136.07378843333333</v>
      </c>
      <c r="H12" s="42">
        <f>H85</f>
        <v>136.07378843333333</v>
      </c>
      <c r="I12" s="42">
        <f>I85</f>
        <v>136.07378843333333</v>
      </c>
      <c r="J12" s="42">
        <f>J85</f>
        <v>136.07378843333333</v>
      </c>
      <c r="K12" s="42">
        <f>K85</f>
        <v>136.07378843333333</v>
      </c>
      <c r="L12" s="42">
        <f>L85</f>
        <v>136.07378843333333</v>
      </c>
      <c r="M12" s="42">
        <f>M85</f>
        <v>136.07378843333333</v>
      </c>
      <c r="N12" s="42">
        <f>N85</f>
        <v>136.07378843333333</v>
      </c>
    </row>
    <row r="13">
      <c r="B13" s="39" t="inlineStr">
        <is>
          <t>Затраты на ЗЧ текущих ремонтов (по ресурсу)</t>
        </is>
      </c>
      <c r="C13" s="24" t="inlineStr">
        <is>
          <t>тыс.вал/г</t>
        </is>
      </c>
      <c r="E13" s="42">
        <f>E105</f>
        <v>4.506819999999999</v>
      </c>
      <c r="F13" s="42">
        <f>F105</f>
        <v>60.109840000000005</v>
      </c>
      <c r="G13" s="42">
        <f>G105</f>
        <v>145.1624</v>
      </c>
      <c r="H13" s="42">
        <f>H105</f>
        <v>60.109840000000005</v>
      </c>
      <c r="I13" s="42">
        <f>I105</f>
        <v>144.82518</v>
      </c>
      <c r="J13" s="42">
        <f>J105</f>
        <v>67.22701</v>
      </c>
      <c r="K13" s="42">
        <f>K105</f>
        <v>145.21432</v>
      </c>
      <c r="L13" s="42">
        <f>L105</f>
        <v>60.057919999999996</v>
      </c>
      <c r="M13" s="42">
        <f>M105</f>
        <v>111.9831</v>
      </c>
      <c r="N13" s="42">
        <f>N105</f>
        <v>105.58931</v>
      </c>
    </row>
    <row r="14">
      <c r="B14" s="39" t="inlineStr">
        <is>
          <t>Затраты на ЗЧ капремонтов (по ресурсу)</t>
        </is>
      </c>
      <c r="C14" s="24" t="inlineStr">
        <is>
          <t>тыс.вал/г</t>
        </is>
      </c>
      <c r="E14" s="42">
        <f>E188</f>
        <v>7.382379999999999</v>
      </c>
      <c r="F14" s="42">
        <f>F188</f>
        <v>204.26495</v>
      </c>
      <c r="G14" s="42">
        <f>G188</f>
        <v>438.81584</v>
      </c>
      <c r="H14" s="42">
        <f>H188</f>
        <v>434.86339000000004</v>
      </c>
      <c r="I14" s="42">
        <f>I188</f>
        <v>610.36746</v>
      </c>
      <c r="J14" s="42">
        <f>J188</f>
        <v>366.36175000000003</v>
      </c>
      <c r="K14" s="42">
        <f>K188</f>
        <v>590.25823</v>
      </c>
      <c r="L14" s="42">
        <f>L188</f>
        <v>224.66392</v>
      </c>
      <c r="M14" s="42">
        <f>M188</f>
        <v>774.55654</v>
      </c>
      <c r="N14" s="42">
        <f>N188</f>
        <v>283.30237000000005</v>
      </c>
    </row>
    <row r="15">
      <c r="B15" s="39" t="inlineStr">
        <is>
          <t>Трудозатраты ТО (авто)</t>
        </is>
      </c>
      <c r="C15" s="24" t="inlineStr">
        <is>
          <t>ч-час/г</t>
        </is>
      </c>
      <c r="E15" s="40">
        <f>E47</f>
        <v>636.3723333333335</v>
      </c>
      <c r="F15" s="40">
        <f>F47</f>
        <v>636.3723333333335</v>
      </c>
      <c r="G15" s="40">
        <f>G47</f>
        <v>636.3723333333335</v>
      </c>
      <c r="H15" s="40">
        <f>H47</f>
        <v>636.3723333333335</v>
      </c>
      <c r="I15" s="40">
        <f>I47</f>
        <v>636.3723333333335</v>
      </c>
      <c r="J15" s="40">
        <f>J47</f>
        <v>636.3723333333335</v>
      </c>
      <c r="K15" s="40">
        <f>K47</f>
        <v>636.3723333333335</v>
      </c>
      <c r="L15" s="40">
        <f>L47</f>
        <v>636.3723333333335</v>
      </c>
      <c r="M15" s="40">
        <f>M47</f>
        <v>636.3723333333335</v>
      </c>
      <c r="N15" s="40">
        <f>N47</f>
        <v>636.3723333333335</v>
      </c>
    </row>
    <row r="16">
      <c r="B16" s="39" t="inlineStr">
        <is>
          <t>Трудозатраты текущих ремонтов (авто)</t>
        </is>
      </c>
      <c r="C16" s="24" t="inlineStr">
        <is>
          <t>ч-час/г</t>
        </is>
      </c>
      <c r="E16" s="40">
        <f>E125</f>
        <v>48.4</v>
      </c>
      <c r="F16" s="40">
        <f>F125</f>
        <v>174.3</v>
      </c>
      <c r="G16" s="40">
        <f>G125</f>
        <v>228.3</v>
      </c>
      <c r="H16" s="40">
        <f>H125</f>
        <v>174.3</v>
      </c>
      <c r="I16" s="40">
        <f>I125</f>
        <v>220.4</v>
      </c>
      <c r="J16" s="40">
        <f>J125</f>
        <v>255.8</v>
      </c>
      <c r="K16" s="40">
        <f>K125</f>
        <v>226.3</v>
      </c>
      <c r="L16" s="40">
        <f>L125</f>
        <v>176.3</v>
      </c>
      <c r="M16" s="40">
        <f>M125</f>
        <v>214.4</v>
      </c>
      <c r="N16" s="40">
        <f>N125</f>
        <v>365.3</v>
      </c>
    </row>
    <row r="17">
      <c r="B17" s="39" t="inlineStr">
        <is>
          <t>Трудозатраты капремонтов (авто)</t>
        </is>
      </c>
      <c r="C17" s="24" t="inlineStr">
        <is>
          <t>ч-час/г</t>
        </is>
      </c>
      <c r="E17" s="40">
        <f>E251</f>
        <v>36.60000000000001</v>
      </c>
      <c r="F17" s="40">
        <f>F251</f>
        <v>192.66</v>
      </c>
      <c r="G17" s="40">
        <f>G251</f>
        <v>330.45</v>
      </c>
      <c r="H17" s="40">
        <f>H251</f>
        <v>188.56</v>
      </c>
      <c r="I17" s="40">
        <f>I251</f>
        <v>267.75</v>
      </c>
      <c r="J17" s="40">
        <f>J251</f>
        <v>319.96000000000004</v>
      </c>
      <c r="K17" s="40">
        <f>K251</f>
        <v>300.71</v>
      </c>
      <c r="L17" s="40">
        <f>L251</f>
        <v>155.4</v>
      </c>
      <c r="M17" s="40">
        <f>M251</f>
        <v>403.40999999999997</v>
      </c>
      <c r="N17" s="40">
        <f>N251</f>
        <v>102.4</v>
      </c>
    </row>
    <row r="18">
      <c r="B18" s="39" t="inlineStr">
        <is>
          <t>Сервис (трудозатраты ТО+ТР+КР)</t>
        </is>
      </c>
      <c r="C18" s="24" t="inlineStr">
        <is>
          <t>тыс.вал/г</t>
        </is>
      </c>
      <c r="E18" s="42">
        <f>(E15+E16+E17)*$E$23/1000</f>
        <v>41.76292665221791</v>
      </c>
      <c r="F18" s="42">
        <f>(F15+F16+F17)*$E$23/1000</f>
        <v>58.08663946283677</v>
      </c>
      <c r="G18" s="42">
        <f>(G15+G16+G17)*$E$23/1000</f>
        <v>69.19007569474411</v>
      </c>
      <c r="H18" s="42">
        <f>(H15+H16+H17)*$E$23/1000</f>
        <v>57.84927521782494</v>
      </c>
      <c r="I18" s="42">
        <f>(I15+I16+I17)*$E$23/1000</f>
        <v>65.10277918307688</v>
      </c>
      <c r="J18" s="42">
        <f>(J15+J16+J17)*$E$23/1000</f>
        <v>70.17484784295176</v>
      </c>
      <c r="K18" s="42">
        <f>(K15+K16+K17)*$E$23/1000</f>
        <v>67.35252907604273</v>
      </c>
      <c r="L18" s="42">
        <f>(L15+L16+L17)*$E$23/1000</f>
        <v>56.04530695573498</v>
      </c>
      <c r="M18" s="42">
        <f>(M15+M16+M17)*$E$23/1000</f>
        <v>72.60927869728047</v>
      </c>
      <c r="N18" s="42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4" t="inlineStr">
        <is>
          <t>коэф.</t>
        </is>
      </c>
      <c r="E19" s="27" t="n">
        <v>0.4664</v>
      </c>
    </row>
    <row r="20">
      <c r="B20" s="39" t="inlineStr">
        <is>
          <t>ИТОГО ТОиР → «Данные по годам»</t>
        </is>
      </c>
      <c r="C20" s="24" t="inlineStr">
        <is>
          <t>тыс.вал/г</t>
        </is>
      </c>
      <c r="E20" s="42">
        <f>(E12+E13+E14+E18)*$E$19</f>
        <v>88.48816679590111</v>
      </c>
      <c r="F20" s="42">
        <f>(F12+F13+F14+F18)*$E$19</f>
        <v>213.86082562677373</v>
      </c>
      <c r="G20" s="42">
        <f>(G12+G13+G14+G18)*$E$19</f>
        <v>368.1025173653353</v>
      </c>
      <c r="H20" s="42">
        <f>(H12+H13+H14+H18)*$E$19</f>
        <v>321.3012313589002</v>
      </c>
      <c r="I20" s="42">
        <f>(I12+I13+I14+I18)*$E$19</f>
        <v>446.0505984322938</v>
      </c>
      <c r="J20" s="42">
        <f>(J12+J13+J14+J18)*$E$19</f>
        <v>298.42016162325933</v>
      </c>
      <c r="K20" s="42">
        <f>(K12+K13+K14+K18)*$E$19</f>
        <v>437.90243180637304</v>
      </c>
      <c r="L20" s="42">
        <f>(L12+L13+L14+L18)*$E$19</f>
        <v>222.39861226546145</v>
      </c>
      <c r="M20" s="42">
        <f>(M12+M13+M14+M18)*$E$19</f>
        <v>510.81187060571824</v>
      </c>
      <c r="N20" s="42">
        <f>(N12+N13+N14+N18)*$E$19</f>
        <v>274.6556473504368</v>
      </c>
    </row>
    <row r="21">
      <c r="B21" s="22" t="inlineStr">
        <is>
          <t>Удельный расход ДТ / энергии</t>
        </is>
      </c>
      <c r="C21" s="24" t="inlineStr">
        <is>
          <t>кг(кВт)/час</t>
        </is>
      </c>
      <c r="E21" s="34" t="n">
        <v>66.3</v>
      </c>
      <c r="F21" s="34" t="n">
        <v>66.3</v>
      </c>
      <c r="G21" s="34" t="n">
        <v>66.3</v>
      </c>
      <c r="H21" s="34" t="n">
        <v>66.3</v>
      </c>
      <c r="I21" s="34" t="n">
        <v>66.3</v>
      </c>
      <c r="J21" s="34" t="n">
        <v>66.3</v>
      </c>
      <c r="K21" s="34" t="n">
        <v>66.3</v>
      </c>
      <c r="L21" s="34" t="n">
        <v>66.3</v>
      </c>
      <c r="M21" s="34" t="n">
        <v>66.3</v>
      </c>
      <c r="N21" s="34" t="n">
        <v>66.3</v>
      </c>
    </row>
    <row r="23">
      <c r="B23" s="22" t="inlineStr">
        <is>
          <t>Ставка сервиса</t>
        </is>
      </c>
      <c r="C23" s="24" t="inlineStr">
        <is>
          <t>вал/ч·час</t>
        </is>
      </c>
      <c r="E23" s="27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2" t="n">
        <v>7000</v>
      </c>
      <c r="F25" s="32" t="n">
        <v>7000</v>
      </c>
      <c r="G25" s="32" t="n">
        <v>7000</v>
      </c>
      <c r="H25" s="32" t="n">
        <v>7000</v>
      </c>
      <c r="I25" s="32" t="n">
        <v>7000</v>
      </c>
      <c r="J25" s="32" t="n">
        <v>7000</v>
      </c>
      <c r="K25" s="32" t="n">
        <v>7000</v>
      </c>
      <c r="L25" s="32" t="n">
        <v>7000</v>
      </c>
      <c r="M25" s="32" t="n">
        <v>7000</v>
      </c>
      <c r="N25" s="32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3" t="n">
        <v>250</v>
      </c>
      <c r="D27" s="44" t="n">
        <v>10.9</v>
      </c>
      <c r="E27" s="43" t="n">
        <v>1</v>
      </c>
    </row>
    <row r="28">
      <c r="B28" s="22" t="inlineStr">
        <is>
          <t>ТО-2</t>
        </is>
      </c>
      <c r="C28" s="43" t="n">
        <v>500</v>
      </c>
      <c r="D28" s="44" t="n">
        <v>13.5</v>
      </c>
      <c r="E28" s="43" t="n">
        <v>1</v>
      </c>
    </row>
    <row r="29">
      <c r="B29" s="22" t="inlineStr">
        <is>
          <t>ТО-3</t>
        </is>
      </c>
      <c r="C29" s="43" t="n">
        <v>1000</v>
      </c>
      <c r="D29" s="44" t="n">
        <v>12.43</v>
      </c>
      <c r="E29" s="43" t="n">
        <v>1</v>
      </c>
    </row>
    <row r="30">
      <c r="B30" s="22" t="inlineStr">
        <is>
          <t>ТО-4</t>
        </is>
      </c>
      <c r="C30" s="43" t="n">
        <v>2000</v>
      </c>
      <c r="D30" s="44" t="n">
        <v>5.67</v>
      </c>
      <c r="E30" s="43" t="n">
        <v>1</v>
      </c>
    </row>
    <row r="31">
      <c r="B31" s="22" t="inlineStr">
        <is>
          <t>ТО-5</t>
        </is>
      </c>
      <c r="C31" s="43" t="n">
        <v>3000</v>
      </c>
      <c r="D31" s="44" t="n">
        <v>10.06</v>
      </c>
      <c r="E31" s="43" t="n">
        <v>1</v>
      </c>
    </row>
    <row r="32">
      <c r="B32" s="22" t="inlineStr">
        <is>
          <t>ТО-6</t>
        </is>
      </c>
      <c r="C32" s="43" t="n">
        <v>5000</v>
      </c>
      <c r="D32" s="44" t="n">
        <v>8.460000000000001</v>
      </c>
      <c r="E32" s="43" t="n">
        <v>1</v>
      </c>
    </row>
    <row r="34">
      <c r="B34" s="39" t="inlineStr">
        <is>
          <t>ТО-1: простои, ч/год</t>
        </is>
      </c>
      <c r="C34" s="24" t="inlineStr">
        <is>
          <t>ч</t>
        </is>
      </c>
      <c r="E34" s="42">
        <f>E$25/$C27*$D27</f>
        <v>305.2</v>
      </c>
      <c r="F34" s="42">
        <f>F$25/$C27*$D27</f>
        <v>305.2</v>
      </c>
      <c r="G34" s="42">
        <f>G$25/$C27*$D27</f>
        <v>305.2</v>
      </c>
      <c r="H34" s="42">
        <f>H$25/$C27*$D27</f>
        <v>305.2</v>
      </c>
      <c r="I34" s="42">
        <f>I$25/$C27*$D27</f>
        <v>305.2</v>
      </c>
      <c r="J34" s="42">
        <f>J$25/$C27*$D27</f>
        <v>305.2</v>
      </c>
      <c r="K34" s="42">
        <f>K$25/$C27*$D27</f>
        <v>305.2</v>
      </c>
      <c r="L34" s="42">
        <f>L$25/$C27*$D27</f>
        <v>305.2</v>
      </c>
      <c r="M34" s="42">
        <f>M$25/$C27*$D27</f>
        <v>305.2</v>
      </c>
      <c r="N34" s="42">
        <f>N$25/$C27*$D27</f>
        <v>305.2</v>
      </c>
    </row>
    <row r="35">
      <c r="B35" s="39" t="inlineStr">
        <is>
          <t>ТО-2: простои, ч/год</t>
        </is>
      </c>
      <c r="C35" s="24" t="inlineStr">
        <is>
          <t>ч</t>
        </is>
      </c>
      <c r="E35" s="42">
        <f>E$25/$C28*$D28</f>
        <v>189.0</v>
      </c>
      <c r="F35" s="42">
        <f>F$25/$C28*$D28</f>
        <v>189.0</v>
      </c>
      <c r="G35" s="42">
        <f>G$25/$C28*$D28</f>
        <v>189.0</v>
      </c>
      <c r="H35" s="42">
        <f>H$25/$C28*$D28</f>
        <v>189.0</v>
      </c>
      <c r="I35" s="42">
        <f>I$25/$C28*$D28</f>
        <v>189.0</v>
      </c>
      <c r="J35" s="42">
        <f>J$25/$C28*$D28</f>
        <v>189.0</v>
      </c>
      <c r="K35" s="42">
        <f>K$25/$C28*$D28</f>
        <v>189.0</v>
      </c>
      <c r="L35" s="42">
        <f>L$25/$C28*$D28</f>
        <v>189.0</v>
      </c>
      <c r="M35" s="42">
        <f>M$25/$C28*$D28</f>
        <v>189.0</v>
      </c>
      <c r="N35" s="42">
        <f>N$25/$C28*$D28</f>
        <v>189.0</v>
      </c>
    </row>
    <row r="36">
      <c r="B36" s="39" t="inlineStr">
        <is>
          <t>ТО-3: простои, ч/год</t>
        </is>
      </c>
      <c r="C36" s="24" t="inlineStr">
        <is>
          <t>ч</t>
        </is>
      </c>
      <c r="E36" s="42">
        <f>E$25/$C29*$D29</f>
        <v>87.00999999999999</v>
      </c>
      <c r="F36" s="42">
        <f>F$25/$C29*$D29</f>
        <v>87.00999999999999</v>
      </c>
      <c r="G36" s="42">
        <f>G$25/$C29*$D29</f>
        <v>87.00999999999999</v>
      </c>
      <c r="H36" s="42">
        <f>H$25/$C29*$D29</f>
        <v>87.00999999999999</v>
      </c>
      <c r="I36" s="42">
        <f>I$25/$C29*$D29</f>
        <v>87.00999999999999</v>
      </c>
      <c r="J36" s="42">
        <f>J$25/$C29*$D29</f>
        <v>87.00999999999999</v>
      </c>
      <c r="K36" s="42">
        <f>K$25/$C29*$D29</f>
        <v>87.00999999999999</v>
      </c>
      <c r="L36" s="42">
        <f>L$25/$C29*$D29</f>
        <v>87.00999999999999</v>
      </c>
      <c r="M36" s="42">
        <f>M$25/$C29*$D29</f>
        <v>87.00999999999999</v>
      </c>
      <c r="N36" s="42">
        <f>N$25/$C29*$D29</f>
        <v>87.00999999999999</v>
      </c>
    </row>
    <row r="37">
      <c r="B37" s="39" t="inlineStr">
        <is>
          <t>ТО-4: простои, ч/год</t>
        </is>
      </c>
      <c r="C37" s="24" t="inlineStr">
        <is>
          <t>ч</t>
        </is>
      </c>
      <c r="E37" s="42">
        <f>E$25/$C30*$D30</f>
        <v>19.845</v>
      </c>
      <c r="F37" s="42">
        <f>F$25/$C30*$D30</f>
        <v>19.845</v>
      </c>
      <c r="G37" s="42">
        <f>G$25/$C30*$D30</f>
        <v>19.845</v>
      </c>
      <c r="H37" s="42">
        <f>H$25/$C30*$D30</f>
        <v>19.845</v>
      </c>
      <c r="I37" s="42">
        <f>I$25/$C30*$D30</f>
        <v>19.845</v>
      </c>
      <c r="J37" s="42">
        <f>J$25/$C30*$D30</f>
        <v>19.845</v>
      </c>
      <c r="K37" s="42">
        <f>K$25/$C30*$D30</f>
        <v>19.845</v>
      </c>
      <c r="L37" s="42">
        <f>L$25/$C30*$D30</f>
        <v>19.845</v>
      </c>
      <c r="M37" s="42">
        <f>M$25/$C30*$D30</f>
        <v>19.845</v>
      </c>
      <c r="N37" s="42">
        <f>N$25/$C30*$D30</f>
        <v>19.845</v>
      </c>
    </row>
    <row r="38">
      <c r="B38" s="39" t="inlineStr">
        <is>
          <t>ТО-5: простои, ч/год</t>
        </is>
      </c>
      <c r="C38" s="24" t="inlineStr">
        <is>
          <t>ч</t>
        </is>
      </c>
      <c r="E38" s="42">
        <f>E$25/$C31*$D31</f>
        <v>23.473333333333336</v>
      </c>
      <c r="F38" s="42">
        <f>F$25/$C31*$D31</f>
        <v>23.473333333333336</v>
      </c>
      <c r="G38" s="42">
        <f>G$25/$C31*$D31</f>
        <v>23.473333333333336</v>
      </c>
      <c r="H38" s="42">
        <f>H$25/$C31*$D31</f>
        <v>23.473333333333336</v>
      </c>
      <c r="I38" s="42">
        <f>I$25/$C31*$D31</f>
        <v>23.473333333333336</v>
      </c>
      <c r="J38" s="42">
        <f>J$25/$C31*$D31</f>
        <v>23.473333333333336</v>
      </c>
      <c r="K38" s="42">
        <f>K$25/$C31*$D31</f>
        <v>23.473333333333336</v>
      </c>
      <c r="L38" s="42">
        <f>L$25/$C31*$D31</f>
        <v>23.473333333333336</v>
      </c>
      <c r="M38" s="42">
        <f>M$25/$C31*$D31</f>
        <v>23.473333333333336</v>
      </c>
      <c r="N38" s="42">
        <f>N$25/$C31*$D31</f>
        <v>23.473333333333336</v>
      </c>
    </row>
    <row r="39">
      <c r="B39" s="39" t="inlineStr">
        <is>
          <t>ТО-6: простои, ч/год</t>
        </is>
      </c>
      <c r="C39" s="24" t="inlineStr">
        <is>
          <t>ч</t>
        </is>
      </c>
      <c r="E39" s="42">
        <f>E$25/$C32*$D32</f>
        <v>11.844000000000001</v>
      </c>
      <c r="F39" s="42">
        <f>F$25/$C32*$D32</f>
        <v>11.844000000000001</v>
      </c>
      <c r="G39" s="42">
        <f>G$25/$C32*$D32</f>
        <v>11.844000000000001</v>
      </c>
      <c r="H39" s="42">
        <f>H$25/$C32*$D32</f>
        <v>11.844000000000001</v>
      </c>
      <c r="I39" s="42">
        <f>I$25/$C32*$D32</f>
        <v>11.844000000000001</v>
      </c>
      <c r="J39" s="42">
        <f>J$25/$C32*$D32</f>
        <v>11.844000000000001</v>
      </c>
      <c r="K39" s="42">
        <f>K$25/$C32*$D32</f>
        <v>11.844000000000001</v>
      </c>
      <c r="L39" s="42">
        <f>L$25/$C32*$D32</f>
        <v>11.844000000000001</v>
      </c>
      <c r="M39" s="42">
        <f>M$25/$C32*$D32</f>
        <v>11.844000000000001</v>
      </c>
      <c r="N39" s="42">
        <f>N$25/$C32*$D32</f>
        <v>11.844000000000001</v>
      </c>
    </row>
    <row r="40">
      <c r="B40" s="39" t="inlineStr">
        <is>
          <t>Итого простои ТО</t>
        </is>
      </c>
      <c r="E40" s="42">
        <f>SUM(E34:E39)</f>
        <v>636.3723333333335</v>
      </c>
      <c r="F40" s="42">
        <f>SUM(F34:F39)</f>
        <v>636.3723333333335</v>
      </c>
      <c r="G40" s="42">
        <f>SUM(G34:G39)</f>
        <v>636.3723333333335</v>
      </c>
      <c r="H40" s="42">
        <f>SUM(H34:H39)</f>
        <v>636.3723333333335</v>
      </c>
      <c r="I40" s="42">
        <f>SUM(I34:I39)</f>
        <v>636.3723333333335</v>
      </c>
      <c r="J40" s="42">
        <f>SUM(J34:J39)</f>
        <v>636.3723333333335</v>
      </c>
      <c r="K40" s="42">
        <f>SUM(K34:K39)</f>
        <v>636.3723333333335</v>
      </c>
      <c r="L40" s="42">
        <f>SUM(L34:L39)</f>
        <v>636.3723333333335</v>
      </c>
      <c r="M40" s="42">
        <f>SUM(M34:M39)</f>
        <v>636.3723333333335</v>
      </c>
      <c r="N40" s="42">
        <f>SUM(N34:N39)</f>
        <v>636.3723333333335</v>
      </c>
    </row>
    <row r="41">
      <c r="B41" s="39" t="inlineStr">
        <is>
          <t>ТО-1: чел-часы/год</t>
        </is>
      </c>
      <c r="C41" s="24" t="inlineStr">
        <is>
          <t>ч-час</t>
        </is>
      </c>
      <c r="E41" s="42">
        <f>E34*$E27</f>
        <v>305.2</v>
      </c>
      <c r="F41" s="42">
        <f>F34*$E27</f>
        <v>305.2</v>
      </c>
      <c r="G41" s="42">
        <f>G34*$E27</f>
        <v>305.2</v>
      </c>
      <c r="H41" s="42">
        <f>H34*$E27</f>
        <v>305.2</v>
      </c>
      <c r="I41" s="42">
        <f>I34*$E27</f>
        <v>305.2</v>
      </c>
      <c r="J41" s="42">
        <f>J34*$E27</f>
        <v>305.2</v>
      </c>
      <c r="K41" s="42">
        <f>K34*$E27</f>
        <v>305.2</v>
      </c>
      <c r="L41" s="42">
        <f>L34*$E27</f>
        <v>305.2</v>
      </c>
      <c r="M41" s="42">
        <f>M34*$E27</f>
        <v>305.2</v>
      </c>
      <c r="N41" s="42">
        <f>N34*$E27</f>
        <v>305.2</v>
      </c>
    </row>
    <row r="42">
      <c r="B42" s="39" t="inlineStr">
        <is>
          <t>ТО-2: чел-часы/год</t>
        </is>
      </c>
      <c r="C42" s="24" t="inlineStr">
        <is>
          <t>ч-час</t>
        </is>
      </c>
      <c r="E42" s="42">
        <f>E35*$E28</f>
        <v>189.0</v>
      </c>
      <c r="F42" s="42">
        <f>F35*$E28</f>
        <v>189.0</v>
      </c>
      <c r="G42" s="42">
        <f>G35*$E28</f>
        <v>189.0</v>
      </c>
      <c r="H42" s="42">
        <f>H35*$E28</f>
        <v>189.0</v>
      </c>
      <c r="I42" s="42">
        <f>I35*$E28</f>
        <v>189.0</v>
      </c>
      <c r="J42" s="42">
        <f>J35*$E28</f>
        <v>189.0</v>
      </c>
      <c r="K42" s="42">
        <f>K35*$E28</f>
        <v>189.0</v>
      </c>
      <c r="L42" s="42">
        <f>L35*$E28</f>
        <v>189.0</v>
      </c>
      <c r="M42" s="42">
        <f>M35*$E28</f>
        <v>189.0</v>
      </c>
      <c r="N42" s="42">
        <f>N35*$E28</f>
        <v>189.0</v>
      </c>
    </row>
    <row r="43">
      <c r="B43" s="39" t="inlineStr">
        <is>
          <t>ТО-3: чел-часы/год</t>
        </is>
      </c>
      <c r="C43" s="24" t="inlineStr">
        <is>
          <t>ч-час</t>
        </is>
      </c>
      <c r="E43" s="42">
        <f>E36*$E29</f>
        <v>87.00999999999999</v>
      </c>
      <c r="F43" s="42">
        <f>F36*$E29</f>
        <v>87.00999999999999</v>
      </c>
      <c r="G43" s="42">
        <f>G36*$E29</f>
        <v>87.00999999999999</v>
      </c>
      <c r="H43" s="42">
        <f>H36*$E29</f>
        <v>87.00999999999999</v>
      </c>
      <c r="I43" s="42">
        <f>I36*$E29</f>
        <v>87.00999999999999</v>
      </c>
      <c r="J43" s="42">
        <f>J36*$E29</f>
        <v>87.00999999999999</v>
      </c>
      <c r="K43" s="42">
        <f>K36*$E29</f>
        <v>87.00999999999999</v>
      </c>
      <c r="L43" s="42">
        <f>L36*$E29</f>
        <v>87.00999999999999</v>
      </c>
      <c r="M43" s="42">
        <f>M36*$E29</f>
        <v>87.00999999999999</v>
      </c>
      <c r="N43" s="42">
        <f>N36*$E29</f>
        <v>87.00999999999999</v>
      </c>
    </row>
    <row r="44">
      <c r="B44" s="39" t="inlineStr">
        <is>
          <t>ТО-4: чел-часы/год</t>
        </is>
      </c>
      <c r="C44" s="24" t="inlineStr">
        <is>
          <t>ч-час</t>
        </is>
      </c>
      <c r="E44" s="42">
        <f>E37*$E30</f>
        <v>19.845</v>
      </c>
      <c r="F44" s="42">
        <f>F37*$E30</f>
        <v>19.845</v>
      </c>
      <c r="G44" s="42">
        <f>G37*$E30</f>
        <v>19.845</v>
      </c>
      <c r="H44" s="42">
        <f>H37*$E30</f>
        <v>19.845</v>
      </c>
      <c r="I44" s="42">
        <f>I37*$E30</f>
        <v>19.845</v>
      </c>
      <c r="J44" s="42">
        <f>J37*$E30</f>
        <v>19.845</v>
      </c>
      <c r="K44" s="42">
        <f>K37*$E30</f>
        <v>19.845</v>
      </c>
      <c r="L44" s="42">
        <f>L37*$E30</f>
        <v>19.845</v>
      </c>
      <c r="M44" s="42">
        <f>M37*$E30</f>
        <v>19.845</v>
      </c>
      <c r="N44" s="42">
        <f>N37*$E30</f>
        <v>19.845</v>
      </c>
    </row>
    <row r="45">
      <c r="B45" s="39" t="inlineStr">
        <is>
          <t>ТО-5: чел-часы/год</t>
        </is>
      </c>
      <c r="C45" s="24" t="inlineStr">
        <is>
          <t>ч-час</t>
        </is>
      </c>
      <c r="E45" s="42">
        <f>E38*$E31</f>
        <v>23.473333333333336</v>
      </c>
      <c r="F45" s="42">
        <f>F38*$E31</f>
        <v>23.473333333333336</v>
      </c>
      <c r="G45" s="42">
        <f>G38*$E31</f>
        <v>23.473333333333336</v>
      </c>
      <c r="H45" s="42">
        <f>H38*$E31</f>
        <v>23.473333333333336</v>
      </c>
      <c r="I45" s="42">
        <f>I38*$E31</f>
        <v>23.473333333333336</v>
      </c>
      <c r="J45" s="42">
        <f>J38*$E31</f>
        <v>23.473333333333336</v>
      </c>
      <c r="K45" s="42">
        <f>K38*$E31</f>
        <v>23.473333333333336</v>
      </c>
      <c r="L45" s="42">
        <f>L38*$E31</f>
        <v>23.473333333333336</v>
      </c>
      <c r="M45" s="42">
        <f>M38*$E31</f>
        <v>23.473333333333336</v>
      </c>
      <c r="N45" s="42">
        <f>N38*$E31</f>
        <v>23.473333333333336</v>
      </c>
    </row>
    <row r="46">
      <c r="B46" s="39" t="inlineStr">
        <is>
          <t>ТО-6: чел-часы/год</t>
        </is>
      </c>
      <c r="C46" s="24" t="inlineStr">
        <is>
          <t>ч-час</t>
        </is>
      </c>
      <c r="E46" s="42">
        <f>E39*$E32</f>
        <v>11.844000000000001</v>
      </c>
      <c r="F46" s="42">
        <f>F39*$E32</f>
        <v>11.844000000000001</v>
      </c>
      <c r="G46" s="42">
        <f>G39*$E32</f>
        <v>11.844000000000001</v>
      </c>
      <c r="H46" s="42">
        <f>H39*$E32</f>
        <v>11.844000000000001</v>
      </c>
      <c r="I46" s="42">
        <f>I39*$E32</f>
        <v>11.844000000000001</v>
      </c>
      <c r="J46" s="42">
        <f>J39*$E32</f>
        <v>11.844000000000001</v>
      </c>
      <c r="K46" s="42">
        <f>K39*$E32</f>
        <v>11.844000000000001</v>
      </c>
      <c r="L46" s="42">
        <f>L39*$E32</f>
        <v>11.844000000000001</v>
      </c>
      <c r="M46" s="42">
        <f>M39*$E32</f>
        <v>11.844000000000001</v>
      </c>
      <c r="N46" s="42">
        <f>N39*$E32</f>
        <v>11.844000000000001</v>
      </c>
    </row>
    <row r="47">
      <c r="B47" s="39" t="inlineStr">
        <is>
          <t>Итого чел-часы ТО</t>
        </is>
      </c>
      <c r="E47" s="42">
        <f>SUM(E41:E46)</f>
        <v>636.3723333333335</v>
      </c>
      <c r="F47" s="42">
        <f>SUM(F41:F46)</f>
        <v>636.3723333333335</v>
      </c>
      <c r="G47" s="42">
        <f>SUM(G41:G46)</f>
        <v>636.3723333333335</v>
      </c>
      <c r="H47" s="42">
        <f>SUM(H41:H46)</f>
        <v>636.3723333333335</v>
      </c>
      <c r="I47" s="42">
        <f>SUM(I41:I46)</f>
        <v>636.3723333333335</v>
      </c>
      <c r="J47" s="42">
        <f>SUM(J41:J46)</f>
        <v>636.3723333333335</v>
      </c>
      <c r="K47" s="42">
        <f>SUM(K41:K46)</f>
        <v>636.3723333333335</v>
      </c>
      <c r="L47" s="42">
        <f>SUM(L41:L46)</f>
        <v>636.3723333333335</v>
      </c>
      <c r="M47" s="42">
        <f>SUM(M41:M46)</f>
        <v>636.3723333333335</v>
      </c>
      <c r="N47" s="42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44" t="n">
        <v>6.77</v>
      </c>
      <c r="D51" s="44" t="n">
        <v>70</v>
      </c>
      <c r="E51" s="42">
        <f>E$25/INDEX($C$27:$C$32,$P51)*D51*C51/1000</f>
        <v>13.2692</v>
      </c>
      <c r="F51" s="42">
        <f>F$25/INDEX($C$27:$C$32,$P51)*D51*C51/1000</f>
        <v>13.2692</v>
      </c>
      <c r="G51" s="42">
        <f>G$25/INDEX($C$27:$C$32,$P51)*D51*C51/1000</f>
        <v>13.2692</v>
      </c>
      <c r="H51" s="42">
        <f>H$25/INDEX($C$27:$C$32,$P51)*D51*C51/1000</f>
        <v>13.2692</v>
      </c>
      <c r="I51" s="42">
        <f>I$25/INDEX($C$27:$C$32,$P51)*D51*C51/1000</f>
        <v>13.2692</v>
      </c>
      <c r="J51" s="42">
        <f>J$25/INDEX($C$27:$C$32,$P51)*D51*C51/1000</f>
        <v>13.2692</v>
      </c>
      <c r="K51" s="42">
        <f>K$25/INDEX($C$27:$C$32,$P51)*D51*C51/1000</f>
        <v>13.2692</v>
      </c>
      <c r="L51" s="42">
        <f>L$25/INDEX($C$27:$C$32,$P51)*D51*C51/1000</f>
        <v>13.2692</v>
      </c>
      <c r="M51" s="42">
        <f>M$25/INDEX($C$27:$C$32,$P51)*D51*C51/1000</f>
        <v>13.2692</v>
      </c>
      <c r="N51" s="42">
        <f>N$25/INDEX($C$27:$C$32,$P51)*D51*C51/1000</f>
        <v>13.2692</v>
      </c>
      <c r="P51" s="43" t="n">
        <v>1</v>
      </c>
    </row>
    <row r="52">
      <c r="B52" s="22" t="inlineStr">
        <is>
          <t>Масляный фильтр двигателя</t>
        </is>
      </c>
      <c r="C52" s="44" t="n">
        <v>75.788</v>
      </c>
      <c r="D52" s="44" t="n">
        <v>2</v>
      </c>
      <c r="E52" s="42">
        <f>E$25/INDEX($C$27:$C$32,$P52)*D52*C52/1000</f>
        <v>4.244128</v>
      </c>
      <c r="F52" s="42">
        <f>F$25/INDEX($C$27:$C$32,$P52)*D52*C52/1000</f>
        <v>4.244128</v>
      </c>
      <c r="G52" s="42">
        <f>G$25/INDEX($C$27:$C$32,$P52)*D52*C52/1000</f>
        <v>4.244128</v>
      </c>
      <c r="H52" s="42">
        <f>H$25/INDEX($C$27:$C$32,$P52)*D52*C52/1000</f>
        <v>4.244128</v>
      </c>
      <c r="I52" s="42">
        <f>I$25/INDEX($C$27:$C$32,$P52)*D52*C52/1000</f>
        <v>4.244128</v>
      </c>
      <c r="J52" s="42">
        <f>J$25/INDEX($C$27:$C$32,$P52)*D52*C52/1000</f>
        <v>4.244128</v>
      </c>
      <c r="K52" s="42">
        <f>K$25/INDEX($C$27:$C$32,$P52)*D52*C52/1000</f>
        <v>4.244128</v>
      </c>
      <c r="L52" s="42">
        <f>L$25/INDEX($C$27:$C$32,$P52)*D52*C52/1000</f>
        <v>4.244128</v>
      </c>
      <c r="M52" s="42">
        <f>M$25/INDEX($C$27:$C$32,$P52)*D52*C52/1000</f>
        <v>4.244128</v>
      </c>
      <c r="N52" s="42">
        <f>N$25/INDEX($C$27:$C$32,$P52)*D52*C52/1000</f>
        <v>4.244128</v>
      </c>
      <c r="P52" s="43" t="n">
        <v>1</v>
      </c>
    </row>
    <row r="53">
      <c r="B53" s="22" t="inlineStr">
        <is>
          <t>Охлаждающая жидкость</t>
        </is>
      </c>
      <c r="C53" s="44" t="n">
        <v>4.368</v>
      </c>
      <c r="D53" s="44" t="n">
        <v>3</v>
      </c>
      <c r="E53" s="42">
        <f>E$25/INDEX($C$27:$C$32,$P53)*D53*C53/1000</f>
        <v>0.366912</v>
      </c>
      <c r="F53" s="42">
        <f>F$25/INDEX($C$27:$C$32,$P53)*D53*C53/1000</f>
        <v>0.366912</v>
      </c>
      <c r="G53" s="42">
        <f>G$25/INDEX($C$27:$C$32,$P53)*D53*C53/1000</f>
        <v>0.366912</v>
      </c>
      <c r="H53" s="42">
        <f>H$25/INDEX($C$27:$C$32,$P53)*D53*C53/1000</f>
        <v>0.366912</v>
      </c>
      <c r="I53" s="42">
        <f>I$25/INDEX($C$27:$C$32,$P53)*D53*C53/1000</f>
        <v>0.366912</v>
      </c>
      <c r="J53" s="42">
        <f>J$25/INDEX($C$27:$C$32,$P53)*D53*C53/1000</f>
        <v>0.366912</v>
      </c>
      <c r="K53" s="42">
        <f>K$25/INDEX($C$27:$C$32,$P53)*D53*C53/1000</f>
        <v>0.366912</v>
      </c>
      <c r="L53" s="42">
        <f>L$25/INDEX($C$27:$C$32,$P53)*D53*C53/1000</f>
        <v>0.366912</v>
      </c>
      <c r="M53" s="42">
        <f>M$25/INDEX($C$27:$C$32,$P53)*D53*C53/1000</f>
        <v>0.366912</v>
      </c>
      <c r="N53" s="42">
        <f>N$25/INDEX($C$27:$C$32,$P53)*D53*C53/1000</f>
        <v>0.366912</v>
      </c>
      <c r="P53" s="43" t="n">
        <v>1</v>
      </c>
    </row>
    <row r="54">
      <c r="B54" s="22" t="inlineStr">
        <is>
          <t>Воздушный фильтр первичный</t>
        </is>
      </c>
      <c r="C54" s="44" t="n">
        <v>51.588</v>
      </c>
      <c r="D54" s="44" t="n">
        <v>3</v>
      </c>
      <c r="E54" s="42">
        <f>E$25/INDEX($C$27:$C$32,$P54)*D54*C54/1000</f>
        <v>4.333392</v>
      </c>
      <c r="F54" s="42">
        <f>F$25/INDEX($C$27:$C$32,$P54)*D54*C54/1000</f>
        <v>4.333392</v>
      </c>
      <c r="G54" s="42">
        <f>G$25/INDEX($C$27:$C$32,$P54)*D54*C54/1000</f>
        <v>4.333392</v>
      </c>
      <c r="H54" s="42">
        <f>H$25/INDEX($C$27:$C$32,$P54)*D54*C54/1000</f>
        <v>4.333392</v>
      </c>
      <c r="I54" s="42">
        <f>I$25/INDEX($C$27:$C$32,$P54)*D54*C54/1000</f>
        <v>4.333392</v>
      </c>
      <c r="J54" s="42">
        <f>J$25/INDEX($C$27:$C$32,$P54)*D54*C54/1000</f>
        <v>4.333392</v>
      </c>
      <c r="K54" s="42">
        <f>K$25/INDEX($C$27:$C$32,$P54)*D54*C54/1000</f>
        <v>4.333392</v>
      </c>
      <c r="L54" s="42">
        <f>L$25/INDEX($C$27:$C$32,$P54)*D54*C54/1000</f>
        <v>4.333392</v>
      </c>
      <c r="M54" s="42">
        <f>M$25/INDEX($C$27:$C$32,$P54)*D54*C54/1000</f>
        <v>4.333392</v>
      </c>
      <c r="N54" s="42">
        <f>N$25/INDEX($C$27:$C$32,$P54)*D54*C54/1000</f>
        <v>4.333392</v>
      </c>
      <c r="P54" s="43" t="n">
        <v>1</v>
      </c>
    </row>
    <row r="55">
      <c r="B55" s="22" t="inlineStr">
        <is>
          <t>Воздушный фильтр вторичный</t>
        </is>
      </c>
      <c r="C55" s="44" t="n">
        <v>37.65</v>
      </c>
      <c r="D55" s="44" t="n">
        <v>3</v>
      </c>
      <c r="E55" s="42">
        <f>E$25/INDEX($C$27:$C$32,$P55)*D55*C55/1000</f>
        <v>3.1626</v>
      </c>
      <c r="F55" s="42">
        <f>F$25/INDEX($C$27:$C$32,$P55)*D55*C55/1000</f>
        <v>3.1626</v>
      </c>
      <c r="G55" s="42">
        <f>G$25/INDEX($C$27:$C$32,$P55)*D55*C55/1000</f>
        <v>3.1626</v>
      </c>
      <c r="H55" s="42">
        <f>H$25/INDEX($C$27:$C$32,$P55)*D55*C55/1000</f>
        <v>3.1626</v>
      </c>
      <c r="I55" s="42">
        <f>I$25/INDEX($C$27:$C$32,$P55)*D55*C55/1000</f>
        <v>3.1626</v>
      </c>
      <c r="J55" s="42">
        <f>J$25/INDEX($C$27:$C$32,$P55)*D55*C55/1000</f>
        <v>3.1626</v>
      </c>
      <c r="K55" s="42">
        <f>K$25/INDEX($C$27:$C$32,$P55)*D55*C55/1000</f>
        <v>3.1626</v>
      </c>
      <c r="L55" s="42">
        <f>L$25/INDEX($C$27:$C$32,$P55)*D55*C55/1000</f>
        <v>3.1626</v>
      </c>
      <c r="M55" s="42">
        <f>M$25/INDEX($C$27:$C$32,$P55)*D55*C55/1000</f>
        <v>3.1626</v>
      </c>
      <c r="N55" s="42">
        <f>N$25/INDEX($C$27:$C$32,$P55)*D55*C55/1000</f>
        <v>3.1626</v>
      </c>
      <c r="P55" s="43" t="n">
        <v>1</v>
      </c>
    </row>
    <row r="56">
      <c r="B56" s="22" t="inlineStr">
        <is>
          <t>Фильтр системы охл. ДВС</t>
        </is>
      </c>
      <c r="C56" s="44" t="n">
        <v>27.113</v>
      </c>
      <c r="D56" s="44" t="n">
        <v>2</v>
      </c>
      <c r="E56" s="42">
        <f>E$25/INDEX($C$27:$C$32,$P56)*D56*C56/1000</f>
        <v>1.518328</v>
      </c>
      <c r="F56" s="42">
        <f>F$25/INDEX($C$27:$C$32,$P56)*D56*C56/1000</f>
        <v>1.518328</v>
      </c>
      <c r="G56" s="42">
        <f>G$25/INDEX($C$27:$C$32,$P56)*D56*C56/1000</f>
        <v>1.518328</v>
      </c>
      <c r="H56" s="42">
        <f>H$25/INDEX($C$27:$C$32,$P56)*D56*C56/1000</f>
        <v>1.518328</v>
      </c>
      <c r="I56" s="42">
        <f>I$25/INDEX($C$27:$C$32,$P56)*D56*C56/1000</f>
        <v>1.518328</v>
      </c>
      <c r="J56" s="42">
        <f>J$25/INDEX($C$27:$C$32,$P56)*D56*C56/1000</f>
        <v>1.518328</v>
      </c>
      <c r="K56" s="42">
        <f>K$25/INDEX($C$27:$C$32,$P56)*D56*C56/1000</f>
        <v>1.518328</v>
      </c>
      <c r="L56" s="42">
        <f>L$25/INDEX($C$27:$C$32,$P56)*D56*C56/1000</f>
        <v>1.518328</v>
      </c>
      <c r="M56" s="42">
        <f>M$25/INDEX($C$27:$C$32,$P56)*D56*C56/1000</f>
        <v>1.518328</v>
      </c>
      <c r="N56" s="42">
        <f>N$25/INDEX($C$27:$C$32,$P56)*D56*C56/1000</f>
        <v>1.518328</v>
      </c>
      <c r="P56" s="43" t="n">
        <v>1</v>
      </c>
    </row>
    <row r="57">
      <c r="B57" s="22" t="inlineStr">
        <is>
          <t>Топливный фильтр первичный</t>
        </is>
      </c>
      <c r="C57" s="44" t="n">
        <v>65.66200000000001</v>
      </c>
      <c r="D57" s="44" t="n">
        <v>1</v>
      </c>
      <c r="E57" s="42">
        <f>E$25/INDEX($C$27:$C$32,$P57)*D57*C57/1000</f>
        <v>1.838536</v>
      </c>
      <c r="F57" s="42">
        <f>F$25/INDEX($C$27:$C$32,$P57)*D57*C57/1000</f>
        <v>1.838536</v>
      </c>
      <c r="G57" s="42">
        <f>G$25/INDEX($C$27:$C$32,$P57)*D57*C57/1000</f>
        <v>1.838536</v>
      </c>
      <c r="H57" s="42">
        <f>H$25/INDEX($C$27:$C$32,$P57)*D57*C57/1000</f>
        <v>1.838536</v>
      </c>
      <c r="I57" s="42">
        <f>I$25/INDEX($C$27:$C$32,$P57)*D57*C57/1000</f>
        <v>1.838536</v>
      </c>
      <c r="J57" s="42">
        <f>J$25/INDEX($C$27:$C$32,$P57)*D57*C57/1000</f>
        <v>1.838536</v>
      </c>
      <c r="K57" s="42">
        <f>K$25/INDEX($C$27:$C$32,$P57)*D57*C57/1000</f>
        <v>1.838536</v>
      </c>
      <c r="L57" s="42">
        <f>L$25/INDEX($C$27:$C$32,$P57)*D57*C57/1000</f>
        <v>1.838536</v>
      </c>
      <c r="M57" s="42">
        <f>M$25/INDEX($C$27:$C$32,$P57)*D57*C57/1000</f>
        <v>1.838536</v>
      </c>
      <c r="N57" s="42">
        <f>N$25/INDEX($C$27:$C$32,$P57)*D57*C57/1000</f>
        <v>1.838536</v>
      </c>
      <c r="P57" s="43" t="n">
        <v>1</v>
      </c>
    </row>
    <row r="58">
      <c r="B58" s="22" t="inlineStr">
        <is>
          <t>Топливный фильтр вторичный</t>
        </is>
      </c>
      <c r="C58" s="44" t="n">
        <v>127.662</v>
      </c>
      <c r="D58" s="44" t="n">
        <v>1</v>
      </c>
      <c r="E58" s="42">
        <f>E$25/INDEX($C$27:$C$32,$P58)*D58*C58/1000</f>
        <v>3.574536</v>
      </c>
      <c r="F58" s="42">
        <f>F$25/INDEX($C$27:$C$32,$P58)*D58*C58/1000</f>
        <v>3.574536</v>
      </c>
      <c r="G58" s="42">
        <f>G$25/INDEX($C$27:$C$32,$P58)*D58*C58/1000</f>
        <v>3.574536</v>
      </c>
      <c r="H58" s="42">
        <f>H$25/INDEX($C$27:$C$32,$P58)*D58*C58/1000</f>
        <v>3.574536</v>
      </c>
      <c r="I58" s="42">
        <f>I$25/INDEX($C$27:$C$32,$P58)*D58*C58/1000</f>
        <v>3.574536</v>
      </c>
      <c r="J58" s="42">
        <f>J$25/INDEX($C$27:$C$32,$P58)*D58*C58/1000</f>
        <v>3.574536</v>
      </c>
      <c r="K58" s="42">
        <f>K$25/INDEX($C$27:$C$32,$P58)*D58*C58/1000</f>
        <v>3.574536</v>
      </c>
      <c r="L58" s="42">
        <f>L$25/INDEX($C$27:$C$32,$P58)*D58*C58/1000</f>
        <v>3.574536</v>
      </c>
      <c r="M58" s="42">
        <f>M$25/INDEX($C$27:$C$32,$P58)*D58*C58/1000</f>
        <v>3.574536</v>
      </c>
      <c r="N58" s="42">
        <f>N$25/INDEX($C$27:$C$32,$P58)*D58*C58/1000</f>
        <v>3.574536</v>
      </c>
      <c r="P58" s="43" t="n">
        <v>1</v>
      </c>
    </row>
    <row r="59">
      <c r="B59" s="22" t="inlineStr">
        <is>
          <t>Влагоотделитель</t>
        </is>
      </c>
      <c r="C59" s="44" t="n">
        <v>14.612</v>
      </c>
      <c r="D59" s="44" t="n">
        <v>2</v>
      </c>
      <c r="E59" s="42">
        <f>E$25/INDEX($C$27:$C$32,$P59)*D59*C59/1000</f>
        <v>0.818272</v>
      </c>
      <c r="F59" s="42">
        <f>F$25/INDEX($C$27:$C$32,$P59)*D59*C59/1000</f>
        <v>0.818272</v>
      </c>
      <c r="G59" s="42">
        <f>G$25/INDEX($C$27:$C$32,$P59)*D59*C59/1000</f>
        <v>0.818272</v>
      </c>
      <c r="H59" s="42">
        <f>H$25/INDEX($C$27:$C$32,$P59)*D59*C59/1000</f>
        <v>0.818272</v>
      </c>
      <c r="I59" s="42">
        <f>I$25/INDEX($C$27:$C$32,$P59)*D59*C59/1000</f>
        <v>0.818272</v>
      </c>
      <c r="J59" s="42">
        <f>J$25/INDEX($C$27:$C$32,$P59)*D59*C59/1000</f>
        <v>0.818272</v>
      </c>
      <c r="K59" s="42">
        <f>K$25/INDEX($C$27:$C$32,$P59)*D59*C59/1000</f>
        <v>0.818272</v>
      </c>
      <c r="L59" s="42">
        <f>L$25/INDEX($C$27:$C$32,$P59)*D59*C59/1000</f>
        <v>0.818272</v>
      </c>
      <c r="M59" s="42">
        <f>M$25/INDEX($C$27:$C$32,$P59)*D59*C59/1000</f>
        <v>0.818272</v>
      </c>
      <c r="N59" s="42">
        <f>N$25/INDEX($C$27:$C$32,$P59)*D59*C59/1000</f>
        <v>0.818272</v>
      </c>
      <c r="P59" s="43" t="n">
        <v>1</v>
      </c>
    </row>
    <row r="60">
      <c r="B60" s="22" t="inlineStr">
        <is>
          <t>Консистентная смазка</t>
        </is>
      </c>
      <c r="C60" s="44" t="n">
        <v>10.752</v>
      </c>
      <c r="D60" s="44" t="n">
        <v>2</v>
      </c>
      <c r="E60" s="42">
        <f>E$25/INDEX($C$27:$C$32,$P60)*D60*C60/1000</f>
        <v>0.6021120000000001</v>
      </c>
      <c r="F60" s="42">
        <f>F$25/INDEX($C$27:$C$32,$P60)*D60*C60/1000</f>
        <v>0.6021120000000001</v>
      </c>
      <c r="G60" s="42">
        <f>G$25/INDEX($C$27:$C$32,$P60)*D60*C60/1000</f>
        <v>0.6021120000000001</v>
      </c>
      <c r="H60" s="42">
        <f>H$25/INDEX($C$27:$C$32,$P60)*D60*C60/1000</f>
        <v>0.6021120000000001</v>
      </c>
      <c r="I60" s="42">
        <f>I$25/INDEX($C$27:$C$32,$P60)*D60*C60/1000</f>
        <v>0.6021120000000001</v>
      </c>
      <c r="J60" s="42">
        <f>J$25/INDEX($C$27:$C$32,$P60)*D60*C60/1000</f>
        <v>0.6021120000000001</v>
      </c>
      <c r="K60" s="42">
        <f>K$25/INDEX($C$27:$C$32,$P60)*D60*C60/1000</f>
        <v>0.6021120000000001</v>
      </c>
      <c r="L60" s="42">
        <f>L$25/INDEX($C$27:$C$32,$P60)*D60*C60/1000</f>
        <v>0.6021120000000001</v>
      </c>
      <c r="M60" s="42">
        <f>M$25/INDEX($C$27:$C$32,$P60)*D60*C60/1000</f>
        <v>0.6021120000000001</v>
      </c>
      <c r="N60" s="42">
        <f>N$25/INDEX($C$27:$C$32,$P60)*D60*C60/1000</f>
        <v>0.6021120000000001</v>
      </c>
      <c r="P60" s="43" t="n">
        <v>1</v>
      </c>
    </row>
    <row r="61">
      <c r="B61" s="22" t="inlineStr">
        <is>
          <t>Сапун гидробака</t>
        </is>
      </c>
      <c r="C61" s="44" t="n">
        <v>18.025</v>
      </c>
      <c r="D61" s="44" t="n">
        <v>2</v>
      </c>
      <c r="E61" s="42">
        <f>E$25/INDEX($C$27:$C$32,$P61)*D61*C61/1000</f>
        <v>0.5046999999999999</v>
      </c>
      <c r="F61" s="42">
        <f>F$25/INDEX($C$27:$C$32,$P61)*D61*C61/1000</f>
        <v>0.5046999999999999</v>
      </c>
      <c r="G61" s="42">
        <f>G$25/INDEX($C$27:$C$32,$P61)*D61*C61/1000</f>
        <v>0.5046999999999999</v>
      </c>
      <c r="H61" s="42">
        <f>H$25/INDEX($C$27:$C$32,$P61)*D61*C61/1000</f>
        <v>0.5046999999999999</v>
      </c>
      <c r="I61" s="42">
        <f>I$25/INDEX($C$27:$C$32,$P61)*D61*C61/1000</f>
        <v>0.5046999999999999</v>
      </c>
      <c r="J61" s="42">
        <f>J$25/INDEX($C$27:$C$32,$P61)*D61*C61/1000</f>
        <v>0.5046999999999999</v>
      </c>
      <c r="K61" s="42">
        <f>K$25/INDEX($C$27:$C$32,$P61)*D61*C61/1000</f>
        <v>0.5046999999999999</v>
      </c>
      <c r="L61" s="42">
        <f>L$25/INDEX($C$27:$C$32,$P61)*D61*C61/1000</f>
        <v>0.5046999999999999</v>
      </c>
      <c r="M61" s="42">
        <f>M$25/INDEX($C$27:$C$32,$P61)*D61*C61/1000</f>
        <v>0.5046999999999999</v>
      </c>
      <c r="N61" s="42">
        <f>N$25/INDEX($C$27:$C$32,$P61)*D61*C61/1000</f>
        <v>0.5046999999999999</v>
      </c>
      <c r="P61" s="43" t="n">
        <v>2</v>
      </c>
    </row>
    <row r="62">
      <c r="B62" s="22" t="inlineStr">
        <is>
          <t>Фильтра системы пылеподавления</t>
        </is>
      </c>
      <c r="C62" s="44" t="n">
        <v>58.9</v>
      </c>
      <c r="D62" s="44" t="n">
        <v>9</v>
      </c>
      <c r="E62" s="42">
        <f>E$25/INDEX($C$27:$C$32,$P62)*D62*C62/1000</f>
        <v>7.421399999999999</v>
      </c>
      <c r="F62" s="42">
        <f>F$25/INDEX($C$27:$C$32,$P62)*D62*C62/1000</f>
        <v>7.421399999999999</v>
      </c>
      <c r="G62" s="42">
        <f>G$25/INDEX($C$27:$C$32,$P62)*D62*C62/1000</f>
        <v>7.421399999999999</v>
      </c>
      <c r="H62" s="42">
        <f>H$25/INDEX($C$27:$C$32,$P62)*D62*C62/1000</f>
        <v>7.421399999999999</v>
      </c>
      <c r="I62" s="42">
        <f>I$25/INDEX($C$27:$C$32,$P62)*D62*C62/1000</f>
        <v>7.421399999999999</v>
      </c>
      <c r="J62" s="42">
        <f>J$25/INDEX($C$27:$C$32,$P62)*D62*C62/1000</f>
        <v>7.421399999999999</v>
      </c>
      <c r="K62" s="42">
        <f>K$25/INDEX($C$27:$C$32,$P62)*D62*C62/1000</f>
        <v>7.421399999999999</v>
      </c>
      <c r="L62" s="42">
        <f>L$25/INDEX($C$27:$C$32,$P62)*D62*C62/1000</f>
        <v>7.421399999999999</v>
      </c>
      <c r="M62" s="42">
        <f>M$25/INDEX($C$27:$C$32,$P62)*D62*C62/1000</f>
        <v>7.421399999999999</v>
      </c>
      <c r="N62" s="42">
        <f>N$25/INDEX($C$27:$C$32,$P62)*D62*C62/1000</f>
        <v>7.421399999999999</v>
      </c>
      <c r="P62" s="43" t="n">
        <v>2</v>
      </c>
    </row>
    <row r="63">
      <c r="B63" s="22" t="inlineStr">
        <is>
          <t>Воздушный фильтр подогревателя</t>
        </is>
      </c>
      <c r="C63" s="44" t="n">
        <v>60.512</v>
      </c>
      <c r="D63" s="44" t="n">
        <v>1</v>
      </c>
      <c r="E63" s="42">
        <f>E$25/INDEX($C$27:$C$32,$P63)*D63*C63/1000</f>
        <v>0.847168</v>
      </c>
      <c r="F63" s="42">
        <f>F$25/INDEX($C$27:$C$32,$P63)*D63*C63/1000</f>
        <v>0.847168</v>
      </c>
      <c r="G63" s="42">
        <f>G$25/INDEX($C$27:$C$32,$P63)*D63*C63/1000</f>
        <v>0.847168</v>
      </c>
      <c r="H63" s="42">
        <f>H$25/INDEX($C$27:$C$32,$P63)*D63*C63/1000</f>
        <v>0.847168</v>
      </c>
      <c r="I63" s="42">
        <f>I$25/INDEX($C$27:$C$32,$P63)*D63*C63/1000</f>
        <v>0.847168</v>
      </c>
      <c r="J63" s="42">
        <f>J$25/INDEX($C$27:$C$32,$P63)*D63*C63/1000</f>
        <v>0.847168</v>
      </c>
      <c r="K63" s="42">
        <f>K$25/INDEX($C$27:$C$32,$P63)*D63*C63/1000</f>
        <v>0.847168</v>
      </c>
      <c r="L63" s="42">
        <f>L$25/INDEX($C$27:$C$32,$P63)*D63*C63/1000</f>
        <v>0.847168</v>
      </c>
      <c r="M63" s="42">
        <f>M$25/INDEX($C$27:$C$32,$P63)*D63*C63/1000</f>
        <v>0.847168</v>
      </c>
      <c r="N63" s="42">
        <f>N$25/INDEX($C$27:$C$32,$P63)*D63*C63/1000</f>
        <v>0.847168</v>
      </c>
      <c r="P63" s="43" t="n">
        <v>2</v>
      </c>
    </row>
    <row r="64">
      <c r="B64" s="22" t="inlineStr">
        <is>
          <t>Топливный фильтр подогревателя</t>
        </is>
      </c>
      <c r="C64" s="44" t="n">
        <v>29.512</v>
      </c>
      <c r="D64" s="44" t="n">
        <v>1</v>
      </c>
      <c r="E64" s="42">
        <f>E$25/INDEX($C$27:$C$32,$P64)*D64*C64/1000</f>
        <v>0.413168</v>
      </c>
      <c r="F64" s="42">
        <f>F$25/INDEX($C$27:$C$32,$P64)*D64*C64/1000</f>
        <v>0.413168</v>
      </c>
      <c r="G64" s="42">
        <f>G$25/INDEX($C$27:$C$32,$P64)*D64*C64/1000</f>
        <v>0.413168</v>
      </c>
      <c r="H64" s="42">
        <f>H$25/INDEX($C$27:$C$32,$P64)*D64*C64/1000</f>
        <v>0.413168</v>
      </c>
      <c r="I64" s="42">
        <f>I$25/INDEX($C$27:$C$32,$P64)*D64*C64/1000</f>
        <v>0.413168</v>
      </c>
      <c r="J64" s="42">
        <f>J$25/INDEX($C$27:$C$32,$P64)*D64*C64/1000</f>
        <v>0.413168</v>
      </c>
      <c r="K64" s="42">
        <f>K$25/INDEX($C$27:$C$32,$P64)*D64*C64/1000</f>
        <v>0.413168</v>
      </c>
      <c r="L64" s="42">
        <f>L$25/INDEX($C$27:$C$32,$P64)*D64*C64/1000</f>
        <v>0.413168</v>
      </c>
      <c r="M64" s="42">
        <f>M$25/INDEX($C$27:$C$32,$P64)*D64*C64/1000</f>
        <v>0.413168</v>
      </c>
      <c r="N64" s="42">
        <f>N$25/INDEX($C$27:$C$32,$P64)*D64*C64/1000</f>
        <v>0.413168</v>
      </c>
      <c r="P64" s="43" t="n">
        <v>2</v>
      </c>
    </row>
    <row r="65">
      <c r="B65" s="22" t="inlineStr">
        <is>
          <t>Сапун топливного бака</t>
        </is>
      </c>
      <c r="C65" s="44" t="n">
        <v>81.538</v>
      </c>
      <c r="D65" s="44" t="n">
        <v>1</v>
      </c>
      <c r="E65" s="42">
        <f>E$25/INDEX($C$27:$C$32,$P65)*D65*C65/1000</f>
        <v>1.141532</v>
      </c>
      <c r="F65" s="42">
        <f>F$25/INDEX($C$27:$C$32,$P65)*D65*C65/1000</f>
        <v>1.141532</v>
      </c>
      <c r="G65" s="42">
        <f>G$25/INDEX($C$27:$C$32,$P65)*D65*C65/1000</f>
        <v>1.141532</v>
      </c>
      <c r="H65" s="42">
        <f>H$25/INDEX($C$27:$C$32,$P65)*D65*C65/1000</f>
        <v>1.141532</v>
      </c>
      <c r="I65" s="42">
        <f>I$25/INDEX($C$27:$C$32,$P65)*D65*C65/1000</f>
        <v>1.141532</v>
      </c>
      <c r="J65" s="42">
        <f>J$25/INDEX($C$27:$C$32,$P65)*D65*C65/1000</f>
        <v>1.141532</v>
      </c>
      <c r="K65" s="42">
        <f>K$25/INDEX($C$27:$C$32,$P65)*D65*C65/1000</f>
        <v>1.141532</v>
      </c>
      <c r="L65" s="42">
        <f>L$25/INDEX($C$27:$C$32,$P65)*D65*C65/1000</f>
        <v>1.141532</v>
      </c>
      <c r="M65" s="42">
        <f>M$25/INDEX($C$27:$C$32,$P65)*D65*C65/1000</f>
        <v>1.141532</v>
      </c>
      <c r="N65" s="42">
        <f>N$25/INDEX($C$27:$C$32,$P65)*D65*C65/1000</f>
        <v>1.141532</v>
      </c>
      <c r="P65" s="43" t="n">
        <v>2</v>
      </c>
    </row>
    <row r="66">
      <c r="B66" s="22" t="inlineStr">
        <is>
          <t>Масляные фильтра компрессора</t>
        </is>
      </c>
      <c r="C66" s="44" t="n">
        <v>68.09999999999999</v>
      </c>
      <c r="D66" s="44" t="n">
        <v>2</v>
      </c>
      <c r="E66" s="42">
        <f>E$25/INDEX($C$27:$C$32,$P66)*D66*C66/1000</f>
        <v>1.9067999999999998</v>
      </c>
      <c r="F66" s="42">
        <f>F$25/INDEX($C$27:$C$32,$P66)*D66*C66/1000</f>
        <v>1.9067999999999998</v>
      </c>
      <c r="G66" s="42">
        <f>G$25/INDEX($C$27:$C$32,$P66)*D66*C66/1000</f>
        <v>1.9067999999999998</v>
      </c>
      <c r="H66" s="42">
        <f>H$25/INDEX($C$27:$C$32,$P66)*D66*C66/1000</f>
        <v>1.9067999999999998</v>
      </c>
      <c r="I66" s="42">
        <f>I$25/INDEX($C$27:$C$32,$P66)*D66*C66/1000</f>
        <v>1.9067999999999998</v>
      </c>
      <c r="J66" s="42">
        <f>J$25/INDEX($C$27:$C$32,$P66)*D66*C66/1000</f>
        <v>1.9067999999999998</v>
      </c>
      <c r="K66" s="42">
        <f>K$25/INDEX($C$27:$C$32,$P66)*D66*C66/1000</f>
        <v>1.9067999999999998</v>
      </c>
      <c r="L66" s="42">
        <f>L$25/INDEX($C$27:$C$32,$P66)*D66*C66/1000</f>
        <v>1.9067999999999998</v>
      </c>
      <c r="M66" s="42">
        <f>M$25/INDEX($C$27:$C$32,$P66)*D66*C66/1000</f>
        <v>1.9067999999999998</v>
      </c>
      <c r="N66" s="42">
        <f>N$25/INDEX($C$27:$C$32,$P66)*D66*C66/1000</f>
        <v>1.9067999999999998</v>
      </c>
      <c r="P66" s="43" t="n">
        <v>2</v>
      </c>
    </row>
    <row r="67">
      <c r="B67" s="22" t="inlineStr">
        <is>
          <t>Консистентная смазка</t>
        </is>
      </c>
      <c r="C67" s="44" t="n">
        <v>10.752</v>
      </c>
      <c r="D67" s="44" t="n">
        <v>1</v>
      </c>
      <c r="E67" s="42">
        <f>E$25/INDEX($C$27:$C$32,$P67)*D67*C67/1000</f>
        <v>0.15052800000000002</v>
      </c>
      <c r="F67" s="42">
        <f>F$25/INDEX($C$27:$C$32,$P67)*D67*C67/1000</f>
        <v>0.15052800000000002</v>
      </c>
      <c r="G67" s="42">
        <f>G$25/INDEX($C$27:$C$32,$P67)*D67*C67/1000</f>
        <v>0.15052800000000002</v>
      </c>
      <c r="H67" s="42">
        <f>H$25/INDEX($C$27:$C$32,$P67)*D67*C67/1000</f>
        <v>0.15052800000000002</v>
      </c>
      <c r="I67" s="42">
        <f>I$25/INDEX($C$27:$C$32,$P67)*D67*C67/1000</f>
        <v>0.15052800000000002</v>
      </c>
      <c r="J67" s="42">
        <f>J$25/INDEX($C$27:$C$32,$P67)*D67*C67/1000</f>
        <v>0.15052800000000002</v>
      </c>
      <c r="K67" s="42">
        <f>K$25/INDEX($C$27:$C$32,$P67)*D67*C67/1000</f>
        <v>0.15052800000000002</v>
      </c>
      <c r="L67" s="42">
        <f>L$25/INDEX($C$27:$C$32,$P67)*D67*C67/1000</f>
        <v>0.15052800000000002</v>
      </c>
      <c r="M67" s="42">
        <f>M$25/INDEX($C$27:$C$32,$P67)*D67*C67/1000</f>
        <v>0.15052800000000002</v>
      </c>
      <c r="N67" s="42">
        <f>N$25/INDEX($C$27:$C$32,$P67)*D67*C67/1000</f>
        <v>0.15052800000000002</v>
      </c>
      <c r="P67" s="43" t="n">
        <v>2</v>
      </c>
    </row>
    <row r="68">
      <c r="B68" s="22" t="inlineStr">
        <is>
          <t>Масло для редуктора главного насос</t>
        </is>
      </c>
      <c r="C68" s="44" t="n">
        <v>12.706</v>
      </c>
      <c r="D68" s="44" t="n">
        <v>4.2</v>
      </c>
      <c r="E68" s="42">
        <f>E$25/INDEX($C$27:$C$32,$P68)*D68*C68/1000</f>
        <v>0.3735564</v>
      </c>
      <c r="F68" s="42">
        <f>F$25/INDEX($C$27:$C$32,$P68)*D68*C68/1000</f>
        <v>0.3735564</v>
      </c>
      <c r="G68" s="42">
        <f>G$25/INDEX($C$27:$C$32,$P68)*D68*C68/1000</f>
        <v>0.3735564</v>
      </c>
      <c r="H68" s="42">
        <f>H$25/INDEX($C$27:$C$32,$P68)*D68*C68/1000</f>
        <v>0.3735564</v>
      </c>
      <c r="I68" s="42">
        <f>I$25/INDEX($C$27:$C$32,$P68)*D68*C68/1000</f>
        <v>0.3735564</v>
      </c>
      <c r="J68" s="42">
        <f>J$25/INDEX($C$27:$C$32,$P68)*D68*C68/1000</f>
        <v>0.3735564</v>
      </c>
      <c r="K68" s="42">
        <f>K$25/INDEX($C$27:$C$32,$P68)*D68*C68/1000</f>
        <v>0.3735564</v>
      </c>
      <c r="L68" s="42">
        <f>L$25/INDEX($C$27:$C$32,$P68)*D68*C68/1000</f>
        <v>0.3735564</v>
      </c>
      <c r="M68" s="42">
        <f>M$25/INDEX($C$27:$C$32,$P68)*D68*C68/1000</f>
        <v>0.3735564</v>
      </c>
      <c r="N68" s="42">
        <f>N$25/INDEX($C$27:$C$32,$P68)*D68*C68/1000</f>
        <v>0.3735564</v>
      </c>
      <c r="P68" s="43" t="n">
        <v>3</v>
      </c>
    </row>
    <row r="69">
      <c r="B69" s="22" t="inlineStr">
        <is>
          <t>Масло для редуктора вращателя</t>
        </is>
      </c>
      <c r="C69" s="44" t="n">
        <v>12.706</v>
      </c>
      <c r="D69" s="44" t="n">
        <v>42</v>
      </c>
      <c r="E69" s="42">
        <f>E$25/INDEX($C$27:$C$32,$P69)*D69*C69/1000</f>
        <v>3.7355639999999997</v>
      </c>
      <c r="F69" s="42">
        <f>F$25/INDEX($C$27:$C$32,$P69)*D69*C69/1000</f>
        <v>3.7355639999999997</v>
      </c>
      <c r="G69" s="42">
        <f>G$25/INDEX($C$27:$C$32,$P69)*D69*C69/1000</f>
        <v>3.7355639999999997</v>
      </c>
      <c r="H69" s="42">
        <f>H$25/INDEX($C$27:$C$32,$P69)*D69*C69/1000</f>
        <v>3.7355639999999997</v>
      </c>
      <c r="I69" s="42">
        <f>I$25/INDEX($C$27:$C$32,$P69)*D69*C69/1000</f>
        <v>3.7355639999999997</v>
      </c>
      <c r="J69" s="42">
        <f>J$25/INDEX($C$27:$C$32,$P69)*D69*C69/1000</f>
        <v>3.7355639999999997</v>
      </c>
      <c r="K69" s="42">
        <f>K$25/INDEX($C$27:$C$32,$P69)*D69*C69/1000</f>
        <v>3.7355639999999997</v>
      </c>
      <c r="L69" s="42">
        <f>L$25/INDEX($C$27:$C$32,$P69)*D69*C69/1000</f>
        <v>3.7355639999999997</v>
      </c>
      <c r="M69" s="42">
        <f>M$25/INDEX($C$27:$C$32,$P69)*D69*C69/1000</f>
        <v>3.7355639999999997</v>
      </c>
      <c r="N69" s="42">
        <f>N$25/INDEX($C$27:$C$32,$P69)*D69*C69/1000</f>
        <v>3.7355639999999997</v>
      </c>
      <c r="P69" s="43" t="n">
        <v>3</v>
      </c>
    </row>
    <row r="70">
      <c r="B70" s="22" t="inlineStr">
        <is>
          <t>Масло для редуктора привода карусе</t>
        </is>
      </c>
      <c r="C70" s="44" t="n">
        <v>12.706</v>
      </c>
      <c r="D70" s="44" t="n">
        <v>1.4</v>
      </c>
      <c r="E70" s="42">
        <f>E$25/INDEX($C$27:$C$32,$P70)*D70*C70/1000</f>
        <v>0.12451879999999999</v>
      </c>
      <c r="F70" s="42">
        <f>F$25/INDEX($C$27:$C$32,$P70)*D70*C70/1000</f>
        <v>0.12451879999999999</v>
      </c>
      <c r="G70" s="42">
        <f>G$25/INDEX($C$27:$C$32,$P70)*D70*C70/1000</f>
        <v>0.12451879999999999</v>
      </c>
      <c r="H70" s="42">
        <f>H$25/INDEX($C$27:$C$32,$P70)*D70*C70/1000</f>
        <v>0.12451879999999999</v>
      </c>
      <c r="I70" s="42">
        <f>I$25/INDEX($C$27:$C$32,$P70)*D70*C70/1000</f>
        <v>0.12451879999999999</v>
      </c>
      <c r="J70" s="42">
        <f>J$25/INDEX($C$27:$C$32,$P70)*D70*C70/1000</f>
        <v>0.12451879999999999</v>
      </c>
      <c r="K70" s="42">
        <f>K$25/INDEX($C$27:$C$32,$P70)*D70*C70/1000</f>
        <v>0.12451879999999999</v>
      </c>
      <c r="L70" s="42">
        <f>L$25/INDEX($C$27:$C$32,$P70)*D70*C70/1000</f>
        <v>0.12451879999999999</v>
      </c>
      <c r="M70" s="42">
        <f>M$25/INDEX($C$27:$C$32,$P70)*D70*C70/1000</f>
        <v>0.12451879999999999</v>
      </c>
      <c r="N70" s="42">
        <f>N$25/INDEX($C$27:$C$32,$P70)*D70*C70/1000</f>
        <v>0.12451879999999999</v>
      </c>
      <c r="P70" s="43" t="n">
        <v>3</v>
      </c>
    </row>
    <row r="71">
      <c r="B71" s="22" t="inlineStr">
        <is>
          <t>Компрессорное масло</t>
        </is>
      </c>
      <c r="C71" s="44" t="n">
        <v>23.349</v>
      </c>
      <c r="D71" s="44" t="n">
        <v>123</v>
      </c>
      <c r="E71" s="42">
        <f>E$25/INDEX($C$27:$C$32,$P71)*D71*C71/1000</f>
        <v>20.103489</v>
      </c>
      <c r="F71" s="42">
        <f>F$25/INDEX($C$27:$C$32,$P71)*D71*C71/1000</f>
        <v>20.103489</v>
      </c>
      <c r="G71" s="42">
        <f>G$25/INDEX($C$27:$C$32,$P71)*D71*C71/1000</f>
        <v>20.103489</v>
      </c>
      <c r="H71" s="42">
        <f>H$25/INDEX($C$27:$C$32,$P71)*D71*C71/1000</f>
        <v>20.103489</v>
      </c>
      <c r="I71" s="42">
        <f>I$25/INDEX($C$27:$C$32,$P71)*D71*C71/1000</f>
        <v>20.103489</v>
      </c>
      <c r="J71" s="42">
        <f>J$25/INDEX($C$27:$C$32,$P71)*D71*C71/1000</f>
        <v>20.103489</v>
      </c>
      <c r="K71" s="42">
        <f>K$25/INDEX($C$27:$C$32,$P71)*D71*C71/1000</f>
        <v>20.103489</v>
      </c>
      <c r="L71" s="42">
        <f>L$25/INDEX($C$27:$C$32,$P71)*D71*C71/1000</f>
        <v>20.103489</v>
      </c>
      <c r="M71" s="42">
        <f>M$25/INDEX($C$27:$C$32,$P71)*D71*C71/1000</f>
        <v>20.103489</v>
      </c>
      <c r="N71" s="42">
        <f>N$25/INDEX($C$27:$C$32,$P71)*D71*C71/1000</f>
        <v>20.103489</v>
      </c>
      <c r="P71" s="43" t="n">
        <v>3</v>
      </c>
    </row>
    <row r="72">
      <c r="B72" s="22" t="inlineStr">
        <is>
          <t>Гидравлический фильтр</t>
        </is>
      </c>
      <c r="C72" s="44" t="n">
        <v>48.312</v>
      </c>
      <c r="D72" s="44" t="n">
        <v>2</v>
      </c>
      <c r="E72" s="42">
        <f>E$25/INDEX($C$27:$C$32,$P72)*D72*C72/1000</f>
        <v>0.676368</v>
      </c>
      <c r="F72" s="42">
        <f>F$25/INDEX($C$27:$C$32,$P72)*D72*C72/1000</f>
        <v>0.676368</v>
      </c>
      <c r="G72" s="42">
        <f>G$25/INDEX($C$27:$C$32,$P72)*D72*C72/1000</f>
        <v>0.676368</v>
      </c>
      <c r="H72" s="42">
        <f>H$25/INDEX($C$27:$C$32,$P72)*D72*C72/1000</f>
        <v>0.676368</v>
      </c>
      <c r="I72" s="42">
        <f>I$25/INDEX($C$27:$C$32,$P72)*D72*C72/1000</f>
        <v>0.676368</v>
      </c>
      <c r="J72" s="42">
        <f>J$25/INDEX($C$27:$C$32,$P72)*D72*C72/1000</f>
        <v>0.676368</v>
      </c>
      <c r="K72" s="42">
        <f>K$25/INDEX($C$27:$C$32,$P72)*D72*C72/1000</f>
        <v>0.676368</v>
      </c>
      <c r="L72" s="42">
        <f>L$25/INDEX($C$27:$C$32,$P72)*D72*C72/1000</f>
        <v>0.676368</v>
      </c>
      <c r="M72" s="42">
        <f>M$25/INDEX($C$27:$C$32,$P72)*D72*C72/1000</f>
        <v>0.676368</v>
      </c>
      <c r="N72" s="42">
        <f>N$25/INDEX($C$27:$C$32,$P72)*D72*C72/1000</f>
        <v>0.676368</v>
      </c>
      <c r="P72" s="43" t="n">
        <v>3</v>
      </c>
    </row>
    <row r="73">
      <c r="B73" s="22" t="inlineStr">
        <is>
          <t>Гидравлический фильтр (обратка)</t>
        </is>
      </c>
      <c r="C73" s="44" t="n">
        <v>156.975</v>
      </c>
      <c r="D73" s="44" t="n">
        <v>1</v>
      </c>
      <c r="E73" s="42">
        <f>E$25/INDEX($C$27:$C$32,$P73)*D73*C73/1000</f>
        <v>1.098825</v>
      </c>
      <c r="F73" s="42">
        <f>F$25/INDEX($C$27:$C$32,$P73)*D73*C73/1000</f>
        <v>1.098825</v>
      </c>
      <c r="G73" s="42">
        <f>G$25/INDEX($C$27:$C$32,$P73)*D73*C73/1000</f>
        <v>1.098825</v>
      </c>
      <c r="H73" s="42">
        <f>H$25/INDEX($C$27:$C$32,$P73)*D73*C73/1000</f>
        <v>1.098825</v>
      </c>
      <c r="I73" s="42">
        <f>I$25/INDEX($C$27:$C$32,$P73)*D73*C73/1000</f>
        <v>1.098825</v>
      </c>
      <c r="J73" s="42">
        <f>J$25/INDEX($C$27:$C$32,$P73)*D73*C73/1000</f>
        <v>1.098825</v>
      </c>
      <c r="K73" s="42">
        <f>K$25/INDEX($C$27:$C$32,$P73)*D73*C73/1000</f>
        <v>1.098825</v>
      </c>
      <c r="L73" s="42">
        <f>L$25/INDEX($C$27:$C$32,$P73)*D73*C73/1000</f>
        <v>1.098825</v>
      </c>
      <c r="M73" s="42">
        <f>M$25/INDEX($C$27:$C$32,$P73)*D73*C73/1000</f>
        <v>1.098825</v>
      </c>
      <c r="N73" s="42">
        <f>N$25/INDEX($C$27:$C$32,$P73)*D73*C73/1000</f>
        <v>1.098825</v>
      </c>
      <c r="P73" s="43" t="n">
        <v>3</v>
      </c>
    </row>
    <row r="74">
      <c r="B74" s="22" t="inlineStr">
        <is>
          <t>Фильтр кабины</t>
        </is>
      </c>
      <c r="C74" s="44" t="n">
        <v>59.175</v>
      </c>
      <c r="D74" s="44" t="n">
        <v>1</v>
      </c>
      <c r="E74" s="42">
        <f>E$25/INDEX($C$27:$C$32,$P74)*D74*C74/1000</f>
        <v>0.41422499999999995</v>
      </c>
      <c r="F74" s="42">
        <f>F$25/INDEX($C$27:$C$32,$P74)*D74*C74/1000</f>
        <v>0.41422499999999995</v>
      </c>
      <c r="G74" s="42">
        <f>G$25/INDEX($C$27:$C$32,$P74)*D74*C74/1000</f>
        <v>0.41422499999999995</v>
      </c>
      <c r="H74" s="42">
        <f>H$25/INDEX($C$27:$C$32,$P74)*D74*C74/1000</f>
        <v>0.41422499999999995</v>
      </c>
      <c r="I74" s="42">
        <f>I$25/INDEX($C$27:$C$32,$P74)*D74*C74/1000</f>
        <v>0.41422499999999995</v>
      </c>
      <c r="J74" s="42">
        <f>J$25/INDEX($C$27:$C$32,$P74)*D74*C74/1000</f>
        <v>0.41422499999999995</v>
      </c>
      <c r="K74" s="42">
        <f>K$25/INDEX($C$27:$C$32,$P74)*D74*C74/1000</f>
        <v>0.41422499999999995</v>
      </c>
      <c r="L74" s="42">
        <f>L$25/INDEX($C$27:$C$32,$P74)*D74*C74/1000</f>
        <v>0.41422499999999995</v>
      </c>
      <c r="M74" s="42">
        <f>M$25/INDEX($C$27:$C$32,$P74)*D74*C74/1000</f>
        <v>0.41422499999999995</v>
      </c>
      <c r="N74" s="42">
        <f>N$25/INDEX($C$27:$C$32,$P74)*D74*C74/1000</f>
        <v>0.41422499999999995</v>
      </c>
      <c r="P74" s="43" t="n">
        <v>3</v>
      </c>
    </row>
    <row r="75">
      <c r="B75" s="22" t="inlineStr">
        <is>
          <t>Фильтр кондиционера</t>
        </is>
      </c>
      <c r="C75" s="44" t="n">
        <v>33.663</v>
      </c>
      <c r="D75" s="44" t="n">
        <v>1</v>
      </c>
      <c r="E75" s="42">
        <f>E$25/INDEX($C$27:$C$32,$P75)*D75*C75/1000</f>
        <v>0.23564099999999996</v>
      </c>
      <c r="F75" s="42">
        <f>F$25/INDEX($C$27:$C$32,$P75)*D75*C75/1000</f>
        <v>0.23564099999999996</v>
      </c>
      <c r="G75" s="42">
        <f>G$25/INDEX($C$27:$C$32,$P75)*D75*C75/1000</f>
        <v>0.23564099999999996</v>
      </c>
      <c r="H75" s="42">
        <f>H$25/INDEX($C$27:$C$32,$P75)*D75*C75/1000</f>
        <v>0.23564099999999996</v>
      </c>
      <c r="I75" s="42">
        <f>I$25/INDEX($C$27:$C$32,$P75)*D75*C75/1000</f>
        <v>0.23564099999999996</v>
      </c>
      <c r="J75" s="42">
        <f>J$25/INDEX($C$27:$C$32,$P75)*D75*C75/1000</f>
        <v>0.23564099999999996</v>
      </c>
      <c r="K75" s="42">
        <f>K$25/INDEX($C$27:$C$32,$P75)*D75*C75/1000</f>
        <v>0.23564099999999996</v>
      </c>
      <c r="L75" s="42">
        <f>L$25/INDEX($C$27:$C$32,$P75)*D75*C75/1000</f>
        <v>0.23564099999999996</v>
      </c>
      <c r="M75" s="42">
        <f>M$25/INDEX($C$27:$C$32,$P75)*D75*C75/1000</f>
        <v>0.23564099999999996</v>
      </c>
      <c r="N75" s="42">
        <f>N$25/INDEX($C$27:$C$32,$P75)*D75*C75/1000</f>
        <v>0.23564099999999996</v>
      </c>
      <c r="P75" s="43" t="n">
        <v>3</v>
      </c>
    </row>
    <row r="76">
      <c r="B76" s="22" t="inlineStr">
        <is>
          <t>Фильтр вращателя</t>
        </is>
      </c>
      <c r="C76" s="44" t="n">
        <v>29.875</v>
      </c>
      <c r="D76" s="44" t="n">
        <v>1</v>
      </c>
      <c r="E76" s="42">
        <f>E$25/INDEX($C$27:$C$32,$P76)*D76*C76/1000</f>
        <v>0.209125</v>
      </c>
      <c r="F76" s="42">
        <f>F$25/INDEX($C$27:$C$32,$P76)*D76*C76/1000</f>
        <v>0.209125</v>
      </c>
      <c r="G76" s="42">
        <f>G$25/INDEX($C$27:$C$32,$P76)*D76*C76/1000</f>
        <v>0.209125</v>
      </c>
      <c r="H76" s="42">
        <f>H$25/INDEX($C$27:$C$32,$P76)*D76*C76/1000</f>
        <v>0.209125</v>
      </c>
      <c r="I76" s="42">
        <f>I$25/INDEX($C$27:$C$32,$P76)*D76*C76/1000</f>
        <v>0.209125</v>
      </c>
      <c r="J76" s="42">
        <f>J$25/INDEX($C$27:$C$32,$P76)*D76*C76/1000</f>
        <v>0.209125</v>
      </c>
      <c r="K76" s="42">
        <f>K$25/INDEX($C$27:$C$32,$P76)*D76*C76/1000</f>
        <v>0.209125</v>
      </c>
      <c r="L76" s="42">
        <f>L$25/INDEX($C$27:$C$32,$P76)*D76*C76/1000</f>
        <v>0.209125</v>
      </c>
      <c r="M76" s="42">
        <f>M$25/INDEX($C$27:$C$32,$P76)*D76*C76/1000</f>
        <v>0.209125</v>
      </c>
      <c r="N76" s="42">
        <f>N$25/INDEX($C$27:$C$32,$P76)*D76*C76/1000</f>
        <v>0.209125</v>
      </c>
      <c r="P76" s="43" t="n">
        <v>3</v>
      </c>
    </row>
    <row r="77">
      <c r="B77" s="22" t="inlineStr">
        <is>
          <t>Консистентная смазка</t>
        </is>
      </c>
      <c r="C77" s="44" t="n">
        <v>10.752</v>
      </c>
      <c r="D77" s="44" t="n">
        <v>0.1</v>
      </c>
      <c r="E77" s="42">
        <f>E$25/INDEX($C$27:$C$32,$P77)*D77*C77/1000</f>
        <v>0.007526400000000002</v>
      </c>
      <c r="F77" s="42">
        <f>F$25/INDEX($C$27:$C$32,$P77)*D77*C77/1000</f>
        <v>0.007526400000000002</v>
      </c>
      <c r="G77" s="42">
        <f>G$25/INDEX($C$27:$C$32,$P77)*D77*C77/1000</f>
        <v>0.007526400000000002</v>
      </c>
      <c r="H77" s="42">
        <f>H$25/INDEX($C$27:$C$32,$P77)*D77*C77/1000</f>
        <v>0.007526400000000002</v>
      </c>
      <c r="I77" s="42">
        <f>I$25/INDEX($C$27:$C$32,$P77)*D77*C77/1000</f>
        <v>0.007526400000000002</v>
      </c>
      <c r="J77" s="42">
        <f>J$25/INDEX($C$27:$C$32,$P77)*D77*C77/1000</f>
        <v>0.007526400000000002</v>
      </c>
      <c r="K77" s="42">
        <f>K$25/INDEX($C$27:$C$32,$P77)*D77*C77/1000</f>
        <v>0.007526400000000002</v>
      </c>
      <c r="L77" s="42">
        <f>L$25/INDEX($C$27:$C$32,$P77)*D77*C77/1000</f>
        <v>0.007526400000000002</v>
      </c>
      <c r="M77" s="42">
        <f>M$25/INDEX($C$27:$C$32,$P77)*D77*C77/1000</f>
        <v>0.007526400000000002</v>
      </c>
      <c r="N77" s="42">
        <f>N$25/INDEX($C$27:$C$32,$P77)*D77*C77/1000</f>
        <v>0.007526400000000002</v>
      </c>
      <c r="P77" s="43" t="n">
        <v>3</v>
      </c>
    </row>
    <row r="78">
      <c r="B78" s="22" t="inlineStr">
        <is>
          <t>Элемент сепаратора</t>
        </is>
      </c>
      <c r="C78" s="44" t="n">
        <v>561.462</v>
      </c>
      <c r="D78" s="44" t="n">
        <v>1</v>
      </c>
      <c r="E78" s="42">
        <f>E$25/INDEX($C$27:$C$32,$P78)*D78*C78/1000</f>
        <v>1.965117</v>
      </c>
      <c r="F78" s="42">
        <f>F$25/INDEX($C$27:$C$32,$P78)*D78*C78/1000</f>
        <v>1.965117</v>
      </c>
      <c r="G78" s="42">
        <f>G$25/INDEX($C$27:$C$32,$P78)*D78*C78/1000</f>
        <v>1.965117</v>
      </c>
      <c r="H78" s="42">
        <f>H$25/INDEX($C$27:$C$32,$P78)*D78*C78/1000</f>
        <v>1.965117</v>
      </c>
      <c r="I78" s="42">
        <f>I$25/INDEX($C$27:$C$32,$P78)*D78*C78/1000</f>
        <v>1.965117</v>
      </c>
      <c r="J78" s="42">
        <f>J$25/INDEX($C$27:$C$32,$P78)*D78*C78/1000</f>
        <v>1.965117</v>
      </c>
      <c r="K78" s="42">
        <f>K$25/INDEX($C$27:$C$32,$P78)*D78*C78/1000</f>
        <v>1.965117</v>
      </c>
      <c r="L78" s="42">
        <f>L$25/INDEX($C$27:$C$32,$P78)*D78*C78/1000</f>
        <v>1.965117</v>
      </c>
      <c r="M78" s="42">
        <f>M$25/INDEX($C$27:$C$32,$P78)*D78*C78/1000</f>
        <v>1.965117</v>
      </c>
      <c r="N78" s="42">
        <f>N$25/INDEX($C$27:$C$32,$P78)*D78*C78/1000</f>
        <v>1.965117</v>
      </c>
      <c r="P78" s="43" t="n">
        <v>4</v>
      </c>
    </row>
    <row r="79">
      <c r="B79" s="22" t="inlineStr">
        <is>
          <t>Масло редукторов хода</t>
        </is>
      </c>
      <c r="C79" s="44" t="n">
        <v>23.907</v>
      </c>
      <c r="D79" s="44" t="n">
        <v>7</v>
      </c>
      <c r="E79" s="42">
        <f>E$25/INDEX($C$27:$C$32,$P79)*D79*C79/1000</f>
        <v>0.5857215</v>
      </c>
      <c r="F79" s="42">
        <f>F$25/INDEX($C$27:$C$32,$P79)*D79*C79/1000</f>
        <v>0.5857215</v>
      </c>
      <c r="G79" s="42">
        <f>G$25/INDEX($C$27:$C$32,$P79)*D79*C79/1000</f>
        <v>0.5857215</v>
      </c>
      <c r="H79" s="42">
        <f>H$25/INDEX($C$27:$C$32,$P79)*D79*C79/1000</f>
        <v>0.5857215</v>
      </c>
      <c r="I79" s="42">
        <f>I$25/INDEX($C$27:$C$32,$P79)*D79*C79/1000</f>
        <v>0.5857215</v>
      </c>
      <c r="J79" s="42">
        <f>J$25/INDEX($C$27:$C$32,$P79)*D79*C79/1000</f>
        <v>0.5857215</v>
      </c>
      <c r="K79" s="42">
        <f>K$25/INDEX($C$27:$C$32,$P79)*D79*C79/1000</f>
        <v>0.5857215</v>
      </c>
      <c r="L79" s="42">
        <f>L$25/INDEX($C$27:$C$32,$P79)*D79*C79/1000</f>
        <v>0.5857215</v>
      </c>
      <c r="M79" s="42">
        <f>M$25/INDEX($C$27:$C$32,$P79)*D79*C79/1000</f>
        <v>0.5857215</v>
      </c>
      <c r="N79" s="42">
        <f>N$25/INDEX($C$27:$C$32,$P79)*D79*C79/1000</f>
        <v>0.5857215</v>
      </c>
      <c r="P79" s="43" t="n">
        <v>4</v>
      </c>
    </row>
    <row r="80">
      <c r="B80" s="22" t="inlineStr">
        <is>
          <t>Фильтр системы пылеподавления</t>
        </is>
      </c>
      <c r="C80" s="44" t="n">
        <v>19.45</v>
      </c>
      <c r="D80" s="44" t="n">
        <v>1</v>
      </c>
      <c r="E80" s="42">
        <f>E$25/INDEX($C$27:$C$32,$P80)*D80*C80/1000</f>
        <v>0.068075</v>
      </c>
      <c r="F80" s="42">
        <f>F$25/INDEX($C$27:$C$32,$P80)*D80*C80/1000</f>
        <v>0.068075</v>
      </c>
      <c r="G80" s="42">
        <f>G$25/INDEX($C$27:$C$32,$P80)*D80*C80/1000</f>
        <v>0.068075</v>
      </c>
      <c r="H80" s="42">
        <f>H$25/INDEX($C$27:$C$32,$P80)*D80*C80/1000</f>
        <v>0.068075</v>
      </c>
      <c r="I80" s="42">
        <f>I$25/INDEX($C$27:$C$32,$P80)*D80*C80/1000</f>
        <v>0.068075</v>
      </c>
      <c r="J80" s="42">
        <f>J$25/INDEX($C$27:$C$32,$P80)*D80*C80/1000</f>
        <v>0.068075</v>
      </c>
      <c r="K80" s="42">
        <f>K$25/INDEX($C$27:$C$32,$P80)*D80*C80/1000</f>
        <v>0.068075</v>
      </c>
      <c r="L80" s="42">
        <f>L$25/INDEX($C$27:$C$32,$P80)*D80*C80/1000</f>
        <v>0.068075</v>
      </c>
      <c r="M80" s="42">
        <f>M$25/INDEX($C$27:$C$32,$P80)*D80*C80/1000</f>
        <v>0.068075</v>
      </c>
      <c r="N80" s="42">
        <f>N$25/INDEX($C$27:$C$32,$P80)*D80*C80/1000</f>
        <v>0.068075</v>
      </c>
      <c r="P80" s="43" t="n">
        <v>4</v>
      </c>
    </row>
    <row r="81">
      <c r="B81" s="22" t="inlineStr">
        <is>
          <t>Уплотнение штанги</t>
        </is>
      </c>
      <c r="C81" s="44" t="n">
        <v>218.162</v>
      </c>
      <c r="D81" s="44" t="n">
        <v>1</v>
      </c>
      <c r="E81" s="42">
        <f>E$25/INDEX($C$27:$C$32,$P81)*D81*C81/1000</f>
        <v>0.763567</v>
      </c>
      <c r="F81" s="42">
        <f>F$25/INDEX($C$27:$C$32,$P81)*D81*C81/1000</f>
        <v>0.763567</v>
      </c>
      <c r="G81" s="42">
        <f>G$25/INDEX($C$27:$C$32,$P81)*D81*C81/1000</f>
        <v>0.763567</v>
      </c>
      <c r="H81" s="42">
        <f>H$25/INDEX($C$27:$C$32,$P81)*D81*C81/1000</f>
        <v>0.763567</v>
      </c>
      <c r="I81" s="42">
        <f>I$25/INDEX($C$27:$C$32,$P81)*D81*C81/1000</f>
        <v>0.763567</v>
      </c>
      <c r="J81" s="42">
        <f>J$25/INDEX($C$27:$C$32,$P81)*D81*C81/1000</f>
        <v>0.763567</v>
      </c>
      <c r="K81" s="42">
        <f>K$25/INDEX($C$27:$C$32,$P81)*D81*C81/1000</f>
        <v>0.763567</v>
      </c>
      <c r="L81" s="42">
        <f>L$25/INDEX($C$27:$C$32,$P81)*D81*C81/1000</f>
        <v>0.763567</v>
      </c>
      <c r="M81" s="42">
        <f>M$25/INDEX($C$27:$C$32,$P81)*D81*C81/1000</f>
        <v>0.763567</v>
      </c>
      <c r="N81" s="42">
        <f>N$25/INDEX($C$27:$C$32,$P81)*D81*C81/1000</f>
        <v>0.763567</v>
      </c>
      <c r="P81" s="43" t="n">
        <v>4</v>
      </c>
    </row>
    <row r="82">
      <c r="B82" s="22" t="inlineStr">
        <is>
          <t>Гидравлическое масло</t>
        </is>
      </c>
      <c r="C82" s="44" t="n">
        <v>30.236</v>
      </c>
      <c r="D82" s="44" t="n">
        <v>833</v>
      </c>
      <c r="E82" s="42">
        <f>E$25/INDEX($C$27:$C$32,$P82)*D82*C82/1000</f>
        <v>58.76870533333334</v>
      </c>
      <c r="F82" s="42">
        <f>F$25/INDEX($C$27:$C$32,$P82)*D82*C82/1000</f>
        <v>58.76870533333334</v>
      </c>
      <c r="G82" s="42">
        <f>G$25/INDEX($C$27:$C$32,$P82)*D82*C82/1000</f>
        <v>58.76870533333334</v>
      </c>
      <c r="H82" s="42">
        <f>H$25/INDEX($C$27:$C$32,$P82)*D82*C82/1000</f>
        <v>58.76870533333334</v>
      </c>
      <c r="I82" s="42">
        <f>I$25/INDEX($C$27:$C$32,$P82)*D82*C82/1000</f>
        <v>58.76870533333334</v>
      </c>
      <c r="J82" s="42">
        <f>J$25/INDEX($C$27:$C$32,$P82)*D82*C82/1000</f>
        <v>58.76870533333334</v>
      </c>
      <c r="K82" s="42">
        <f>K$25/INDEX($C$27:$C$32,$P82)*D82*C82/1000</f>
        <v>58.76870533333334</v>
      </c>
      <c r="L82" s="42">
        <f>L$25/INDEX($C$27:$C$32,$P82)*D82*C82/1000</f>
        <v>58.76870533333334</v>
      </c>
      <c r="M82" s="42">
        <f>M$25/INDEX($C$27:$C$32,$P82)*D82*C82/1000</f>
        <v>58.76870533333334</v>
      </c>
      <c r="N82" s="42">
        <f>N$25/INDEX($C$27:$C$32,$P82)*D82*C82/1000</f>
        <v>58.76870533333334</v>
      </c>
      <c r="P82" s="43" t="n">
        <v>5</v>
      </c>
    </row>
    <row r="83">
      <c r="B83" s="22" t="inlineStr">
        <is>
          <t>Охлаждающая жидкость</t>
        </is>
      </c>
      <c r="C83" s="44" t="n">
        <v>3.122</v>
      </c>
      <c r="D83" s="44" t="n">
        <v>190</v>
      </c>
      <c r="E83" s="42">
        <f>E$25/INDEX($C$27:$C$32,$P83)*D83*C83/1000</f>
        <v>0.830452</v>
      </c>
      <c r="F83" s="42">
        <f>F$25/INDEX($C$27:$C$32,$P83)*D83*C83/1000</f>
        <v>0.830452</v>
      </c>
      <c r="G83" s="42">
        <f>G$25/INDEX($C$27:$C$32,$P83)*D83*C83/1000</f>
        <v>0.830452</v>
      </c>
      <c r="H83" s="42">
        <f>H$25/INDEX($C$27:$C$32,$P83)*D83*C83/1000</f>
        <v>0.830452</v>
      </c>
      <c r="I83" s="42">
        <f>I$25/INDEX($C$27:$C$32,$P83)*D83*C83/1000</f>
        <v>0.830452</v>
      </c>
      <c r="J83" s="42">
        <f>J$25/INDEX($C$27:$C$32,$P83)*D83*C83/1000</f>
        <v>0.830452</v>
      </c>
      <c r="K83" s="42">
        <f>K$25/INDEX($C$27:$C$32,$P83)*D83*C83/1000</f>
        <v>0.830452</v>
      </c>
      <c r="L83" s="42">
        <f>L$25/INDEX($C$27:$C$32,$P83)*D83*C83/1000</f>
        <v>0.830452</v>
      </c>
      <c r="M83" s="42">
        <f>M$25/INDEX($C$27:$C$32,$P83)*D83*C83/1000</f>
        <v>0.830452</v>
      </c>
      <c r="N83" s="42">
        <f>N$25/INDEX($C$27:$C$32,$P83)*D83*C83/1000</f>
        <v>0.830452</v>
      </c>
      <c r="P83" s="43" t="n">
        <v>6</v>
      </c>
    </row>
    <row r="84">
      <c r="B84" s="22" t="inlineStr">
        <is>
          <t>Корректировка (прочее)</t>
        </is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</row>
    <row r="85">
      <c r="B85" s="39" t="inlineStr">
        <is>
          <t>ИТОГО ЗЧ ТО, тыс.вал/год</t>
        </is>
      </c>
      <c r="E85" s="42">
        <f>SUM(E51:E84)</f>
        <v>136.07378843333333</v>
      </c>
      <c r="F85" s="42">
        <f>SUM(F51:F84)</f>
        <v>136.07378843333333</v>
      </c>
      <c r="G85" s="42">
        <f>SUM(G51:G84)</f>
        <v>136.07378843333333</v>
      </c>
      <c r="H85" s="42">
        <f>SUM(H51:H84)</f>
        <v>136.07378843333333</v>
      </c>
      <c r="I85" s="42">
        <f>SUM(I51:I84)</f>
        <v>136.07378843333333</v>
      </c>
      <c r="J85" s="42">
        <f>SUM(J51:J84)</f>
        <v>136.07378843333333</v>
      </c>
      <c r="K85" s="42">
        <f>SUM(K51:K84)</f>
        <v>136.07378843333333</v>
      </c>
      <c r="L85" s="42">
        <f>SUM(L51:L84)</f>
        <v>136.07378843333333</v>
      </c>
      <c r="M85" s="42">
        <f>SUM(M51:M84)</f>
        <v>136.07378843333333</v>
      </c>
      <c r="N85" s="42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44" t="n">
        <v>98848.48</v>
      </c>
      <c r="D89" s="43" t="n">
        <v>15000</v>
      </c>
      <c r="E89" s="42">
        <f>(INT($E$25*1/$D89)-INT($E$25*(1-1)/$D89))*$C89/1000</f>
        <v>0.0</v>
      </c>
      <c r="F89" s="42">
        <f>(INT($E$25*2/$D89)-INT($E$25*(2-1)/$D89))*$C89/1000</f>
        <v>0.0</v>
      </c>
      <c r="G89" s="42">
        <f>(INT($E$25*3/$D89)-INT($E$25*(3-1)/$D89))*$C89/1000</f>
        <v>98.84848</v>
      </c>
      <c r="H89" s="42">
        <f>(INT($E$25*4/$D89)-INT($E$25*(4-1)/$D89))*$C89/1000</f>
        <v>0.0</v>
      </c>
      <c r="I89" s="42">
        <f>(INT($E$25*5/$D89)-INT($E$25*(5-1)/$D89))*$C89/1000</f>
        <v>98.84848</v>
      </c>
      <c r="J89" s="42">
        <f>(INT($E$25*6/$D89)-INT($E$25*(6-1)/$D89))*$C89/1000</f>
        <v>0.0</v>
      </c>
      <c r="K89" s="42">
        <f>(INT($E$25*7/$D89)-INT($E$25*(7-1)/$D89))*$C89/1000</f>
        <v>98.84848</v>
      </c>
      <c r="L89" s="42">
        <f>(INT($E$25*8/$D89)-INT($E$25*(8-1)/$D89))*$C89/1000</f>
        <v>0.0</v>
      </c>
      <c r="M89" s="42">
        <f>(INT($E$25*9/$D89)-INT($E$25*(9-1)/$D89))*$C89/1000</f>
        <v>98.84848</v>
      </c>
      <c r="N89" s="42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44" t="n">
        <v>32894</v>
      </c>
      <c r="D90" s="43" t="n">
        <v>16000</v>
      </c>
      <c r="E90" s="42">
        <f>(INT($E$25*1/$D90)-INT($E$25*(1-1)/$D90))*$C90/1000</f>
        <v>0.0</v>
      </c>
      <c r="F90" s="42">
        <f>(INT($E$25*2/$D90)-INT($E$25*(2-1)/$D90))*$C90/1000</f>
        <v>0.0</v>
      </c>
      <c r="G90" s="42">
        <f>(INT($E$25*3/$D90)-INT($E$25*(3-1)/$D90))*$C90/1000</f>
        <v>32.894</v>
      </c>
      <c r="H90" s="42">
        <f>(INT($E$25*4/$D90)-INT($E$25*(4-1)/$D90))*$C90/1000</f>
        <v>0.0</v>
      </c>
      <c r="I90" s="42">
        <f>(INT($E$25*5/$D90)-INT($E$25*(5-1)/$D90))*$C90/1000</f>
        <v>32.894</v>
      </c>
      <c r="J90" s="42">
        <f>(INT($E$25*6/$D90)-INT($E$25*(6-1)/$D90))*$C90/1000</f>
        <v>0.0</v>
      </c>
      <c r="K90" s="42">
        <f>(INT($E$25*7/$D90)-INT($E$25*(7-1)/$D90))*$C90/1000</f>
        <v>32.894</v>
      </c>
      <c r="L90" s="42">
        <f>(INT($E$25*8/$D90)-INT($E$25*(8-1)/$D90))*$C90/1000</f>
        <v>0.0</v>
      </c>
      <c r="M90" s="42">
        <f>(INT($E$25*9/$D90)-INT($E$25*(9-1)/$D90))*$C90/1000</f>
        <v>0.0</v>
      </c>
      <c r="N90" s="42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44" t="n">
        <v>46638</v>
      </c>
      <c r="D91" s="43" t="n">
        <v>13000</v>
      </c>
      <c r="E91" s="42">
        <f>(INT($E$25*1/$D91)-INT($E$25*(1-1)/$D91))*$C91/1000</f>
        <v>0.0</v>
      </c>
      <c r="F91" s="42">
        <f>(INT($E$25*2/$D91)-INT($E$25*(2-1)/$D91))*$C91/1000</f>
        <v>46.638</v>
      </c>
      <c r="G91" s="42">
        <f>(INT($E$25*3/$D91)-INT($E$25*(3-1)/$D91))*$C91/1000</f>
        <v>0.0</v>
      </c>
      <c r="H91" s="42">
        <f>(INT($E$25*4/$D91)-INT($E$25*(4-1)/$D91))*$C91/1000</f>
        <v>46.638</v>
      </c>
      <c r="I91" s="42">
        <f>(INT($E$25*5/$D91)-INT($E$25*(5-1)/$D91))*$C91/1000</f>
        <v>0.0</v>
      </c>
      <c r="J91" s="42">
        <f>(INT($E$25*6/$D91)-INT($E$25*(6-1)/$D91))*$C91/1000</f>
        <v>46.638</v>
      </c>
      <c r="K91" s="42">
        <f>(INT($E$25*7/$D91)-INT($E$25*(7-1)/$D91))*$C91/1000</f>
        <v>0.0</v>
      </c>
      <c r="L91" s="42">
        <f>(INT($E$25*8/$D91)-INT($E$25*(8-1)/$D91))*$C91/1000</f>
        <v>46.638</v>
      </c>
      <c r="M91" s="42">
        <f>(INT($E$25*9/$D91)-INT($E$25*(9-1)/$D91))*$C91/1000</f>
        <v>0.0</v>
      </c>
      <c r="N91" s="42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44" t="n">
        <v>4240.92</v>
      </c>
      <c r="D92" s="43" t="n">
        <v>7450</v>
      </c>
      <c r="E92" s="42">
        <f>(INT($E$25*1/$D92)-INT($E$25*(1-1)/$D92))*$C92/1000</f>
        <v>0.0</v>
      </c>
      <c r="F92" s="42">
        <f>(INT($E$25*2/$D92)-INT($E$25*(2-1)/$D92))*$C92/1000</f>
        <v>4.24092</v>
      </c>
      <c r="G92" s="42">
        <f>(INT($E$25*3/$D92)-INT($E$25*(3-1)/$D92))*$C92/1000</f>
        <v>4.24092</v>
      </c>
      <c r="H92" s="42">
        <f>(INT($E$25*4/$D92)-INT($E$25*(4-1)/$D92))*$C92/1000</f>
        <v>4.24092</v>
      </c>
      <c r="I92" s="42">
        <f>(INT($E$25*5/$D92)-INT($E$25*(5-1)/$D92))*$C92/1000</f>
        <v>4.24092</v>
      </c>
      <c r="J92" s="42">
        <f>(INT($E$25*6/$D92)-INT($E$25*(6-1)/$D92))*$C92/1000</f>
        <v>4.24092</v>
      </c>
      <c r="K92" s="42">
        <f>(INT($E$25*7/$D92)-INT($E$25*(7-1)/$D92))*$C92/1000</f>
        <v>4.24092</v>
      </c>
      <c r="L92" s="42">
        <f>(INT($E$25*8/$D92)-INT($E$25*(8-1)/$D92))*$C92/1000</f>
        <v>4.24092</v>
      </c>
      <c r="M92" s="42">
        <f>(INT($E$25*9/$D92)-INT($E$25*(9-1)/$D92))*$C92/1000</f>
        <v>4.24092</v>
      </c>
      <c r="N92" s="42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44" t="n">
        <v>4242.92</v>
      </c>
      <c r="D93" s="43" t="n">
        <v>7450</v>
      </c>
      <c r="E93" s="42">
        <f>(INT($E$25*1/$D93)-INT($E$25*(1-1)/$D93))*$C93/1000</f>
        <v>0.0</v>
      </c>
      <c r="F93" s="42">
        <f>(INT($E$25*2/$D93)-INT($E$25*(2-1)/$D93))*$C93/1000</f>
        <v>4.24292</v>
      </c>
      <c r="G93" s="42">
        <f>(INT($E$25*3/$D93)-INT($E$25*(3-1)/$D93))*$C93/1000</f>
        <v>4.24292</v>
      </c>
      <c r="H93" s="42">
        <f>(INT($E$25*4/$D93)-INT($E$25*(4-1)/$D93))*$C93/1000</f>
        <v>4.24292</v>
      </c>
      <c r="I93" s="42">
        <f>(INT($E$25*5/$D93)-INT($E$25*(5-1)/$D93))*$C93/1000</f>
        <v>4.24292</v>
      </c>
      <c r="J93" s="42">
        <f>(INT($E$25*6/$D93)-INT($E$25*(6-1)/$D93))*$C93/1000</f>
        <v>4.24292</v>
      </c>
      <c r="K93" s="42">
        <f>(INT($E$25*7/$D93)-INT($E$25*(7-1)/$D93))*$C93/1000</f>
        <v>4.24292</v>
      </c>
      <c r="L93" s="42">
        <f>(INT($E$25*8/$D93)-INT($E$25*(8-1)/$D93))*$C93/1000</f>
        <v>4.24292</v>
      </c>
      <c r="M93" s="42">
        <f>(INT($E$25*9/$D93)-INT($E$25*(9-1)/$D93))*$C93/1000</f>
        <v>4.24292</v>
      </c>
      <c r="N93" s="42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44" t="n">
        <v>3464.48</v>
      </c>
      <c r="D94" s="43" t="n">
        <v>6000</v>
      </c>
      <c r="E94" s="42">
        <f>(INT($E$25*1/$D94)-INT($E$25*(1-1)/$D94))*$C94/1000</f>
        <v>3.46448</v>
      </c>
      <c r="F94" s="42">
        <f>(INT($E$25*2/$D94)-INT($E$25*(2-1)/$D94))*$C94/1000</f>
        <v>3.46448</v>
      </c>
      <c r="G94" s="42">
        <f>(INT($E$25*3/$D94)-INT($E$25*(3-1)/$D94))*$C94/1000</f>
        <v>3.46448</v>
      </c>
      <c r="H94" s="42">
        <f>(INT($E$25*4/$D94)-INT($E$25*(4-1)/$D94))*$C94/1000</f>
        <v>3.46448</v>
      </c>
      <c r="I94" s="42">
        <f>(INT($E$25*5/$D94)-INT($E$25*(5-1)/$D94))*$C94/1000</f>
        <v>3.46448</v>
      </c>
      <c r="J94" s="42">
        <f>(INT($E$25*6/$D94)-INT($E$25*(6-1)/$D94))*$C94/1000</f>
        <v>6.92896</v>
      </c>
      <c r="K94" s="42">
        <f>(INT($E$25*7/$D94)-INT($E$25*(7-1)/$D94))*$C94/1000</f>
        <v>3.46448</v>
      </c>
      <c r="L94" s="42">
        <f>(INT($E$25*8/$D94)-INT($E$25*(8-1)/$D94))*$C94/1000</f>
        <v>3.46448</v>
      </c>
      <c r="M94" s="42">
        <f>(INT($E$25*9/$D94)-INT($E$25*(9-1)/$D94))*$C94/1000</f>
        <v>3.46448</v>
      </c>
      <c r="N94" s="42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44" t="n">
        <v>237.18</v>
      </c>
      <c r="D95" s="43" t="n">
        <v>6000</v>
      </c>
      <c r="E95" s="42">
        <f>(INT($E$25*1/$D95)-INT($E$25*(1-1)/$D95))*$C95/1000</f>
        <v>0.23718</v>
      </c>
      <c r="F95" s="42">
        <f>(INT($E$25*2/$D95)-INT($E$25*(2-1)/$D95))*$C95/1000</f>
        <v>0.23718</v>
      </c>
      <c r="G95" s="42">
        <f>(INT($E$25*3/$D95)-INT($E$25*(3-1)/$D95))*$C95/1000</f>
        <v>0.23718</v>
      </c>
      <c r="H95" s="42">
        <f>(INT($E$25*4/$D95)-INT($E$25*(4-1)/$D95))*$C95/1000</f>
        <v>0.23718</v>
      </c>
      <c r="I95" s="42">
        <f>(INT($E$25*5/$D95)-INT($E$25*(5-1)/$D95))*$C95/1000</f>
        <v>0.23718</v>
      </c>
      <c r="J95" s="42">
        <f>(INT($E$25*6/$D95)-INT($E$25*(6-1)/$D95))*$C95/1000</f>
        <v>0.47436</v>
      </c>
      <c r="K95" s="42">
        <f>(INT($E$25*7/$D95)-INT($E$25*(7-1)/$D95))*$C95/1000</f>
        <v>0.23718</v>
      </c>
      <c r="L95" s="42">
        <f>(INT($E$25*8/$D95)-INT($E$25*(8-1)/$D95))*$C95/1000</f>
        <v>0.23718</v>
      </c>
      <c r="M95" s="42">
        <f>(INT($E$25*9/$D95)-INT($E$25*(9-1)/$D95))*$C95/1000</f>
        <v>0.23718</v>
      </c>
      <c r="N95" s="42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44" t="n">
        <v>102.66</v>
      </c>
      <c r="D96" s="43" t="n">
        <v>4000</v>
      </c>
      <c r="E96" s="42">
        <f>(INT($E$25*1/$D96)-INT($E$25*(1-1)/$D96))*$C96/1000</f>
        <v>0.10266</v>
      </c>
      <c r="F96" s="42">
        <f>(INT($E$25*2/$D96)-INT($E$25*(2-1)/$D96))*$C96/1000</f>
        <v>0.20532</v>
      </c>
      <c r="G96" s="42">
        <f>(INT($E$25*3/$D96)-INT($E$25*(3-1)/$D96))*$C96/1000</f>
        <v>0.20532</v>
      </c>
      <c r="H96" s="42">
        <f>(INT($E$25*4/$D96)-INT($E$25*(4-1)/$D96))*$C96/1000</f>
        <v>0.20532</v>
      </c>
      <c r="I96" s="42">
        <f>(INT($E$25*5/$D96)-INT($E$25*(5-1)/$D96))*$C96/1000</f>
        <v>0.10266</v>
      </c>
      <c r="J96" s="42">
        <f>(INT($E$25*6/$D96)-INT($E$25*(6-1)/$D96))*$C96/1000</f>
        <v>0.20532</v>
      </c>
      <c r="K96" s="42">
        <f>(INT($E$25*7/$D96)-INT($E$25*(7-1)/$D96))*$C96/1000</f>
        <v>0.20532</v>
      </c>
      <c r="L96" s="42">
        <f>(INT($E$25*8/$D96)-INT($E$25*(8-1)/$D96))*$C96/1000</f>
        <v>0.20532</v>
      </c>
      <c r="M96" s="42">
        <f>(INT($E$25*9/$D96)-INT($E$25*(9-1)/$D96))*$C96/1000</f>
        <v>0.10266</v>
      </c>
      <c r="N96" s="42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44" t="n">
        <v>110.66</v>
      </c>
      <c r="D97" s="43" t="n">
        <v>4000</v>
      </c>
      <c r="E97" s="42">
        <f>(INT($E$25*1/$D97)-INT($E$25*(1-1)/$D97))*$C97/1000</f>
        <v>0.11066</v>
      </c>
      <c r="F97" s="42">
        <f>(INT($E$25*2/$D97)-INT($E$25*(2-1)/$D97))*$C97/1000</f>
        <v>0.22132</v>
      </c>
      <c r="G97" s="42">
        <f>(INT($E$25*3/$D97)-INT($E$25*(3-1)/$D97))*$C97/1000</f>
        <v>0.22132</v>
      </c>
      <c r="H97" s="42">
        <f>(INT($E$25*4/$D97)-INT($E$25*(4-1)/$D97))*$C97/1000</f>
        <v>0.22132</v>
      </c>
      <c r="I97" s="42">
        <f>(INT($E$25*5/$D97)-INT($E$25*(5-1)/$D97))*$C97/1000</f>
        <v>0.11066</v>
      </c>
      <c r="J97" s="42">
        <f>(INT($E$25*6/$D97)-INT($E$25*(6-1)/$D97))*$C97/1000</f>
        <v>0.22132</v>
      </c>
      <c r="K97" s="42">
        <f>(INT($E$25*7/$D97)-INT($E$25*(7-1)/$D97))*$C97/1000</f>
        <v>0.22132</v>
      </c>
      <c r="L97" s="42">
        <f>(INT($E$25*8/$D97)-INT($E$25*(8-1)/$D97))*$C97/1000</f>
        <v>0.22132</v>
      </c>
      <c r="M97" s="42">
        <f>(INT($E$25*9/$D97)-INT($E$25*(9-1)/$D97))*$C97/1000</f>
        <v>0.11066</v>
      </c>
      <c r="N97" s="42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44" t="n">
        <v>92.04000000000001</v>
      </c>
      <c r="D98" s="43" t="n">
        <v>5000</v>
      </c>
      <c r="E98" s="42">
        <f>(INT($E$25*1/$D98)-INT($E$25*(1-1)/$D98))*$C98/1000</f>
        <v>0.09204000000000001</v>
      </c>
      <c r="F98" s="42">
        <f>(INT($E$25*2/$D98)-INT($E$25*(2-1)/$D98))*$C98/1000</f>
        <v>0.09204000000000001</v>
      </c>
      <c r="G98" s="42">
        <f>(INT($E$25*3/$D98)-INT($E$25*(3-1)/$D98))*$C98/1000</f>
        <v>0.18408000000000002</v>
      </c>
      <c r="H98" s="42">
        <f>(INT($E$25*4/$D98)-INT($E$25*(4-1)/$D98))*$C98/1000</f>
        <v>0.09204000000000001</v>
      </c>
      <c r="I98" s="42">
        <f>(INT($E$25*5/$D98)-INT($E$25*(5-1)/$D98))*$C98/1000</f>
        <v>0.18408000000000002</v>
      </c>
      <c r="J98" s="42">
        <f>(INT($E$25*6/$D98)-INT($E$25*(6-1)/$D98))*$C98/1000</f>
        <v>0.09204000000000001</v>
      </c>
      <c r="K98" s="42">
        <f>(INT($E$25*7/$D98)-INT($E$25*(7-1)/$D98))*$C98/1000</f>
        <v>0.09204000000000001</v>
      </c>
      <c r="L98" s="42">
        <f>(INT($E$25*8/$D98)-INT($E$25*(8-1)/$D98))*$C98/1000</f>
        <v>0.18408000000000002</v>
      </c>
      <c r="M98" s="42">
        <f>(INT($E$25*9/$D98)-INT($E$25*(9-1)/$D98))*$C98/1000</f>
        <v>0.09204000000000001</v>
      </c>
      <c r="N98" s="42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44" t="n">
        <v>123.9</v>
      </c>
      <c r="D99" s="43" t="n">
        <v>4000</v>
      </c>
      <c r="E99" s="42">
        <f>(INT($E$25*1/$D99)-INT($E$25*(1-1)/$D99))*$C99/1000</f>
        <v>0.12390000000000001</v>
      </c>
      <c r="F99" s="42">
        <f>(INT($E$25*2/$D99)-INT($E$25*(2-1)/$D99))*$C99/1000</f>
        <v>0.24780000000000002</v>
      </c>
      <c r="G99" s="42">
        <f>(INT($E$25*3/$D99)-INT($E$25*(3-1)/$D99))*$C99/1000</f>
        <v>0.24780000000000002</v>
      </c>
      <c r="H99" s="42">
        <f>(INT($E$25*4/$D99)-INT($E$25*(4-1)/$D99))*$C99/1000</f>
        <v>0.24780000000000002</v>
      </c>
      <c r="I99" s="42">
        <f>(INT($E$25*5/$D99)-INT($E$25*(5-1)/$D99))*$C99/1000</f>
        <v>0.12390000000000001</v>
      </c>
      <c r="J99" s="42">
        <f>(INT($E$25*6/$D99)-INT($E$25*(6-1)/$D99))*$C99/1000</f>
        <v>0.24780000000000002</v>
      </c>
      <c r="K99" s="42">
        <f>(INT($E$25*7/$D99)-INT($E$25*(7-1)/$D99))*$C99/1000</f>
        <v>0.24780000000000002</v>
      </c>
      <c r="L99" s="42">
        <f>(INT($E$25*8/$D99)-INT($E$25*(8-1)/$D99))*$C99/1000</f>
        <v>0.24780000000000002</v>
      </c>
      <c r="M99" s="42">
        <f>(INT($E$25*9/$D99)-INT($E$25*(9-1)/$D99))*$C99/1000</f>
        <v>0.12390000000000001</v>
      </c>
      <c r="N99" s="42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44" t="n">
        <v>143.96</v>
      </c>
      <c r="D100" s="43" t="n">
        <v>12000</v>
      </c>
      <c r="E100" s="42">
        <f>(INT($E$25*1/$D100)-INT($E$25*(1-1)/$D100))*$C100/1000</f>
        <v>0.0</v>
      </c>
      <c r="F100" s="42">
        <f>(INT($E$25*2/$D100)-INT($E$25*(2-1)/$D100))*$C100/1000</f>
        <v>0.14396</v>
      </c>
      <c r="G100" s="42">
        <f>(INT($E$25*3/$D100)-INT($E$25*(3-1)/$D100))*$C100/1000</f>
        <v>0.0</v>
      </c>
      <c r="H100" s="42">
        <f>(INT($E$25*4/$D100)-INT($E$25*(4-1)/$D100))*$C100/1000</f>
        <v>0.14396</v>
      </c>
      <c r="I100" s="42">
        <f>(INT($E$25*5/$D100)-INT($E$25*(5-1)/$D100))*$C100/1000</f>
        <v>0.0</v>
      </c>
      <c r="J100" s="42">
        <f>(INT($E$25*6/$D100)-INT($E$25*(6-1)/$D100))*$C100/1000</f>
        <v>0.14396</v>
      </c>
      <c r="K100" s="42">
        <f>(INT($E$25*7/$D100)-INT($E$25*(7-1)/$D100))*$C100/1000</f>
        <v>0.14396</v>
      </c>
      <c r="L100" s="42">
        <f>(INT($E$25*8/$D100)-INT($E$25*(8-1)/$D100))*$C100/1000</f>
        <v>0.0</v>
      </c>
      <c r="M100" s="42">
        <f>(INT($E$25*9/$D100)-INT($E$25*(9-1)/$D100))*$C100/1000</f>
        <v>0.14396</v>
      </c>
      <c r="N100" s="42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44" t="n">
        <v>159.96</v>
      </c>
      <c r="D101" s="43" t="n">
        <v>7000</v>
      </c>
      <c r="E101" s="42">
        <f>(INT($E$25*1/$D101)-INT($E$25*(1-1)/$D101))*$C101/1000</f>
        <v>0.15996000000000002</v>
      </c>
      <c r="F101" s="42">
        <f>(INT($E$25*2/$D101)-INT($E$25*(2-1)/$D101))*$C101/1000</f>
        <v>0.15996000000000002</v>
      </c>
      <c r="G101" s="42">
        <f>(INT($E$25*3/$D101)-INT($E$25*(3-1)/$D101))*$C101/1000</f>
        <v>0.15996000000000002</v>
      </c>
      <c r="H101" s="42">
        <f>(INT($E$25*4/$D101)-INT($E$25*(4-1)/$D101))*$C101/1000</f>
        <v>0.15996000000000002</v>
      </c>
      <c r="I101" s="42">
        <f>(INT($E$25*5/$D101)-INT($E$25*(5-1)/$D101))*$C101/1000</f>
        <v>0.15996000000000002</v>
      </c>
      <c r="J101" s="42">
        <f>(INT($E$25*6/$D101)-INT($E$25*(6-1)/$D101))*$C101/1000</f>
        <v>0.15996000000000002</v>
      </c>
      <c r="K101" s="42">
        <f>(INT($E$25*7/$D101)-INT($E$25*(7-1)/$D101))*$C101/1000</f>
        <v>0.15996000000000002</v>
      </c>
      <c r="L101" s="42">
        <f>(INT($E$25*8/$D101)-INT($E$25*(8-1)/$D101))*$C101/1000</f>
        <v>0.15996000000000002</v>
      </c>
      <c r="M101" s="42">
        <f>(INT($E$25*9/$D101)-INT($E$25*(9-1)/$D101))*$C101/1000</f>
        <v>0.15996000000000002</v>
      </c>
      <c r="N101" s="42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44" t="n">
        <v>215.94</v>
      </c>
      <c r="D102" s="43" t="n">
        <v>7000</v>
      </c>
      <c r="E102" s="42">
        <f>(INT($E$25*1/$D102)-INT($E$25*(1-1)/$D102))*$C102/1000</f>
        <v>0.21594</v>
      </c>
      <c r="F102" s="42">
        <f>(INT($E$25*2/$D102)-INT($E$25*(2-1)/$D102))*$C102/1000</f>
        <v>0.21594</v>
      </c>
      <c r="G102" s="42">
        <f>(INT($E$25*3/$D102)-INT($E$25*(3-1)/$D102))*$C102/1000</f>
        <v>0.21594</v>
      </c>
      <c r="H102" s="42">
        <f>(INT($E$25*4/$D102)-INT($E$25*(4-1)/$D102))*$C102/1000</f>
        <v>0.21594</v>
      </c>
      <c r="I102" s="42">
        <f>(INT($E$25*5/$D102)-INT($E$25*(5-1)/$D102))*$C102/1000</f>
        <v>0.21594</v>
      </c>
      <c r="J102" s="42">
        <f>(INT($E$25*6/$D102)-INT($E$25*(6-1)/$D102))*$C102/1000</f>
        <v>0.21594</v>
      </c>
      <c r="K102" s="42">
        <f>(INT($E$25*7/$D102)-INT($E$25*(7-1)/$D102))*$C102/1000</f>
        <v>0.21594</v>
      </c>
      <c r="L102" s="42">
        <f>(INT($E$25*8/$D102)-INT($E$25*(8-1)/$D102))*$C102/1000</f>
        <v>0.21594</v>
      </c>
      <c r="M102" s="42">
        <f>(INT($E$25*9/$D102)-INT($E$25*(9-1)/$D102))*$C102/1000</f>
        <v>0.21594</v>
      </c>
      <c r="N102" s="42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44" t="n">
        <v>3415.51</v>
      </c>
      <c r="D103" s="43" t="n">
        <v>36000</v>
      </c>
      <c r="E103" s="42">
        <f>(INT($E$25*1/$D103)-INT($E$25*(1-1)/$D103))*$C103/1000</f>
        <v>0.0</v>
      </c>
      <c r="F103" s="42">
        <f>(INT($E$25*2/$D103)-INT($E$25*(2-1)/$D103))*$C103/1000</f>
        <v>0.0</v>
      </c>
      <c r="G103" s="42">
        <f>(INT($E$25*3/$D103)-INT($E$25*(3-1)/$D103))*$C103/1000</f>
        <v>0.0</v>
      </c>
      <c r="H103" s="42">
        <f>(INT($E$25*4/$D103)-INT($E$25*(4-1)/$D103))*$C103/1000</f>
        <v>0.0</v>
      </c>
      <c r="I103" s="42">
        <f>(INT($E$25*5/$D103)-INT($E$25*(5-1)/$D103))*$C103/1000</f>
        <v>0.0</v>
      </c>
      <c r="J103" s="42">
        <f>(INT($E$25*6/$D103)-INT($E$25*(6-1)/$D103))*$C103/1000</f>
        <v>3.4155100000000003</v>
      </c>
      <c r="K103" s="42">
        <f>(INT($E$25*7/$D103)-INT($E$25*(7-1)/$D103))*$C103/1000</f>
        <v>0.0</v>
      </c>
      <c r="L103" s="42">
        <f>(INT($E$25*8/$D103)-INT($E$25*(8-1)/$D103))*$C103/1000</f>
        <v>0.0</v>
      </c>
      <c r="M103" s="42">
        <f>(INT($E$25*9/$D103)-INT($E$25*(9-1)/$D103))*$C103/1000</f>
        <v>0.0</v>
      </c>
      <c r="N103" s="42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44" t="n">
        <v>12637.39</v>
      </c>
      <c r="D104" s="43" t="n">
        <v>65000</v>
      </c>
      <c r="E104" s="42">
        <f>(INT($E$25*1/$D104)-INT($E$25*(1-1)/$D104))*$C104/1000</f>
        <v>0.0</v>
      </c>
      <c r="F104" s="42">
        <f>(INT($E$25*2/$D104)-INT($E$25*(2-1)/$D104))*$C104/1000</f>
        <v>0.0</v>
      </c>
      <c r="G104" s="42">
        <f>(INT($E$25*3/$D104)-INT($E$25*(3-1)/$D104))*$C104/1000</f>
        <v>0.0</v>
      </c>
      <c r="H104" s="42">
        <f>(INT($E$25*4/$D104)-INT($E$25*(4-1)/$D104))*$C104/1000</f>
        <v>0.0</v>
      </c>
      <c r="I104" s="42">
        <f>(INT($E$25*5/$D104)-INT($E$25*(5-1)/$D104))*$C104/1000</f>
        <v>0.0</v>
      </c>
      <c r="J104" s="42">
        <f>(INT($E$25*6/$D104)-INT($E$25*(6-1)/$D104))*$C104/1000</f>
        <v>0.0</v>
      </c>
      <c r="K104" s="42">
        <f>(INT($E$25*7/$D104)-INT($E$25*(7-1)/$D104))*$C104/1000</f>
        <v>0.0</v>
      </c>
      <c r="L104" s="42">
        <f>(INT($E$25*8/$D104)-INT($E$25*(8-1)/$D104))*$C104/1000</f>
        <v>0.0</v>
      </c>
      <c r="M104" s="42">
        <f>(INT($E$25*9/$D104)-INT($E$25*(9-1)/$D104))*$C104/1000</f>
        <v>0.0</v>
      </c>
      <c r="N104" s="42">
        <f>(INT($E$25*10/$D104)-INT($E$25*(10-1)/$D104))*$C104/1000</f>
        <v>12.63739</v>
      </c>
    </row>
    <row r="105">
      <c r="B105" s="45" t="inlineStr">
        <is>
          <t>ИТОГО</t>
        </is>
      </c>
      <c r="E105" s="42">
        <f>SUM(E89:E104)</f>
        <v>4.506819999999999</v>
      </c>
      <c r="F105" s="42">
        <f>SUM(F89:F104)</f>
        <v>60.109840000000005</v>
      </c>
      <c r="G105" s="42">
        <f>SUM(G89:G104)</f>
        <v>145.1624</v>
      </c>
      <c r="H105" s="42">
        <f>SUM(H89:H104)</f>
        <v>60.109840000000005</v>
      </c>
      <c r="I105" s="42">
        <f>SUM(I89:I104)</f>
        <v>144.82518</v>
      </c>
      <c r="J105" s="42">
        <f>SUM(J89:J104)</f>
        <v>67.22701</v>
      </c>
      <c r="K105" s="42">
        <f>SUM(K89:K104)</f>
        <v>145.21432</v>
      </c>
      <c r="L105" s="42">
        <f>SUM(L89:L104)</f>
        <v>60.057919999999996</v>
      </c>
      <c r="M105" s="42">
        <f>SUM(M89:M104)</f>
        <v>111.9831</v>
      </c>
      <c r="N105" s="42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44" t="n">
        <v>56</v>
      </c>
      <c r="D109" s="43" t="n">
        <v>15000</v>
      </c>
      <c r="E109" s="42">
        <f>(INT($E$25*1/$D109)-INT($E$25*(1-1)/$D109))*$C109</f>
        <v>0.0</v>
      </c>
      <c r="F109" s="42">
        <f>(INT($E$25*2/$D109)-INT($E$25*(2-1)/$D109))*$C109</f>
        <v>0.0</v>
      </c>
      <c r="G109" s="42">
        <f>(INT($E$25*3/$D109)-INT($E$25*(3-1)/$D109))*$C109</f>
        <v>56.0</v>
      </c>
      <c r="H109" s="42">
        <f>(INT($E$25*4/$D109)-INT($E$25*(4-1)/$D109))*$C109</f>
        <v>0.0</v>
      </c>
      <c r="I109" s="42">
        <f>(INT($E$25*5/$D109)-INT($E$25*(5-1)/$D109))*$C109</f>
        <v>56.0</v>
      </c>
      <c r="J109" s="42">
        <f>(INT($E$25*6/$D109)-INT($E$25*(6-1)/$D109))*$C109</f>
        <v>0.0</v>
      </c>
      <c r="K109" s="42">
        <f>(INT($E$25*7/$D109)-INT($E$25*(7-1)/$D109))*$C109</f>
        <v>56.0</v>
      </c>
      <c r="L109" s="42">
        <f>(INT($E$25*8/$D109)-INT($E$25*(8-1)/$D109))*$C109</f>
        <v>0.0</v>
      </c>
      <c r="M109" s="42">
        <f>(INT($E$25*9/$D109)-INT($E$25*(9-1)/$D109))*$C109</f>
        <v>56.0</v>
      </c>
      <c r="N109" s="42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44" t="n">
        <v>4</v>
      </c>
      <c r="D110" s="43" t="n">
        <v>16000</v>
      </c>
      <c r="E110" s="42">
        <f>(INT($E$25*1/$D110)-INT($E$25*(1-1)/$D110))*$C110</f>
        <v>0.0</v>
      </c>
      <c r="F110" s="42">
        <f>(INT($E$25*2/$D110)-INT($E$25*(2-1)/$D110))*$C110</f>
        <v>0.0</v>
      </c>
      <c r="G110" s="42">
        <f>(INT($E$25*3/$D110)-INT($E$25*(3-1)/$D110))*$C110</f>
        <v>4.0</v>
      </c>
      <c r="H110" s="42">
        <f>(INT($E$25*4/$D110)-INT($E$25*(4-1)/$D110))*$C110</f>
        <v>0.0</v>
      </c>
      <c r="I110" s="42">
        <f>(INT($E$25*5/$D110)-INT($E$25*(5-1)/$D110))*$C110</f>
        <v>4.0</v>
      </c>
      <c r="J110" s="42">
        <f>(INT($E$25*6/$D110)-INT($E$25*(6-1)/$D110))*$C110</f>
        <v>0.0</v>
      </c>
      <c r="K110" s="42">
        <f>(INT($E$25*7/$D110)-INT($E$25*(7-1)/$D110))*$C110</f>
        <v>4.0</v>
      </c>
      <c r="L110" s="42">
        <f>(INT($E$25*8/$D110)-INT($E$25*(8-1)/$D110))*$C110</f>
        <v>0.0</v>
      </c>
      <c r="M110" s="42">
        <f>(INT($E$25*9/$D110)-INT($E$25*(9-1)/$D110))*$C110</f>
        <v>0.0</v>
      </c>
      <c r="N110" s="42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44" t="n">
        <v>8</v>
      </c>
      <c r="D111" s="43" t="n">
        <v>13000</v>
      </c>
      <c r="E111" s="42">
        <f>(INT($E$25*1/$D111)-INT($E$25*(1-1)/$D111))*$C111</f>
        <v>0.0</v>
      </c>
      <c r="F111" s="42">
        <f>(INT($E$25*2/$D111)-INT($E$25*(2-1)/$D111))*$C111</f>
        <v>8.0</v>
      </c>
      <c r="G111" s="42">
        <f>(INT($E$25*3/$D111)-INT($E$25*(3-1)/$D111))*$C111</f>
        <v>0.0</v>
      </c>
      <c r="H111" s="42">
        <f>(INT($E$25*4/$D111)-INT($E$25*(4-1)/$D111))*$C111</f>
        <v>8.0</v>
      </c>
      <c r="I111" s="42">
        <f>(INT($E$25*5/$D111)-INT($E$25*(5-1)/$D111))*$C111</f>
        <v>0.0</v>
      </c>
      <c r="J111" s="42">
        <f>(INT($E$25*6/$D111)-INT($E$25*(6-1)/$D111))*$C111</f>
        <v>8.0</v>
      </c>
      <c r="K111" s="42">
        <f>(INT($E$25*7/$D111)-INT($E$25*(7-1)/$D111))*$C111</f>
        <v>0.0</v>
      </c>
      <c r="L111" s="42">
        <f>(INT($E$25*8/$D111)-INT($E$25*(8-1)/$D111))*$C111</f>
        <v>8.0</v>
      </c>
      <c r="M111" s="42">
        <f>(INT($E$25*9/$D111)-INT($E$25*(9-1)/$D111))*$C111</f>
        <v>0.0</v>
      </c>
      <c r="N111" s="42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44" t="n">
        <v>36</v>
      </c>
      <c r="D112" s="43" t="n">
        <v>7450</v>
      </c>
      <c r="E112" s="42">
        <f>(INT($E$25*1/$D112)-INT($E$25*(1-1)/$D112))*$C112</f>
        <v>0.0</v>
      </c>
      <c r="F112" s="42">
        <f>(INT($E$25*2/$D112)-INT($E$25*(2-1)/$D112))*$C112</f>
        <v>36.0</v>
      </c>
      <c r="G112" s="42">
        <f>(INT($E$25*3/$D112)-INT($E$25*(3-1)/$D112))*$C112</f>
        <v>36.0</v>
      </c>
      <c r="H112" s="42">
        <f>(INT($E$25*4/$D112)-INT($E$25*(4-1)/$D112))*$C112</f>
        <v>36.0</v>
      </c>
      <c r="I112" s="42">
        <f>(INT($E$25*5/$D112)-INT($E$25*(5-1)/$D112))*$C112</f>
        <v>36.0</v>
      </c>
      <c r="J112" s="42">
        <f>(INT($E$25*6/$D112)-INT($E$25*(6-1)/$D112))*$C112</f>
        <v>36.0</v>
      </c>
      <c r="K112" s="42">
        <f>(INT($E$25*7/$D112)-INT($E$25*(7-1)/$D112))*$C112</f>
        <v>36.0</v>
      </c>
      <c r="L112" s="42">
        <f>(INT($E$25*8/$D112)-INT($E$25*(8-1)/$D112))*$C112</f>
        <v>36.0</v>
      </c>
      <c r="M112" s="42">
        <f>(INT($E$25*9/$D112)-INT($E$25*(9-1)/$D112))*$C112</f>
        <v>36.0</v>
      </c>
      <c r="N112" s="42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44" t="n">
        <v>72</v>
      </c>
      <c r="D113" s="43" t="n">
        <v>7450</v>
      </c>
      <c r="E113" s="42">
        <f>(INT($E$25*1/$D113)-INT($E$25*(1-1)/$D113))*$C113</f>
        <v>0.0</v>
      </c>
      <c r="F113" s="42">
        <f>(INT($E$25*2/$D113)-INT($E$25*(2-1)/$D113))*$C113</f>
        <v>72.0</v>
      </c>
      <c r="G113" s="42">
        <f>(INT($E$25*3/$D113)-INT($E$25*(3-1)/$D113))*$C113</f>
        <v>72.0</v>
      </c>
      <c r="H113" s="42">
        <f>(INT($E$25*4/$D113)-INT($E$25*(4-1)/$D113))*$C113</f>
        <v>72.0</v>
      </c>
      <c r="I113" s="42">
        <f>(INT($E$25*5/$D113)-INT($E$25*(5-1)/$D113))*$C113</f>
        <v>72.0</v>
      </c>
      <c r="J113" s="42">
        <f>(INT($E$25*6/$D113)-INT($E$25*(6-1)/$D113))*$C113</f>
        <v>72.0</v>
      </c>
      <c r="K113" s="42">
        <f>(INT($E$25*7/$D113)-INT($E$25*(7-1)/$D113))*$C113</f>
        <v>72.0</v>
      </c>
      <c r="L113" s="42">
        <f>(INT($E$25*8/$D113)-INT($E$25*(8-1)/$D113))*$C113</f>
        <v>72.0</v>
      </c>
      <c r="M113" s="42">
        <f>(INT($E$25*9/$D113)-INT($E$25*(9-1)/$D113))*$C113</f>
        <v>72.0</v>
      </c>
      <c r="N113" s="42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44" t="n">
        <v>28</v>
      </c>
      <c r="D114" s="43" t="n">
        <v>6000</v>
      </c>
      <c r="E114" s="42">
        <f>(INT($E$25*1/$D114)-INT($E$25*(1-1)/$D114))*$C114</f>
        <v>28.0</v>
      </c>
      <c r="F114" s="42">
        <f>(INT($E$25*2/$D114)-INT($E$25*(2-1)/$D114))*$C114</f>
        <v>28.0</v>
      </c>
      <c r="G114" s="42">
        <f>(INT($E$25*3/$D114)-INT($E$25*(3-1)/$D114))*$C114</f>
        <v>28.0</v>
      </c>
      <c r="H114" s="42">
        <f>(INT($E$25*4/$D114)-INT($E$25*(4-1)/$D114))*$C114</f>
        <v>28.0</v>
      </c>
      <c r="I114" s="42">
        <f>(INT($E$25*5/$D114)-INT($E$25*(5-1)/$D114))*$C114</f>
        <v>28.0</v>
      </c>
      <c r="J114" s="42">
        <f>(INT($E$25*6/$D114)-INT($E$25*(6-1)/$D114))*$C114</f>
        <v>56.0</v>
      </c>
      <c r="K114" s="42">
        <f>(INT($E$25*7/$D114)-INT($E$25*(7-1)/$D114))*$C114</f>
        <v>28.0</v>
      </c>
      <c r="L114" s="42">
        <f>(INT($E$25*8/$D114)-INT($E$25*(8-1)/$D114))*$C114</f>
        <v>28.0</v>
      </c>
      <c r="M114" s="42">
        <f>(INT($E$25*9/$D114)-INT($E$25*(9-1)/$D114))*$C114</f>
        <v>28.0</v>
      </c>
      <c r="N114" s="42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44" t="n">
        <v>3.5</v>
      </c>
      <c r="D115" s="43" t="n">
        <v>6000</v>
      </c>
      <c r="E115" s="42">
        <f>(INT($E$25*1/$D115)-INT($E$25*(1-1)/$D115))*$C115</f>
        <v>3.5</v>
      </c>
      <c r="F115" s="42">
        <f>(INT($E$25*2/$D115)-INT($E$25*(2-1)/$D115))*$C115</f>
        <v>3.5</v>
      </c>
      <c r="G115" s="42">
        <f>(INT($E$25*3/$D115)-INT($E$25*(3-1)/$D115))*$C115</f>
        <v>3.5</v>
      </c>
      <c r="H115" s="42">
        <f>(INT($E$25*4/$D115)-INT($E$25*(4-1)/$D115))*$C115</f>
        <v>3.5</v>
      </c>
      <c r="I115" s="42">
        <f>(INT($E$25*5/$D115)-INT($E$25*(5-1)/$D115))*$C115</f>
        <v>3.5</v>
      </c>
      <c r="J115" s="42">
        <f>(INT($E$25*6/$D115)-INT($E$25*(6-1)/$D115))*$C115</f>
        <v>7.0</v>
      </c>
      <c r="K115" s="42">
        <f>(INT($E$25*7/$D115)-INT($E$25*(7-1)/$D115))*$C115</f>
        <v>3.5</v>
      </c>
      <c r="L115" s="42">
        <f>(INT($E$25*8/$D115)-INT($E$25*(8-1)/$D115))*$C115</f>
        <v>3.5</v>
      </c>
      <c r="M115" s="42">
        <f>(INT($E$25*9/$D115)-INT($E$25*(9-1)/$D115))*$C115</f>
        <v>3.5</v>
      </c>
      <c r="N115" s="42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44" t="n">
        <v>3.5</v>
      </c>
      <c r="D116" s="43" t="n">
        <v>4000</v>
      </c>
      <c r="E116" s="42">
        <f>(INT($E$25*1/$D116)-INT($E$25*(1-1)/$D116))*$C116</f>
        <v>3.5</v>
      </c>
      <c r="F116" s="42">
        <f>(INT($E$25*2/$D116)-INT($E$25*(2-1)/$D116))*$C116</f>
        <v>7.0</v>
      </c>
      <c r="G116" s="42">
        <f>(INT($E$25*3/$D116)-INT($E$25*(3-1)/$D116))*$C116</f>
        <v>7.0</v>
      </c>
      <c r="H116" s="42">
        <f>(INT($E$25*4/$D116)-INT($E$25*(4-1)/$D116))*$C116</f>
        <v>7.0</v>
      </c>
      <c r="I116" s="42">
        <f>(INT($E$25*5/$D116)-INT($E$25*(5-1)/$D116))*$C116</f>
        <v>3.5</v>
      </c>
      <c r="J116" s="42">
        <f>(INT($E$25*6/$D116)-INT($E$25*(6-1)/$D116))*$C116</f>
        <v>7.0</v>
      </c>
      <c r="K116" s="42">
        <f>(INT($E$25*7/$D116)-INT($E$25*(7-1)/$D116))*$C116</f>
        <v>7.0</v>
      </c>
      <c r="L116" s="42">
        <f>(INT($E$25*8/$D116)-INT($E$25*(8-1)/$D116))*$C116</f>
        <v>7.0</v>
      </c>
      <c r="M116" s="42">
        <f>(INT($E$25*9/$D116)-INT($E$25*(9-1)/$D116))*$C116</f>
        <v>3.5</v>
      </c>
      <c r="N116" s="42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44" t="n">
        <v>3.5</v>
      </c>
      <c r="D117" s="43" t="n">
        <v>4000</v>
      </c>
      <c r="E117" s="42">
        <f>(INT($E$25*1/$D117)-INT($E$25*(1-1)/$D117))*$C117</f>
        <v>3.5</v>
      </c>
      <c r="F117" s="42">
        <f>(INT($E$25*2/$D117)-INT($E$25*(2-1)/$D117))*$C117</f>
        <v>7.0</v>
      </c>
      <c r="G117" s="42">
        <f>(INT($E$25*3/$D117)-INT($E$25*(3-1)/$D117))*$C117</f>
        <v>7.0</v>
      </c>
      <c r="H117" s="42">
        <f>(INT($E$25*4/$D117)-INT($E$25*(4-1)/$D117))*$C117</f>
        <v>7.0</v>
      </c>
      <c r="I117" s="42">
        <f>(INT($E$25*5/$D117)-INT($E$25*(5-1)/$D117))*$C117</f>
        <v>3.5</v>
      </c>
      <c r="J117" s="42">
        <f>(INT($E$25*6/$D117)-INT($E$25*(6-1)/$D117))*$C117</f>
        <v>7.0</v>
      </c>
      <c r="K117" s="42">
        <f>(INT($E$25*7/$D117)-INT($E$25*(7-1)/$D117))*$C117</f>
        <v>7.0</v>
      </c>
      <c r="L117" s="42">
        <f>(INT($E$25*8/$D117)-INT($E$25*(8-1)/$D117))*$C117</f>
        <v>7.0</v>
      </c>
      <c r="M117" s="42">
        <f>(INT($E$25*9/$D117)-INT($E$25*(9-1)/$D117))*$C117</f>
        <v>3.5</v>
      </c>
      <c r="N117" s="42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44" t="n">
        <v>4</v>
      </c>
      <c r="D118" s="43" t="n">
        <v>5000</v>
      </c>
      <c r="E118" s="42">
        <f>(INT($E$25*1/$D118)-INT($E$25*(1-1)/$D118))*$C118</f>
        <v>4.0</v>
      </c>
      <c r="F118" s="42">
        <f>(INT($E$25*2/$D118)-INT($E$25*(2-1)/$D118))*$C118</f>
        <v>4.0</v>
      </c>
      <c r="G118" s="42">
        <f>(INT($E$25*3/$D118)-INT($E$25*(3-1)/$D118))*$C118</f>
        <v>8.0</v>
      </c>
      <c r="H118" s="42">
        <f>(INT($E$25*4/$D118)-INT($E$25*(4-1)/$D118))*$C118</f>
        <v>4.0</v>
      </c>
      <c r="I118" s="42">
        <f>(INT($E$25*5/$D118)-INT($E$25*(5-1)/$D118))*$C118</f>
        <v>8.0</v>
      </c>
      <c r="J118" s="42">
        <f>(INT($E$25*6/$D118)-INT($E$25*(6-1)/$D118))*$C118</f>
        <v>4.0</v>
      </c>
      <c r="K118" s="42">
        <f>(INT($E$25*7/$D118)-INT($E$25*(7-1)/$D118))*$C118</f>
        <v>4.0</v>
      </c>
      <c r="L118" s="42">
        <f>(INT($E$25*8/$D118)-INT($E$25*(8-1)/$D118))*$C118</f>
        <v>8.0</v>
      </c>
      <c r="M118" s="42">
        <f>(INT($E$25*9/$D118)-INT($E$25*(9-1)/$D118))*$C118</f>
        <v>4.0</v>
      </c>
      <c r="N118" s="42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44" t="n">
        <v>0.9</v>
      </c>
      <c r="D119" s="43" t="n">
        <v>4000</v>
      </c>
      <c r="E119" s="42">
        <f>(INT($E$25*1/$D119)-INT($E$25*(1-1)/$D119))*$C119</f>
        <v>0.9</v>
      </c>
      <c r="F119" s="42">
        <f>(INT($E$25*2/$D119)-INT($E$25*(2-1)/$D119))*$C119</f>
        <v>1.8</v>
      </c>
      <c r="G119" s="42">
        <f>(INT($E$25*3/$D119)-INT($E$25*(3-1)/$D119))*$C119</f>
        <v>1.8</v>
      </c>
      <c r="H119" s="42">
        <f>(INT($E$25*4/$D119)-INT($E$25*(4-1)/$D119))*$C119</f>
        <v>1.8</v>
      </c>
      <c r="I119" s="42">
        <f>(INT($E$25*5/$D119)-INT($E$25*(5-1)/$D119))*$C119</f>
        <v>0.9</v>
      </c>
      <c r="J119" s="42">
        <f>(INT($E$25*6/$D119)-INT($E$25*(6-1)/$D119))*$C119</f>
        <v>1.8</v>
      </c>
      <c r="K119" s="42">
        <f>(INT($E$25*7/$D119)-INT($E$25*(7-1)/$D119))*$C119</f>
        <v>1.8</v>
      </c>
      <c r="L119" s="42">
        <f>(INT($E$25*8/$D119)-INT($E$25*(8-1)/$D119))*$C119</f>
        <v>1.8</v>
      </c>
      <c r="M119" s="42">
        <f>(INT($E$25*9/$D119)-INT($E$25*(9-1)/$D119))*$C119</f>
        <v>0.9</v>
      </c>
      <c r="N119" s="42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44" t="n">
        <v>2</v>
      </c>
      <c r="D120" s="43" t="n">
        <v>12000</v>
      </c>
      <c r="E120" s="42">
        <f>(INT($E$25*1/$D120)-INT($E$25*(1-1)/$D120))*$C120</f>
        <v>0.0</v>
      </c>
      <c r="F120" s="42">
        <f>(INT($E$25*2/$D120)-INT($E$25*(2-1)/$D120))*$C120</f>
        <v>2.0</v>
      </c>
      <c r="G120" s="42">
        <f>(INT($E$25*3/$D120)-INT($E$25*(3-1)/$D120))*$C120</f>
        <v>0.0</v>
      </c>
      <c r="H120" s="42">
        <f>(INT($E$25*4/$D120)-INT($E$25*(4-1)/$D120))*$C120</f>
        <v>2.0</v>
      </c>
      <c r="I120" s="42">
        <f>(INT($E$25*5/$D120)-INT($E$25*(5-1)/$D120))*$C120</f>
        <v>0.0</v>
      </c>
      <c r="J120" s="42">
        <f>(INT($E$25*6/$D120)-INT($E$25*(6-1)/$D120))*$C120</f>
        <v>2.0</v>
      </c>
      <c r="K120" s="42">
        <f>(INT($E$25*7/$D120)-INT($E$25*(7-1)/$D120))*$C120</f>
        <v>2.0</v>
      </c>
      <c r="L120" s="42">
        <f>(INT($E$25*8/$D120)-INT($E$25*(8-1)/$D120))*$C120</f>
        <v>0.0</v>
      </c>
      <c r="M120" s="42">
        <f>(INT($E$25*9/$D120)-INT($E$25*(9-1)/$D120))*$C120</f>
        <v>2.0</v>
      </c>
      <c r="N120" s="42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44" t="n">
        <v>2</v>
      </c>
      <c r="D121" s="43" t="n">
        <v>7000</v>
      </c>
      <c r="E121" s="42">
        <f>(INT($E$25*1/$D121)-INT($E$25*(1-1)/$D121))*$C121</f>
        <v>2.0</v>
      </c>
      <c r="F121" s="42">
        <f>(INT($E$25*2/$D121)-INT($E$25*(2-1)/$D121))*$C121</f>
        <v>2.0</v>
      </c>
      <c r="G121" s="42">
        <f>(INT($E$25*3/$D121)-INT($E$25*(3-1)/$D121))*$C121</f>
        <v>2.0</v>
      </c>
      <c r="H121" s="42">
        <f>(INT($E$25*4/$D121)-INT($E$25*(4-1)/$D121))*$C121</f>
        <v>2.0</v>
      </c>
      <c r="I121" s="42">
        <f>(INT($E$25*5/$D121)-INT($E$25*(5-1)/$D121))*$C121</f>
        <v>2.0</v>
      </c>
      <c r="J121" s="42">
        <f>(INT($E$25*6/$D121)-INT($E$25*(6-1)/$D121))*$C121</f>
        <v>2.0</v>
      </c>
      <c r="K121" s="42">
        <f>(INT($E$25*7/$D121)-INT($E$25*(7-1)/$D121))*$C121</f>
        <v>2.0</v>
      </c>
      <c r="L121" s="42">
        <f>(INT($E$25*8/$D121)-INT($E$25*(8-1)/$D121))*$C121</f>
        <v>2.0</v>
      </c>
      <c r="M121" s="42">
        <f>(INT($E$25*9/$D121)-INT($E$25*(9-1)/$D121))*$C121</f>
        <v>2.0</v>
      </c>
      <c r="N121" s="42">
        <f>(INT($E$25*10/$D121)-INT($E$25*(10-1)/$D121))*$C121</f>
        <v>2.0</v>
      </c>
    </row>
    <row r="122">
      <c r="B122" s="22" t="inlineStr">
        <is>
          <t>Чистка радиаторов</t>
        </is>
      </c>
      <c r="C122" s="44" t="n">
        <v>3</v>
      </c>
      <c r="D122" s="43" t="n">
        <v>7000</v>
      </c>
      <c r="E122" s="42">
        <f>(INT($E$25*1/$D122)-INT($E$25*(1-1)/$D122))*$C122</f>
        <v>3.0</v>
      </c>
      <c r="F122" s="42">
        <f>(INT($E$25*2/$D122)-INT($E$25*(2-1)/$D122))*$C122</f>
        <v>3.0</v>
      </c>
      <c r="G122" s="42">
        <f>(INT($E$25*3/$D122)-INT($E$25*(3-1)/$D122))*$C122</f>
        <v>3.0</v>
      </c>
      <c r="H122" s="42">
        <f>(INT($E$25*4/$D122)-INT($E$25*(4-1)/$D122))*$C122</f>
        <v>3.0</v>
      </c>
      <c r="I122" s="42">
        <f>(INT($E$25*5/$D122)-INT($E$25*(5-1)/$D122))*$C122</f>
        <v>3.0</v>
      </c>
      <c r="J122" s="42">
        <f>(INT($E$25*6/$D122)-INT($E$25*(6-1)/$D122))*$C122</f>
        <v>3.0</v>
      </c>
      <c r="K122" s="42">
        <f>(INT($E$25*7/$D122)-INT($E$25*(7-1)/$D122))*$C122</f>
        <v>3.0</v>
      </c>
      <c r="L122" s="42">
        <f>(INT($E$25*8/$D122)-INT($E$25*(8-1)/$D122))*$C122</f>
        <v>3.0</v>
      </c>
      <c r="M122" s="42">
        <f>(INT($E$25*9/$D122)-INT($E$25*(9-1)/$D122))*$C122</f>
        <v>3.0</v>
      </c>
      <c r="N122" s="42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44" t="n">
        <v>50</v>
      </c>
      <c r="D123" s="43" t="n">
        <v>36000</v>
      </c>
      <c r="E123" s="42">
        <f>(INT($E$25*1/$D123)-INT($E$25*(1-1)/$D123))*$C123</f>
        <v>0.0</v>
      </c>
      <c r="F123" s="42">
        <f>(INT($E$25*2/$D123)-INT($E$25*(2-1)/$D123))*$C123</f>
        <v>0.0</v>
      </c>
      <c r="G123" s="42">
        <f>(INT($E$25*3/$D123)-INT($E$25*(3-1)/$D123))*$C123</f>
        <v>0.0</v>
      </c>
      <c r="H123" s="42">
        <f>(INT($E$25*4/$D123)-INT($E$25*(4-1)/$D123))*$C123</f>
        <v>0.0</v>
      </c>
      <c r="I123" s="42">
        <f>(INT($E$25*5/$D123)-INT($E$25*(5-1)/$D123))*$C123</f>
        <v>0.0</v>
      </c>
      <c r="J123" s="42">
        <f>(INT($E$25*6/$D123)-INT($E$25*(6-1)/$D123))*$C123</f>
        <v>50.0</v>
      </c>
      <c r="K123" s="42">
        <f>(INT($E$25*7/$D123)-INT($E$25*(7-1)/$D123))*$C123</f>
        <v>0.0</v>
      </c>
      <c r="L123" s="42">
        <f>(INT($E$25*8/$D123)-INT($E$25*(8-1)/$D123))*$C123</f>
        <v>0.0</v>
      </c>
      <c r="M123" s="42">
        <f>(INT($E$25*9/$D123)-INT($E$25*(9-1)/$D123))*$C123</f>
        <v>0.0</v>
      </c>
      <c r="N123" s="42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44" t="n">
        <v>185</v>
      </c>
      <c r="D124" s="43" t="n">
        <v>65000</v>
      </c>
      <c r="E124" s="42">
        <f>(INT($E$25*1/$D124)-INT($E$25*(1-1)/$D124))*$C124</f>
        <v>0.0</v>
      </c>
      <c r="F124" s="42">
        <f>(INT($E$25*2/$D124)-INT($E$25*(2-1)/$D124))*$C124</f>
        <v>0.0</v>
      </c>
      <c r="G124" s="42">
        <f>(INT($E$25*3/$D124)-INT($E$25*(3-1)/$D124))*$C124</f>
        <v>0.0</v>
      </c>
      <c r="H124" s="42">
        <f>(INT($E$25*4/$D124)-INT($E$25*(4-1)/$D124))*$C124</f>
        <v>0.0</v>
      </c>
      <c r="I124" s="42">
        <f>(INT($E$25*5/$D124)-INT($E$25*(5-1)/$D124))*$C124</f>
        <v>0.0</v>
      </c>
      <c r="J124" s="42">
        <f>(INT($E$25*6/$D124)-INT($E$25*(6-1)/$D124))*$C124</f>
        <v>0.0</v>
      </c>
      <c r="K124" s="42">
        <f>(INT($E$25*7/$D124)-INT($E$25*(7-1)/$D124))*$C124</f>
        <v>0.0</v>
      </c>
      <c r="L124" s="42">
        <f>(INT($E$25*8/$D124)-INT($E$25*(8-1)/$D124))*$C124</f>
        <v>0.0</v>
      </c>
      <c r="M124" s="42">
        <f>(INT($E$25*9/$D124)-INT($E$25*(9-1)/$D124))*$C124</f>
        <v>0.0</v>
      </c>
      <c r="N124" s="42">
        <f>(INT($E$25*10/$D124)-INT($E$25*(10-1)/$D124))*$C124</f>
        <v>185.0</v>
      </c>
    </row>
    <row r="125">
      <c r="B125" s="45" t="inlineStr">
        <is>
          <t>ИТОГО</t>
        </is>
      </c>
      <c r="E125" s="42">
        <f>SUM(E109:E124)</f>
        <v>48.4</v>
      </c>
      <c r="F125" s="42">
        <f>SUM(F109:F124)</f>
        <v>174.3</v>
      </c>
      <c r="G125" s="42">
        <f>SUM(G109:G124)</f>
        <v>228.3</v>
      </c>
      <c r="H125" s="42">
        <f>SUM(H109:H124)</f>
        <v>174.3</v>
      </c>
      <c r="I125" s="42">
        <f>SUM(I109:I124)</f>
        <v>220.4</v>
      </c>
      <c r="J125" s="42">
        <f>SUM(J109:J124)</f>
        <v>255.8</v>
      </c>
      <c r="K125" s="42">
        <f>SUM(K109:K124)</f>
        <v>226.3</v>
      </c>
      <c r="L125" s="42">
        <f>SUM(L109:L124)</f>
        <v>176.3</v>
      </c>
      <c r="M125" s="42">
        <f>SUM(M109:M124)</f>
        <v>214.4</v>
      </c>
      <c r="N125" s="42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44" t="n">
        <v>37124</v>
      </c>
      <c r="D129" s="43" t="n">
        <v>12000</v>
      </c>
      <c r="E129" s="42">
        <f>(INT($E$25*1/$D129)-INT($E$25*(1-1)/$D129))*$C129/1000</f>
        <v>0.0</v>
      </c>
      <c r="F129" s="42">
        <f>(INT($E$25*2/$D129)-INT($E$25*(2-1)/$D129))*$C129/1000</f>
        <v>37.124</v>
      </c>
      <c r="G129" s="42">
        <f>(INT($E$25*3/$D129)-INT($E$25*(3-1)/$D129))*$C129/1000</f>
        <v>0.0</v>
      </c>
      <c r="H129" s="42">
        <f>(INT($E$25*4/$D129)-INT($E$25*(4-1)/$D129))*$C129/1000</f>
        <v>37.124</v>
      </c>
      <c r="I129" s="42">
        <f>(INT($E$25*5/$D129)-INT($E$25*(5-1)/$D129))*$C129/1000</f>
        <v>0.0</v>
      </c>
      <c r="J129" s="42">
        <f>(INT($E$25*6/$D129)-INT($E$25*(6-1)/$D129))*$C129/1000</f>
        <v>37.124</v>
      </c>
      <c r="K129" s="42">
        <f>(INT($E$25*7/$D129)-INT($E$25*(7-1)/$D129))*$C129/1000</f>
        <v>37.124</v>
      </c>
      <c r="L129" s="42">
        <f>(INT($E$25*8/$D129)-INT($E$25*(8-1)/$D129))*$C129/1000</f>
        <v>0.0</v>
      </c>
      <c r="M129" s="42">
        <f>(INT($E$25*9/$D129)-INT($E$25*(9-1)/$D129))*$C129/1000</f>
        <v>37.124</v>
      </c>
      <c r="N129" s="42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44" t="n">
        <v>1226.17</v>
      </c>
      <c r="D130" s="43" t="n">
        <v>11000</v>
      </c>
      <c r="E130" s="42">
        <f>(INT($E$25*1/$D130)-INT($E$25*(1-1)/$D130))*$C130/1000</f>
        <v>0.0</v>
      </c>
      <c r="F130" s="42">
        <f>(INT($E$25*2/$D130)-INT($E$25*(2-1)/$D130))*$C130/1000</f>
        <v>1.22617</v>
      </c>
      <c r="G130" s="42">
        <f>(INT($E$25*3/$D130)-INT($E$25*(3-1)/$D130))*$C130/1000</f>
        <v>0.0</v>
      </c>
      <c r="H130" s="42">
        <f>(INT($E$25*4/$D130)-INT($E$25*(4-1)/$D130))*$C130/1000</f>
        <v>1.22617</v>
      </c>
      <c r="I130" s="42">
        <f>(INT($E$25*5/$D130)-INT($E$25*(5-1)/$D130))*$C130/1000</f>
        <v>1.22617</v>
      </c>
      <c r="J130" s="42">
        <f>(INT($E$25*6/$D130)-INT($E$25*(6-1)/$D130))*$C130/1000</f>
        <v>0.0</v>
      </c>
      <c r="K130" s="42">
        <f>(INT($E$25*7/$D130)-INT($E$25*(7-1)/$D130))*$C130/1000</f>
        <v>1.22617</v>
      </c>
      <c r="L130" s="42">
        <f>(INT($E$25*8/$D130)-INT($E$25*(8-1)/$D130))*$C130/1000</f>
        <v>1.22617</v>
      </c>
      <c r="M130" s="42">
        <f>(INT($E$25*9/$D130)-INT($E$25*(9-1)/$D130))*$C130/1000</f>
        <v>0.0</v>
      </c>
      <c r="N130" s="42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44" t="n">
        <v>18096.84</v>
      </c>
      <c r="D131" s="43" t="n">
        <v>12000</v>
      </c>
      <c r="E131" s="42">
        <f>(INT($E$25*1/$D131)-INT($E$25*(1-1)/$D131))*$C131/1000</f>
        <v>0.0</v>
      </c>
      <c r="F131" s="42">
        <f>(INT($E$25*2/$D131)-INT($E$25*(2-1)/$D131))*$C131/1000</f>
        <v>18.09684</v>
      </c>
      <c r="G131" s="42">
        <f>(INT($E$25*3/$D131)-INT($E$25*(3-1)/$D131))*$C131/1000</f>
        <v>0.0</v>
      </c>
      <c r="H131" s="42">
        <f>(INT($E$25*4/$D131)-INT($E$25*(4-1)/$D131))*$C131/1000</f>
        <v>18.09684</v>
      </c>
      <c r="I131" s="42">
        <f>(INT($E$25*5/$D131)-INT($E$25*(5-1)/$D131))*$C131/1000</f>
        <v>0.0</v>
      </c>
      <c r="J131" s="42">
        <f>(INT($E$25*6/$D131)-INT($E$25*(6-1)/$D131))*$C131/1000</f>
        <v>18.09684</v>
      </c>
      <c r="K131" s="42">
        <f>(INT($E$25*7/$D131)-INT($E$25*(7-1)/$D131))*$C131/1000</f>
        <v>18.09684</v>
      </c>
      <c r="L131" s="42">
        <f>(INT($E$25*8/$D131)-INT($E$25*(8-1)/$D131))*$C131/1000</f>
        <v>0.0</v>
      </c>
      <c r="M131" s="42">
        <f>(INT($E$25*9/$D131)-INT($E$25*(9-1)/$D131))*$C131/1000</f>
        <v>18.09684</v>
      </c>
      <c r="N131" s="42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44" t="n">
        <v>6929.74</v>
      </c>
      <c r="D132" s="43" t="n">
        <v>8000</v>
      </c>
      <c r="E132" s="42">
        <f>(INT($E$25*1/$D132)-INT($E$25*(1-1)/$D132))*$C132/1000</f>
        <v>0.0</v>
      </c>
      <c r="F132" s="42">
        <f>(INT($E$25*2/$D132)-INT($E$25*(2-1)/$D132))*$C132/1000</f>
        <v>6.92974</v>
      </c>
      <c r="G132" s="42">
        <f>(INT($E$25*3/$D132)-INT($E$25*(3-1)/$D132))*$C132/1000</f>
        <v>6.92974</v>
      </c>
      <c r="H132" s="42">
        <f>(INT($E$25*4/$D132)-INT($E$25*(4-1)/$D132))*$C132/1000</f>
        <v>6.92974</v>
      </c>
      <c r="I132" s="42">
        <f>(INT($E$25*5/$D132)-INT($E$25*(5-1)/$D132))*$C132/1000</f>
        <v>6.92974</v>
      </c>
      <c r="J132" s="42">
        <f>(INT($E$25*6/$D132)-INT($E$25*(6-1)/$D132))*$C132/1000</f>
        <v>6.92974</v>
      </c>
      <c r="K132" s="42">
        <f>(INT($E$25*7/$D132)-INT($E$25*(7-1)/$D132))*$C132/1000</f>
        <v>6.92974</v>
      </c>
      <c r="L132" s="42">
        <f>(INT($E$25*8/$D132)-INT($E$25*(8-1)/$D132))*$C132/1000</f>
        <v>6.92974</v>
      </c>
      <c r="M132" s="42">
        <f>(INT($E$25*9/$D132)-INT($E$25*(9-1)/$D132))*$C132/1000</f>
        <v>0.0</v>
      </c>
      <c r="N132" s="42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44" t="n">
        <v>19766.43</v>
      </c>
      <c r="D133" s="43" t="n">
        <v>25000</v>
      </c>
      <c r="E133" s="42">
        <f>(INT($E$25*1/$D133)-INT($E$25*(1-1)/$D133))*$C133/1000</f>
        <v>0.0</v>
      </c>
      <c r="F133" s="42">
        <f>(INT($E$25*2/$D133)-INT($E$25*(2-1)/$D133))*$C133/1000</f>
        <v>0.0</v>
      </c>
      <c r="G133" s="42">
        <f>(INT($E$25*3/$D133)-INT($E$25*(3-1)/$D133))*$C133/1000</f>
        <v>0.0</v>
      </c>
      <c r="H133" s="42">
        <f>(INT($E$25*4/$D133)-INT($E$25*(4-1)/$D133))*$C133/1000</f>
        <v>19.76643</v>
      </c>
      <c r="I133" s="42">
        <f>(INT($E$25*5/$D133)-INT($E$25*(5-1)/$D133))*$C133/1000</f>
        <v>0.0</v>
      </c>
      <c r="J133" s="42">
        <f>(INT($E$25*6/$D133)-INT($E$25*(6-1)/$D133))*$C133/1000</f>
        <v>0.0</v>
      </c>
      <c r="K133" s="42">
        <f>(INT($E$25*7/$D133)-INT($E$25*(7-1)/$D133))*$C133/1000</f>
        <v>0.0</v>
      </c>
      <c r="L133" s="42">
        <f>(INT($E$25*8/$D133)-INT($E$25*(8-1)/$D133))*$C133/1000</f>
        <v>19.76643</v>
      </c>
      <c r="M133" s="42">
        <f>(INT($E$25*9/$D133)-INT($E$25*(9-1)/$D133))*$C133/1000</f>
        <v>0.0</v>
      </c>
      <c r="N133" s="42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44" t="n">
        <v>556.4400000000001</v>
      </c>
      <c r="D134" s="43" t="n">
        <v>22000</v>
      </c>
      <c r="E134" s="42">
        <f>(INT($E$25*1/$D134)-INT($E$25*(1-1)/$D134))*$C134/1000</f>
        <v>0.0</v>
      </c>
      <c r="F134" s="42">
        <f>(INT($E$25*2/$D134)-INT($E$25*(2-1)/$D134))*$C134/1000</f>
        <v>0.0</v>
      </c>
      <c r="G134" s="42">
        <f>(INT($E$25*3/$D134)-INT($E$25*(3-1)/$D134))*$C134/1000</f>
        <v>0.0</v>
      </c>
      <c r="H134" s="42">
        <f>(INT($E$25*4/$D134)-INT($E$25*(4-1)/$D134))*$C134/1000</f>
        <v>0.55644</v>
      </c>
      <c r="I134" s="42">
        <f>(INT($E$25*5/$D134)-INT($E$25*(5-1)/$D134))*$C134/1000</f>
        <v>0.0</v>
      </c>
      <c r="J134" s="42">
        <f>(INT($E$25*6/$D134)-INT($E$25*(6-1)/$D134))*$C134/1000</f>
        <v>0.0</v>
      </c>
      <c r="K134" s="42">
        <f>(INT($E$25*7/$D134)-INT($E$25*(7-1)/$D134))*$C134/1000</f>
        <v>0.55644</v>
      </c>
      <c r="L134" s="42">
        <f>(INT($E$25*8/$D134)-INT($E$25*(8-1)/$D134))*$C134/1000</f>
        <v>0.0</v>
      </c>
      <c r="M134" s="42">
        <f>(INT($E$25*9/$D134)-INT($E$25*(9-1)/$D134))*$C134/1000</f>
        <v>0.0</v>
      </c>
      <c r="N134" s="42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44" t="n">
        <v>12656.36</v>
      </c>
      <c r="D135" s="43" t="n">
        <v>15000</v>
      </c>
      <c r="E135" s="42">
        <f>(INT($E$25*1/$D135)-INT($E$25*(1-1)/$D135))*$C135/1000</f>
        <v>0.0</v>
      </c>
      <c r="F135" s="42">
        <f>(INT($E$25*2/$D135)-INT($E$25*(2-1)/$D135))*$C135/1000</f>
        <v>0.0</v>
      </c>
      <c r="G135" s="42">
        <f>(INT($E$25*3/$D135)-INT($E$25*(3-1)/$D135))*$C135/1000</f>
        <v>12.656360000000001</v>
      </c>
      <c r="H135" s="42">
        <f>(INT($E$25*4/$D135)-INT($E$25*(4-1)/$D135))*$C135/1000</f>
        <v>0.0</v>
      </c>
      <c r="I135" s="42">
        <f>(INT($E$25*5/$D135)-INT($E$25*(5-1)/$D135))*$C135/1000</f>
        <v>12.656360000000001</v>
      </c>
      <c r="J135" s="42">
        <f>(INT($E$25*6/$D135)-INT($E$25*(6-1)/$D135))*$C135/1000</f>
        <v>0.0</v>
      </c>
      <c r="K135" s="42">
        <f>(INT($E$25*7/$D135)-INT($E$25*(7-1)/$D135))*$C135/1000</f>
        <v>12.656360000000001</v>
      </c>
      <c r="L135" s="42">
        <f>(INT($E$25*8/$D135)-INT($E$25*(8-1)/$D135))*$C135/1000</f>
        <v>0.0</v>
      </c>
      <c r="M135" s="42">
        <f>(INT($E$25*9/$D135)-INT($E$25*(9-1)/$D135))*$C135/1000</f>
        <v>12.656360000000001</v>
      </c>
      <c r="N135" s="42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44" t="n">
        <v>14284.3</v>
      </c>
      <c r="D136" s="43" t="n">
        <v>12500</v>
      </c>
      <c r="E136" s="42">
        <f>(INT($E$25*1/$D136)-INT($E$25*(1-1)/$D136))*$C136/1000</f>
        <v>0.0</v>
      </c>
      <c r="F136" s="42">
        <f>(INT($E$25*2/$D136)-INT($E$25*(2-1)/$D136))*$C136/1000</f>
        <v>14.2843</v>
      </c>
      <c r="G136" s="42">
        <f>(INT($E$25*3/$D136)-INT($E$25*(3-1)/$D136))*$C136/1000</f>
        <v>0.0</v>
      </c>
      <c r="H136" s="42">
        <f>(INT($E$25*4/$D136)-INT($E$25*(4-1)/$D136))*$C136/1000</f>
        <v>14.2843</v>
      </c>
      <c r="I136" s="42">
        <f>(INT($E$25*5/$D136)-INT($E$25*(5-1)/$D136))*$C136/1000</f>
        <v>0.0</v>
      </c>
      <c r="J136" s="42">
        <f>(INT($E$25*6/$D136)-INT($E$25*(6-1)/$D136))*$C136/1000</f>
        <v>14.2843</v>
      </c>
      <c r="K136" s="42">
        <f>(INT($E$25*7/$D136)-INT($E$25*(7-1)/$D136))*$C136/1000</f>
        <v>0.0</v>
      </c>
      <c r="L136" s="42">
        <f>(INT($E$25*8/$D136)-INT($E$25*(8-1)/$D136))*$C136/1000</f>
        <v>14.2843</v>
      </c>
      <c r="M136" s="42">
        <f>(INT($E$25*9/$D136)-INT($E$25*(9-1)/$D136))*$C136/1000</f>
        <v>14.2843</v>
      </c>
      <c r="N136" s="42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44" t="n">
        <v>1440.96</v>
      </c>
      <c r="D137" s="43" t="n">
        <v>18000</v>
      </c>
      <c r="E137" s="42">
        <f>(INT($E$25*1/$D137)-INT($E$25*(1-1)/$D137))*$C137/1000</f>
        <v>0.0</v>
      </c>
      <c r="F137" s="42">
        <f>(INT($E$25*2/$D137)-INT($E$25*(2-1)/$D137))*$C137/1000</f>
        <v>0.0</v>
      </c>
      <c r="G137" s="42">
        <f>(INT($E$25*3/$D137)-INT($E$25*(3-1)/$D137))*$C137/1000</f>
        <v>1.44096</v>
      </c>
      <c r="H137" s="42">
        <f>(INT($E$25*4/$D137)-INT($E$25*(4-1)/$D137))*$C137/1000</f>
        <v>0.0</v>
      </c>
      <c r="I137" s="42">
        <f>(INT($E$25*5/$D137)-INT($E$25*(5-1)/$D137))*$C137/1000</f>
        <v>0.0</v>
      </c>
      <c r="J137" s="42">
        <f>(INT($E$25*6/$D137)-INT($E$25*(6-1)/$D137))*$C137/1000</f>
        <v>1.44096</v>
      </c>
      <c r="K137" s="42">
        <f>(INT($E$25*7/$D137)-INT($E$25*(7-1)/$D137))*$C137/1000</f>
        <v>0.0</v>
      </c>
      <c r="L137" s="42">
        <f>(INT($E$25*8/$D137)-INT($E$25*(8-1)/$D137))*$C137/1000</f>
        <v>1.44096</v>
      </c>
      <c r="M137" s="42">
        <f>(INT($E$25*9/$D137)-INT($E$25*(9-1)/$D137))*$C137/1000</f>
        <v>0.0</v>
      </c>
      <c r="N137" s="42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44" t="n">
        <v>11889.72</v>
      </c>
      <c r="D138" s="43" t="n">
        <v>25000</v>
      </c>
      <c r="E138" s="42">
        <f>(INT($E$25*1/$D138)-INT($E$25*(1-1)/$D138))*$C138/1000</f>
        <v>0.0</v>
      </c>
      <c r="F138" s="42">
        <f>(INT($E$25*2/$D138)-INT($E$25*(2-1)/$D138))*$C138/1000</f>
        <v>0.0</v>
      </c>
      <c r="G138" s="42">
        <f>(INT($E$25*3/$D138)-INT($E$25*(3-1)/$D138))*$C138/1000</f>
        <v>0.0</v>
      </c>
      <c r="H138" s="42">
        <f>(INT($E$25*4/$D138)-INT($E$25*(4-1)/$D138))*$C138/1000</f>
        <v>11.889719999999999</v>
      </c>
      <c r="I138" s="42">
        <f>(INT($E$25*5/$D138)-INT($E$25*(5-1)/$D138))*$C138/1000</f>
        <v>0.0</v>
      </c>
      <c r="J138" s="42">
        <f>(INT($E$25*6/$D138)-INT($E$25*(6-1)/$D138))*$C138/1000</f>
        <v>0.0</v>
      </c>
      <c r="K138" s="42">
        <f>(INT($E$25*7/$D138)-INT($E$25*(7-1)/$D138))*$C138/1000</f>
        <v>0.0</v>
      </c>
      <c r="L138" s="42">
        <f>(INT($E$25*8/$D138)-INT($E$25*(8-1)/$D138))*$C138/1000</f>
        <v>11.889719999999999</v>
      </c>
      <c r="M138" s="42">
        <f>(INT($E$25*9/$D138)-INT($E$25*(9-1)/$D138))*$C138/1000</f>
        <v>0.0</v>
      </c>
      <c r="N138" s="42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44" t="n">
        <v>8918.02</v>
      </c>
      <c r="D139" s="43" t="n">
        <v>15100</v>
      </c>
      <c r="E139" s="42">
        <f>(INT($E$25*1/$D139)-INT($E$25*(1-1)/$D139))*$C139/1000</f>
        <v>0.0</v>
      </c>
      <c r="F139" s="42">
        <f>(INT($E$25*2/$D139)-INT($E$25*(2-1)/$D139))*$C139/1000</f>
        <v>0.0</v>
      </c>
      <c r="G139" s="42">
        <f>(INT($E$25*3/$D139)-INT($E$25*(3-1)/$D139))*$C139/1000</f>
        <v>8.91802</v>
      </c>
      <c r="H139" s="42">
        <f>(INT($E$25*4/$D139)-INT($E$25*(4-1)/$D139))*$C139/1000</f>
        <v>0.0</v>
      </c>
      <c r="I139" s="42">
        <f>(INT($E$25*5/$D139)-INT($E$25*(5-1)/$D139))*$C139/1000</f>
        <v>8.91802</v>
      </c>
      <c r="J139" s="42">
        <f>(INT($E$25*6/$D139)-INT($E$25*(6-1)/$D139))*$C139/1000</f>
        <v>0.0</v>
      </c>
      <c r="K139" s="42">
        <f>(INT($E$25*7/$D139)-INT($E$25*(7-1)/$D139))*$C139/1000</f>
        <v>8.91802</v>
      </c>
      <c r="L139" s="42">
        <f>(INT($E$25*8/$D139)-INT($E$25*(8-1)/$D139))*$C139/1000</f>
        <v>0.0</v>
      </c>
      <c r="M139" s="42">
        <f>(INT($E$25*9/$D139)-INT($E$25*(9-1)/$D139))*$C139/1000</f>
        <v>8.91802</v>
      </c>
      <c r="N139" s="42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44" t="n">
        <v>15102.84</v>
      </c>
      <c r="D140" s="43" t="n">
        <v>15100</v>
      </c>
      <c r="E140" s="42">
        <f>(INT($E$25*1/$D140)-INT($E$25*(1-1)/$D140))*$C140/1000</f>
        <v>0.0</v>
      </c>
      <c r="F140" s="42">
        <f>(INT($E$25*2/$D140)-INT($E$25*(2-1)/$D140))*$C140/1000</f>
        <v>0.0</v>
      </c>
      <c r="G140" s="42">
        <f>(INT($E$25*3/$D140)-INT($E$25*(3-1)/$D140))*$C140/1000</f>
        <v>15.10284</v>
      </c>
      <c r="H140" s="42">
        <f>(INT($E$25*4/$D140)-INT($E$25*(4-1)/$D140))*$C140/1000</f>
        <v>0.0</v>
      </c>
      <c r="I140" s="42">
        <f>(INT($E$25*5/$D140)-INT($E$25*(5-1)/$D140))*$C140/1000</f>
        <v>15.10284</v>
      </c>
      <c r="J140" s="42">
        <f>(INT($E$25*6/$D140)-INT($E$25*(6-1)/$D140))*$C140/1000</f>
        <v>0.0</v>
      </c>
      <c r="K140" s="42">
        <f>(INT($E$25*7/$D140)-INT($E$25*(7-1)/$D140))*$C140/1000</f>
        <v>15.10284</v>
      </c>
      <c r="L140" s="42">
        <f>(INT($E$25*8/$D140)-INT($E$25*(8-1)/$D140))*$C140/1000</f>
        <v>0.0</v>
      </c>
      <c r="M140" s="42">
        <f>(INT($E$25*9/$D140)-INT($E$25*(9-1)/$D140))*$C140/1000</f>
        <v>15.10284</v>
      </c>
      <c r="N140" s="42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44" t="n">
        <v>10422.27</v>
      </c>
      <c r="D141" s="43" t="n">
        <v>10100</v>
      </c>
      <c r="E141" s="42">
        <f>(INT($E$25*1/$D141)-INT($E$25*(1-1)/$D141))*$C141/1000</f>
        <v>0.0</v>
      </c>
      <c r="F141" s="42">
        <f>(INT($E$25*2/$D141)-INT($E$25*(2-1)/$D141))*$C141/1000</f>
        <v>10.422270000000001</v>
      </c>
      <c r="G141" s="42">
        <f>(INT($E$25*3/$D141)-INT($E$25*(3-1)/$D141))*$C141/1000</f>
        <v>10.422270000000001</v>
      </c>
      <c r="H141" s="42">
        <f>(INT($E$25*4/$D141)-INT($E$25*(4-1)/$D141))*$C141/1000</f>
        <v>0.0</v>
      </c>
      <c r="I141" s="42">
        <f>(INT($E$25*5/$D141)-INT($E$25*(5-1)/$D141))*$C141/1000</f>
        <v>10.422270000000001</v>
      </c>
      <c r="J141" s="42">
        <f>(INT($E$25*6/$D141)-INT($E$25*(6-1)/$D141))*$C141/1000</f>
        <v>10.422270000000001</v>
      </c>
      <c r="K141" s="42">
        <f>(INT($E$25*7/$D141)-INT($E$25*(7-1)/$D141))*$C141/1000</f>
        <v>0.0</v>
      </c>
      <c r="L141" s="42">
        <f>(INT($E$25*8/$D141)-INT($E$25*(8-1)/$D141))*$C141/1000</f>
        <v>10.422270000000001</v>
      </c>
      <c r="M141" s="42">
        <f>(INT($E$25*9/$D141)-INT($E$25*(9-1)/$D141))*$C141/1000</f>
        <v>10.422270000000001</v>
      </c>
      <c r="N141" s="42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44" t="n">
        <v>32219.39</v>
      </c>
      <c r="D142" s="43" t="n">
        <v>15000</v>
      </c>
      <c r="E142" s="42">
        <f>(INT($E$25*1/$D142)-INT($E$25*(1-1)/$D142))*$C142/1000</f>
        <v>0.0</v>
      </c>
      <c r="F142" s="42">
        <f>(INT($E$25*2/$D142)-INT($E$25*(2-1)/$D142))*$C142/1000</f>
        <v>0.0</v>
      </c>
      <c r="G142" s="42">
        <f>(INT($E$25*3/$D142)-INT($E$25*(3-1)/$D142))*$C142/1000</f>
        <v>32.21939</v>
      </c>
      <c r="H142" s="42">
        <f>(INT($E$25*4/$D142)-INT($E$25*(4-1)/$D142))*$C142/1000</f>
        <v>0.0</v>
      </c>
      <c r="I142" s="42">
        <f>(INT($E$25*5/$D142)-INT($E$25*(5-1)/$D142))*$C142/1000</f>
        <v>32.21939</v>
      </c>
      <c r="J142" s="42">
        <f>(INT($E$25*6/$D142)-INT($E$25*(6-1)/$D142))*$C142/1000</f>
        <v>0.0</v>
      </c>
      <c r="K142" s="42">
        <f>(INT($E$25*7/$D142)-INT($E$25*(7-1)/$D142))*$C142/1000</f>
        <v>32.21939</v>
      </c>
      <c r="L142" s="42">
        <f>(INT($E$25*8/$D142)-INT($E$25*(8-1)/$D142))*$C142/1000</f>
        <v>0.0</v>
      </c>
      <c r="M142" s="42">
        <f>(INT($E$25*9/$D142)-INT($E$25*(9-1)/$D142))*$C142/1000</f>
        <v>32.21939</v>
      </c>
      <c r="N142" s="42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44" t="n">
        <v>1720.05</v>
      </c>
      <c r="D143" s="43" t="n">
        <v>15000</v>
      </c>
      <c r="E143" s="42">
        <f>(INT($E$25*1/$D143)-INT($E$25*(1-1)/$D143))*$C143/1000</f>
        <v>0.0</v>
      </c>
      <c r="F143" s="42">
        <f>(INT($E$25*2/$D143)-INT($E$25*(2-1)/$D143))*$C143/1000</f>
        <v>0.0</v>
      </c>
      <c r="G143" s="42">
        <f>(INT($E$25*3/$D143)-INT($E$25*(3-1)/$D143))*$C143/1000</f>
        <v>1.7200499999999999</v>
      </c>
      <c r="H143" s="42">
        <f>(INT($E$25*4/$D143)-INT($E$25*(4-1)/$D143))*$C143/1000</f>
        <v>0.0</v>
      </c>
      <c r="I143" s="42">
        <f>(INT($E$25*5/$D143)-INT($E$25*(5-1)/$D143))*$C143/1000</f>
        <v>1.7200499999999999</v>
      </c>
      <c r="J143" s="42">
        <f>(INT($E$25*6/$D143)-INT($E$25*(6-1)/$D143))*$C143/1000</f>
        <v>0.0</v>
      </c>
      <c r="K143" s="42">
        <f>(INT($E$25*7/$D143)-INT($E$25*(7-1)/$D143))*$C143/1000</f>
        <v>1.7200499999999999</v>
      </c>
      <c r="L143" s="42">
        <f>(INT($E$25*8/$D143)-INT($E$25*(8-1)/$D143))*$C143/1000</f>
        <v>0.0</v>
      </c>
      <c r="M143" s="42">
        <f>(INT($E$25*9/$D143)-INT($E$25*(9-1)/$D143))*$C143/1000</f>
        <v>1.7200499999999999</v>
      </c>
      <c r="N143" s="42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44" t="n">
        <v>2773.01</v>
      </c>
      <c r="D144" s="43" t="n">
        <v>8000</v>
      </c>
      <c r="E144" s="42">
        <f>(INT($E$25*1/$D144)-INT($E$25*(1-1)/$D144))*$C144/1000</f>
        <v>0.0</v>
      </c>
      <c r="F144" s="42">
        <f>(INT($E$25*2/$D144)-INT($E$25*(2-1)/$D144))*$C144/1000</f>
        <v>2.77301</v>
      </c>
      <c r="G144" s="42">
        <f>(INT($E$25*3/$D144)-INT($E$25*(3-1)/$D144))*$C144/1000</f>
        <v>2.77301</v>
      </c>
      <c r="H144" s="42">
        <f>(INT($E$25*4/$D144)-INT($E$25*(4-1)/$D144))*$C144/1000</f>
        <v>2.77301</v>
      </c>
      <c r="I144" s="42">
        <f>(INT($E$25*5/$D144)-INT($E$25*(5-1)/$D144))*$C144/1000</f>
        <v>2.77301</v>
      </c>
      <c r="J144" s="42">
        <f>(INT($E$25*6/$D144)-INT($E$25*(6-1)/$D144))*$C144/1000</f>
        <v>2.77301</v>
      </c>
      <c r="K144" s="42">
        <f>(INT($E$25*7/$D144)-INT($E$25*(7-1)/$D144))*$C144/1000</f>
        <v>2.77301</v>
      </c>
      <c r="L144" s="42">
        <f>(INT($E$25*8/$D144)-INT($E$25*(8-1)/$D144))*$C144/1000</f>
        <v>2.77301</v>
      </c>
      <c r="M144" s="42">
        <f>(INT($E$25*9/$D144)-INT($E$25*(9-1)/$D144))*$C144/1000</f>
        <v>0.0</v>
      </c>
      <c r="N144" s="42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44" t="n">
        <v>41350.19</v>
      </c>
      <c r="D145" s="43" t="n">
        <v>14900</v>
      </c>
      <c r="E145" s="42">
        <f>(INT($E$25*1/$D145)-INT($E$25*(1-1)/$D145))*$C145/1000</f>
        <v>0.0</v>
      </c>
      <c r="F145" s="42">
        <f>(INT($E$25*2/$D145)-INT($E$25*(2-1)/$D145))*$C145/1000</f>
        <v>0.0</v>
      </c>
      <c r="G145" s="42">
        <f>(INT($E$25*3/$D145)-INT($E$25*(3-1)/$D145))*$C145/1000</f>
        <v>41.350190000000005</v>
      </c>
      <c r="H145" s="42">
        <f>(INT($E$25*4/$D145)-INT($E$25*(4-1)/$D145))*$C145/1000</f>
        <v>0.0</v>
      </c>
      <c r="I145" s="42">
        <f>(INT($E$25*5/$D145)-INT($E$25*(5-1)/$D145))*$C145/1000</f>
        <v>41.350190000000005</v>
      </c>
      <c r="J145" s="42">
        <f>(INT($E$25*6/$D145)-INT($E$25*(6-1)/$D145))*$C145/1000</f>
        <v>0.0</v>
      </c>
      <c r="K145" s="42">
        <f>(INT($E$25*7/$D145)-INT($E$25*(7-1)/$D145))*$C145/1000</f>
        <v>41.350190000000005</v>
      </c>
      <c r="L145" s="42">
        <f>(INT($E$25*8/$D145)-INT($E$25*(8-1)/$D145))*$C145/1000</f>
        <v>0.0</v>
      </c>
      <c r="M145" s="42">
        <f>(INT($E$25*9/$D145)-INT($E$25*(9-1)/$D145))*$C145/1000</f>
        <v>41.350190000000005</v>
      </c>
      <c r="N145" s="42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44" t="n">
        <v>29233.73</v>
      </c>
      <c r="D146" s="43" t="n">
        <v>14900</v>
      </c>
      <c r="E146" s="42">
        <f>(INT($E$25*1/$D146)-INT($E$25*(1-1)/$D146))*$C146/1000</f>
        <v>0.0</v>
      </c>
      <c r="F146" s="42">
        <f>(INT($E$25*2/$D146)-INT($E$25*(2-1)/$D146))*$C146/1000</f>
        <v>0.0</v>
      </c>
      <c r="G146" s="42">
        <f>(INT($E$25*3/$D146)-INT($E$25*(3-1)/$D146))*$C146/1000</f>
        <v>29.23373</v>
      </c>
      <c r="H146" s="42">
        <f>(INT($E$25*4/$D146)-INT($E$25*(4-1)/$D146))*$C146/1000</f>
        <v>0.0</v>
      </c>
      <c r="I146" s="42">
        <f>(INT($E$25*5/$D146)-INT($E$25*(5-1)/$D146))*$C146/1000</f>
        <v>29.23373</v>
      </c>
      <c r="J146" s="42">
        <f>(INT($E$25*6/$D146)-INT($E$25*(6-1)/$D146))*$C146/1000</f>
        <v>0.0</v>
      </c>
      <c r="K146" s="42">
        <f>(INT($E$25*7/$D146)-INT($E$25*(7-1)/$D146))*$C146/1000</f>
        <v>29.23373</v>
      </c>
      <c r="L146" s="42">
        <f>(INT($E$25*8/$D146)-INT($E$25*(8-1)/$D146))*$C146/1000</f>
        <v>0.0</v>
      </c>
      <c r="M146" s="42">
        <f>(INT($E$25*9/$D146)-INT($E$25*(9-1)/$D146))*$C146/1000</f>
        <v>29.23373</v>
      </c>
      <c r="N146" s="42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44" t="n">
        <v>17877.9</v>
      </c>
      <c r="D147" s="43" t="n">
        <v>10400</v>
      </c>
      <c r="E147" s="42">
        <f>(INT($E$25*1/$D147)-INT($E$25*(1-1)/$D147))*$C147/1000</f>
        <v>0.0</v>
      </c>
      <c r="F147" s="42">
        <f>(INT($E$25*2/$D147)-INT($E$25*(2-1)/$D147))*$C147/1000</f>
        <v>17.8779</v>
      </c>
      <c r="G147" s="42">
        <f>(INT($E$25*3/$D147)-INT($E$25*(3-1)/$D147))*$C147/1000</f>
        <v>17.8779</v>
      </c>
      <c r="H147" s="42">
        <f>(INT($E$25*4/$D147)-INT($E$25*(4-1)/$D147))*$C147/1000</f>
        <v>0.0</v>
      </c>
      <c r="I147" s="42">
        <f>(INT($E$25*5/$D147)-INT($E$25*(5-1)/$D147))*$C147/1000</f>
        <v>17.8779</v>
      </c>
      <c r="J147" s="42">
        <f>(INT($E$25*6/$D147)-INT($E$25*(6-1)/$D147))*$C147/1000</f>
        <v>17.8779</v>
      </c>
      <c r="K147" s="42">
        <f>(INT($E$25*7/$D147)-INT($E$25*(7-1)/$D147))*$C147/1000</f>
        <v>0.0</v>
      </c>
      <c r="L147" s="42">
        <f>(INT($E$25*8/$D147)-INT($E$25*(8-1)/$D147))*$C147/1000</f>
        <v>17.8779</v>
      </c>
      <c r="M147" s="42">
        <f>(INT($E$25*9/$D147)-INT($E$25*(9-1)/$D147))*$C147/1000</f>
        <v>17.8779</v>
      </c>
      <c r="N147" s="42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44" t="n">
        <v>4406.44</v>
      </c>
      <c r="D148" s="43" t="n">
        <v>12000</v>
      </c>
      <c r="E148" s="42">
        <f>(INT($E$25*1/$D148)-INT($E$25*(1-1)/$D148))*$C148/1000</f>
        <v>0.0</v>
      </c>
      <c r="F148" s="42">
        <f>(INT($E$25*2/$D148)-INT($E$25*(2-1)/$D148))*$C148/1000</f>
        <v>4.40644</v>
      </c>
      <c r="G148" s="42">
        <f>(INT($E$25*3/$D148)-INT($E$25*(3-1)/$D148))*$C148/1000</f>
        <v>0.0</v>
      </c>
      <c r="H148" s="42">
        <f>(INT($E$25*4/$D148)-INT($E$25*(4-1)/$D148))*$C148/1000</f>
        <v>4.40644</v>
      </c>
      <c r="I148" s="42">
        <f>(INT($E$25*5/$D148)-INT($E$25*(5-1)/$D148))*$C148/1000</f>
        <v>0.0</v>
      </c>
      <c r="J148" s="42">
        <f>(INT($E$25*6/$D148)-INT($E$25*(6-1)/$D148))*$C148/1000</f>
        <v>4.40644</v>
      </c>
      <c r="K148" s="42">
        <f>(INT($E$25*7/$D148)-INT($E$25*(7-1)/$D148))*$C148/1000</f>
        <v>4.40644</v>
      </c>
      <c r="L148" s="42">
        <f>(INT($E$25*8/$D148)-INT($E$25*(8-1)/$D148))*$C148/1000</f>
        <v>0.0</v>
      </c>
      <c r="M148" s="42">
        <f>(INT($E$25*9/$D148)-INT($E$25*(9-1)/$D148))*$C148/1000</f>
        <v>4.40644</v>
      </c>
      <c r="N148" s="42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44" t="n">
        <v>359.34</v>
      </c>
      <c r="D149" s="43" t="n">
        <v>8000</v>
      </c>
      <c r="E149" s="42">
        <f>(INT($E$25*1/$D149)-INT($E$25*(1-1)/$D149))*$C149/1000</f>
        <v>0.0</v>
      </c>
      <c r="F149" s="42">
        <f>(INT($E$25*2/$D149)-INT($E$25*(2-1)/$D149))*$C149/1000</f>
        <v>0.35934</v>
      </c>
      <c r="G149" s="42">
        <f>(INT($E$25*3/$D149)-INT($E$25*(3-1)/$D149))*$C149/1000</f>
        <v>0.35934</v>
      </c>
      <c r="H149" s="42">
        <f>(INT($E$25*4/$D149)-INT($E$25*(4-1)/$D149))*$C149/1000</f>
        <v>0.35934</v>
      </c>
      <c r="I149" s="42">
        <f>(INT($E$25*5/$D149)-INT($E$25*(5-1)/$D149))*$C149/1000</f>
        <v>0.35934</v>
      </c>
      <c r="J149" s="42">
        <f>(INT($E$25*6/$D149)-INT($E$25*(6-1)/$D149))*$C149/1000</f>
        <v>0.35934</v>
      </c>
      <c r="K149" s="42">
        <f>(INT($E$25*7/$D149)-INT($E$25*(7-1)/$D149))*$C149/1000</f>
        <v>0.35934</v>
      </c>
      <c r="L149" s="42">
        <f>(INT($E$25*8/$D149)-INT($E$25*(8-1)/$D149))*$C149/1000</f>
        <v>0.35934</v>
      </c>
      <c r="M149" s="42">
        <f>(INT($E$25*9/$D149)-INT($E$25*(9-1)/$D149))*$C149/1000</f>
        <v>0.0</v>
      </c>
      <c r="N149" s="42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44" t="n">
        <v>1855.63</v>
      </c>
      <c r="D150" s="43" t="n">
        <v>8000</v>
      </c>
      <c r="E150" s="42">
        <f>(INT($E$25*1/$D150)-INT($E$25*(1-1)/$D150))*$C150/1000</f>
        <v>0.0</v>
      </c>
      <c r="F150" s="42">
        <f>(INT($E$25*2/$D150)-INT($E$25*(2-1)/$D150))*$C150/1000</f>
        <v>1.8556300000000001</v>
      </c>
      <c r="G150" s="42">
        <f>(INT($E$25*3/$D150)-INT($E$25*(3-1)/$D150))*$C150/1000</f>
        <v>1.8556300000000001</v>
      </c>
      <c r="H150" s="42">
        <f>(INT($E$25*4/$D150)-INT($E$25*(4-1)/$D150))*$C150/1000</f>
        <v>1.8556300000000001</v>
      </c>
      <c r="I150" s="42">
        <f>(INT($E$25*5/$D150)-INT($E$25*(5-1)/$D150))*$C150/1000</f>
        <v>1.8556300000000001</v>
      </c>
      <c r="J150" s="42">
        <f>(INT($E$25*6/$D150)-INT($E$25*(6-1)/$D150))*$C150/1000</f>
        <v>1.8556300000000001</v>
      </c>
      <c r="K150" s="42">
        <f>(INT($E$25*7/$D150)-INT($E$25*(7-1)/$D150))*$C150/1000</f>
        <v>1.8556300000000001</v>
      </c>
      <c r="L150" s="42">
        <f>(INT($E$25*8/$D150)-INT($E$25*(8-1)/$D150))*$C150/1000</f>
        <v>1.8556300000000001</v>
      </c>
      <c r="M150" s="42">
        <f>(INT($E$25*9/$D150)-INT($E$25*(9-1)/$D150))*$C150/1000</f>
        <v>0.0</v>
      </c>
      <c r="N150" s="42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44" t="n">
        <v>1750.07</v>
      </c>
      <c r="D151" s="43" t="n">
        <v>10400</v>
      </c>
      <c r="E151" s="42">
        <f>(INT($E$25*1/$D151)-INT($E$25*(1-1)/$D151))*$C151/1000</f>
        <v>0.0</v>
      </c>
      <c r="F151" s="42">
        <f>(INT($E$25*2/$D151)-INT($E$25*(2-1)/$D151))*$C151/1000</f>
        <v>1.75007</v>
      </c>
      <c r="G151" s="42">
        <f>(INT($E$25*3/$D151)-INT($E$25*(3-1)/$D151))*$C151/1000</f>
        <v>1.75007</v>
      </c>
      <c r="H151" s="42">
        <f>(INT($E$25*4/$D151)-INT($E$25*(4-1)/$D151))*$C151/1000</f>
        <v>0.0</v>
      </c>
      <c r="I151" s="42">
        <f>(INT($E$25*5/$D151)-INT($E$25*(5-1)/$D151))*$C151/1000</f>
        <v>1.75007</v>
      </c>
      <c r="J151" s="42">
        <f>(INT($E$25*6/$D151)-INT($E$25*(6-1)/$D151))*$C151/1000</f>
        <v>1.75007</v>
      </c>
      <c r="K151" s="42">
        <f>(INT($E$25*7/$D151)-INT($E$25*(7-1)/$D151))*$C151/1000</f>
        <v>0.0</v>
      </c>
      <c r="L151" s="42">
        <f>(INT($E$25*8/$D151)-INT($E$25*(8-1)/$D151))*$C151/1000</f>
        <v>1.75007</v>
      </c>
      <c r="M151" s="42">
        <f>(INT($E$25*9/$D151)-INT($E$25*(9-1)/$D151))*$C151/1000</f>
        <v>1.75007</v>
      </c>
      <c r="N151" s="42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44" t="n">
        <v>1208.21</v>
      </c>
      <c r="D152" s="43" t="n">
        <v>8000</v>
      </c>
      <c r="E152" s="42">
        <f>(INT($E$25*1/$D152)-INT($E$25*(1-1)/$D152))*$C152/1000</f>
        <v>0.0</v>
      </c>
      <c r="F152" s="42">
        <f>(INT($E$25*2/$D152)-INT($E$25*(2-1)/$D152))*$C152/1000</f>
        <v>1.20821</v>
      </c>
      <c r="G152" s="42">
        <f>(INT($E$25*3/$D152)-INT($E$25*(3-1)/$D152))*$C152/1000</f>
        <v>1.20821</v>
      </c>
      <c r="H152" s="42">
        <f>(INT($E$25*4/$D152)-INT($E$25*(4-1)/$D152))*$C152/1000</f>
        <v>1.20821</v>
      </c>
      <c r="I152" s="42">
        <f>(INT($E$25*5/$D152)-INT($E$25*(5-1)/$D152))*$C152/1000</f>
        <v>1.20821</v>
      </c>
      <c r="J152" s="42">
        <f>(INT($E$25*6/$D152)-INT($E$25*(6-1)/$D152))*$C152/1000</f>
        <v>1.20821</v>
      </c>
      <c r="K152" s="42">
        <f>(INT($E$25*7/$D152)-INT($E$25*(7-1)/$D152))*$C152/1000</f>
        <v>1.20821</v>
      </c>
      <c r="L152" s="42">
        <f>(INT($E$25*8/$D152)-INT($E$25*(8-1)/$D152))*$C152/1000</f>
        <v>1.20821</v>
      </c>
      <c r="M152" s="42">
        <f>(INT($E$25*9/$D152)-INT($E$25*(9-1)/$D152))*$C152/1000</f>
        <v>0.0</v>
      </c>
      <c r="N152" s="42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44" t="n">
        <v>10570.4</v>
      </c>
      <c r="D153" s="43" t="n">
        <v>18000</v>
      </c>
      <c r="E153" s="42">
        <f>(INT($E$25*1/$D153)-INT($E$25*(1-1)/$D153))*$C153/1000</f>
        <v>0.0</v>
      </c>
      <c r="F153" s="42">
        <f>(INT($E$25*2/$D153)-INT($E$25*(2-1)/$D153))*$C153/1000</f>
        <v>0.0</v>
      </c>
      <c r="G153" s="42">
        <f>(INT($E$25*3/$D153)-INT($E$25*(3-1)/$D153))*$C153/1000</f>
        <v>10.5704</v>
      </c>
      <c r="H153" s="42">
        <f>(INT($E$25*4/$D153)-INT($E$25*(4-1)/$D153))*$C153/1000</f>
        <v>0.0</v>
      </c>
      <c r="I153" s="42">
        <f>(INT($E$25*5/$D153)-INT($E$25*(5-1)/$D153))*$C153/1000</f>
        <v>0.0</v>
      </c>
      <c r="J153" s="42">
        <f>(INT($E$25*6/$D153)-INT($E$25*(6-1)/$D153))*$C153/1000</f>
        <v>10.5704</v>
      </c>
      <c r="K153" s="42">
        <f>(INT($E$25*7/$D153)-INT($E$25*(7-1)/$D153))*$C153/1000</f>
        <v>0.0</v>
      </c>
      <c r="L153" s="42">
        <f>(INT($E$25*8/$D153)-INT($E$25*(8-1)/$D153))*$C153/1000</f>
        <v>10.5704</v>
      </c>
      <c r="M153" s="42">
        <f>(INT($E$25*9/$D153)-INT($E$25*(9-1)/$D153))*$C153/1000</f>
        <v>0.0</v>
      </c>
      <c r="N153" s="42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44" t="n">
        <v>149339.64</v>
      </c>
      <c r="D154" s="43" t="n">
        <v>30000</v>
      </c>
      <c r="E154" s="42">
        <f>(INT($E$25*1/$D154)-INT($E$25*(1-1)/$D154))*$C154/1000</f>
        <v>0.0</v>
      </c>
      <c r="F154" s="42">
        <f>(INT($E$25*2/$D154)-INT($E$25*(2-1)/$D154))*$C154/1000</f>
        <v>0.0</v>
      </c>
      <c r="G154" s="42">
        <f>(INT($E$25*3/$D154)-INT($E$25*(3-1)/$D154))*$C154/1000</f>
        <v>0.0</v>
      </c>
      <c r="H154" s="42">
        <f>(INT($E$25*4/$D154)-INT($E$25*(4-1)/$D154))*$C154/1000</f>
        <v>0.0</v>
      </c>
      <c r="I154" s="42">
        <f>(INT($E$25*5/$D154)-INT($E$25*(5-1)/$D154))*$C154/1000</f>
        <v>149.33964</v>
      </c>
      <c r="J154" s="42">
        <f>(INT($E$25*6/$D154)-INT($E$25*(6-1)/$D154))*$C154/1000</f>
        <v>0.0</v>
      </c>
      <c r="K154" s="42">
        <f>(INT($E$25*7/$D154)-INT($E$25*(7-1)/$D154))*$C154/1000</f>
        <v>0.0</v>
      </c>
      <c r="L154" s="42">
        <f>(INT($E$25*8/$D154)-INT($E$25*(8-1)/$D154))*$C154/1000</f>
        <v>0.0</v>
      </c>
      <c r="M154" s="42">
        <f>(INT($E$25*9/$D154)-INT($E$25*(9-1)/$D154))*$C154/1000</f>
        <v>149.33964</v>
      </c>
      <c r="N154" s="42">
        <f>(INT($E$25*10/$D154)-INT($E$25*(10-1)/$D154))*$C154/1000</f>
        <v>0.0</v>
      </c>
    </row>
    <row r="155">
      <c r="B155" s="22" t="inlineStr">
        <is>
          <t>COUPLING (муфта)</t>
        </is>
      </c>
      <c r="C155" s="44" t="n">
        <v>10830.34</v>
      </c>
      <c r="D155" s="43" t="n">
        <v>20000</v>
      </c>
      <c r="E155" s="42">
        <f>(INT($E$25*1/$D155)-INT($E$25*(1-1)/$D155))*$C155/1000</f>
        <v>0.0</v>
      </c>
      <c r="F155" s="42">
        <f>(INT($E$25*2/$D155)-INT($E$25*(2-1)/$D155))*$C155/1000</f>
        <v>0.0</v>
      </c>
      <c r="G155" s="42">
        <f>(INT($E$25*3/$D155)-INT($E$25*(3-1)/$D155))*$C155/1000</f>
        <v>10.83034</v>
      </c>
      <c r="H155" s="42">
        <f>(INT($E$25*4/$D155)-INT($E$25*(4-1)/$D155))*$C155/1000</f>
        <v>0.0</v>
      </c>
      <c r="I155" s="42">
        <f>(INT($E$25*5/$D155)-INT($E$25*(5-1)/$D155))*$C155/1000</f>
        <v>0.0</v>
      </c>
      <c r="J155" s="42">
        <f>(INT($E$25*6/$D155)-INT($E$25*(6-1)/$D155))*$C155/1000</f>
        <v>10.83034</v>
      </c>
      <c r="K155" s="42">
        <f>(INT($E$25*7/$D155)-INT($E$25*(7-1)/$D155))*$C155/1000</f>
        <v>0.0</v>
      </c>
      <c r="L155" s="42">
        <f>(INT($E$25*8/$D155)-INT($E$25*(8-1)/$D155))*$C155/1000</f>
        <v>0.0</v>
      </c>
      <c r="M155" s="42">
        <f>(INT($E$25*9/$D155)-INT($E$25*(9-1)/$D155))*$C155/1000</f>
        <v>10.83034</v>
      </c>
      <c r="N155" s="42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44" t="n">
        <v>1593.95</v>
      </c>
      <c r="D156" s="43" t="n">
        <v>10000</v>
      </c>
      <c r="E156" s="42">
        <f>(INT($E$25*1/$D156)-INT($E$25*(1-1)/$D156))*$C156/1000</f>
        <v>0.0</v>
      </c>
      <c r="F156" s="42">
        <f>(INT($E$25*2/$D156)-INT($E$25*(2-1)/$D156))*$C156/1000</f>
        <v>1.59395</v>
      </c>
      <c r="G156" s="42">
        <f>(INT($E$25*3/$D156)-INT($E$25*(3-1)/$D156))*$C156/1000</f>
        <v>1.59395</v>
      </c>
      <c r="H156" s="42">
        <f>(INT($E$25*4/$D156)-INT($E$25*(4-1)/$D156))*$C156/1000</f>
        <v>0.0</v>
      </c>
      <c r="I156" s="42">
        <f>(INT($E$25*5/$D156)-INT($E$25*(5-1)/$D156))*$C156/1000</f>
        <v>1.59395</v>
      </c>
      <c r="J156" s="42">
        <f>(INT($E$25*6/$D156)-INT($E$25*(6-1)/$D156))*$C156/1000</f>
        <v>1.59395</v>
      </c>
      <c r="K156" s="42">
        <f>(INT($E$25*7/$D156)-INT($E$25*(7-1)/$D156))*$C156/1000</f>
        <v>0.0</v>
      </c>
      <c r="L156" s="42">
        <f>(INT($E$25*8/$D156)-INT($E$25*(8-1)/$D156))*$C156/1000</f>
        <v>1.59395</v>
      </c>
      <c r="M156" s="42">
        <f>(INT($E$25*9/$D156)-INT($E$25*(9-1)/$D156))*$C156/1000</f>
        <v>1.59395</v>
      </c>
      <c r="N156" s="42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44" t="n">
        <v>4616.49</v>
      </c>
      <c r="D157" s="43" t="n">
        <v>20000</v>
      </c>
      <c r="E157" s="42">
        <f>(INT($E$25*1/$D157)-INT($E$25*(1-1)/$D157))*$C157/1000</f>
        <v>0.0</v>
      </c>
      <c r="F157" s="42">
        <f>(INT($E$25*2/$D157)-INT($E$25*(2-1)/$D157))*$C157/1000</f>
        <v>0.0</v>
      </c>
      <c r="G157" s="42">
        <f>(INT($E$25*3/$D157)-INT($E$25*(3-1)/$D157))*$C157/1000</f>
        <v>4.61649</v>
      </c>
      <c r="H157" s="42">
        <f>(INT($E$25*4/$D157)-INT($E$25*(4-1)/$D157))*$C157/1000</f>
        <v>0.0</v>
      </c>
      <c r="I157" s="42">
        <f>(INT($E$25*5/$D157)-INT($E$25*(5-1)/$D157))*$C157/1000</f>
        <v>0.0</v>
      </c>
      <c r="J157" s="42">
        <f>(INT($E$25*6/$D157)-INT($E$25*(6-1)/$D157))*$C157/1000</f>
        <v>4.61649</v>
      </c>
      <c r="K157" s="42">
        <f>(INT($E$25*7/$D157)-INT($E$25*(7-1)/$D157))*$C157/1000</f>
        <v>0.0</v>
      </c>
      <c r="L157" s="42">
        <f>(INT($E$25*8/$D157)-INT($E$25*(8-1)/$D157))*$C157/1000</f>
        <v>0.0</v>
      </c>
      <c r="M157" s="42">
        <f>(INT($E$25*9/$D157)-INT($E$25*(9-1)/$D157))*$C157/1000</f>
        <v>4.61649</v>
      </c>
      <c r="N157" s="42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44" t="n">
        <v>238.88</v>
      </c>
      <c r="D158" s="43" t="n">
        <v>22000</v>
      </c>
      <c r="E158" s="42">
        <f>(INT($E$25*1/$D158)-INT($E$25*(1-1)/$D158))*$C158/1000</f>
        <v>0.0</v>
      </c>
      <c r="F158" s="42">
        <f>(INT($E$25*2/$D158)-INT($E$25*(2-1)/$D158))*$C158/1000</f>
        <v>0.0</v>
      </c>
      <c r="G158" s="42">
        <f>(INT($E$25*3/$D158)-INT($E$25*(3-1)/$D158))*$C158/1000</f>
        <v>0.0</v>
      </c>
      <c r="H158" s="42">
        <f>(INT($E$25*4/$D158)-INT($E$25*(4-1)/$D158))*$C158/1000</f>
        <v>0.23888</v>
      </c>
      <c r="I158" s="42">
        <f>(INT($E$25*5/$D158)-INT($E$25*(5-1)/$D158))*$C158/1000</f>
        <v>0.0</v>
      </c>
      <c r="J158" s="42">
        <f>(INT($E$25*6/$D158)-INT($E$25*(6-1)/$D158))*$C158/1000</f>
        <v>0.0</v>
      </c>
      <c r="K158" s="42">
        <f>(INT($E$25*7/$D158)-INT($E$25*(7-1)/$D158))*$C158/1000</f>
        <v>0.23888</v>
      </c>
      <c r="L158" s="42">
        <f>(INT($E$25*8/$D158)-INT($E$25*(8-1)/$D158))*$C158/1000</f>
        <v>0.0</v>
      </c>
      <c r="M158" s="42">
        <f>(INT($E$25*9/$D158)-INT($E$25*(9-1)/$D158))*$C158/1000</f>
        <v>0.0</v>
      </c>
      <c r="N158" s="42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44" t="n">
        <v>620.8200000000001</v>
      </c>
      <c r="D159" s="43" t="n">
        <v>20000</v>
      </c>
      <c r="E159" s="42">
        <f>(INT($E$25*1/$D159)-INT($E$25*(1-1)/$D159))*$C159/1000</f>
        <v>0.0</v>
      </c>
      <c r="F159" s="42">
        <f>(INT($E$25*2/$D159)-INT($E$25*(2-1)/$D159))*$C159/1000</f>
        <v>0.0</v>
      </c>
      <c r="G159" s="42">
        <f>(INT($E$25*3/$D159)-INT($E$25*(3-1)/$D159))*$C159/1000</f>
        <v>0.62082</v>
      </c>
      <c r="H159" s="42">
        <f>(INT($E$25*4/$D159)-INT($E$25*(4-1)/$D159))*$C159/1000</f>
        <v>0.0</v>
      </c>
      <c r="I159" s="42">
        <f>(INT($E$25*5/$D159)-INT($E$25*(5-1)/$D159))*$C159/1000</f>
        <v>0.0</v>
      </c>
      <c r="J159" s="42">
        <f>(INT($E$25*6/$D159)-INT($E$25*(6-1)/$D159))*$C159/1000</f>
        <v>0.62082</v>
      </c>
      <c r="K159" s="42">
        <f>(INT($E$25*7/$D159)-INT($E$25*(7-1)/$D159))*$C159/1000</f>
        <v>0.0</v>
      </c>
      <c r="L159" s="42">
        <f>(INT($E$25*8/$D159)-INT($E$25*(8-1)/$D159))*$C159/1000</f>
        <v>0.0</v>
      </c>
      <c r="M159" s="42">
        <f>(INT($E$25*9/$D159)-INT($E$25*(9-1)/$D159))*$C159/1000</f>
        <v>0.62082</v>
      </c>
      <c r="N159" s="42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44" t="n">
        <v>16243.37</v>
      </c>
      <c r="D160" s="43" t="n">
        <v>13000</v>
      </c>
      <c r="E160" s="42">
        <f>(INT($E$25*1/$D160)-INT($E$25*(1-1)/$D160))*$C160/1000</f>
        <v>0.0</v>
      </c>
      <c r="F160" s="42">
        <f>(INT($E$25*2/$D160)-INT($E$25*(2-1)/$D160))*$C160/1000</f>
        <v>16.243370000000002</v>
      </c>
      <c r="G160" s="42">
        <f>(INT($E$25*3/$D160)-INT($E$25*(3-1)/$D160))*$C160/1000</f>
        <v>0.0</v>
      </c>
      <c r="H160" s="42">
        <f>(INT($E$25*4/$D160)-INT($E$25*(4-1)/$D160))*$C160/1000</f>
        <v>16.243370000000002</v>
      </c>
      <c r="I160" s="42">
        <f>(INT($E$25*5/$D160)-INT($E$25*(5-1)/$D160))*$C160/1000</f>
        <v>0.0</v>
      </c>
      <c r="J160" s="42">
        <f>(INT($E$25*6/$D160)-INT($E$25*(6-1)/$D160))*$C160/1000</f>
        <v>16.243370000000002</v>
      </c>
      <c r="K160" s="42">
        <f>(INT($E$25*7/$D160)-INT($E$25*(7-1)/$D160))*$C160/1000</f>
        <v>0.0</v>
      </c>
      <c r="L160" s="42">
        <f>(INT($E$25*8/$D160)-INT($E$25*(8-1)/$D160))*$C160/1000</f>
        <v>16.243370000000002</v>
      </c>
      <c r="M160" s="42">
        <f>(INT($E$25*9/$D160)-INT($E$25*(9-1)/$D160))*$C160/1000</f>
        <v>0.0</v>
      </c>
      <c r="N160" s="42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44" t="n">
        <v>176926.4</v>
      </c>
      <c r="D161" s="43" t="n">
        <v>30000</v>
      </c>
      <c r="E161" s="42">
        <f>(INT($E$25*1/$D161)-INT($E$25*(1-1)/$D161))*$C161/1000</f>
        <v>0.0</v>
      </c>
      <c r="F161" s="42">
        <f>(INT($E$25*2/$D161)-INT($E$25*(2-1)/$D161))*$C161/1000</f>
        <v>0.0</v>
      </c>
      <c r="G161" s="42">
        <f>(INT($E$25*3/$D161)-INT($E$25*(3-1)/$D161))*$C161/1000</f>
        <v>0.0</v>
      </c>
      <c r="H161" s="42">
        <f>(INT($E$25*4/$D161)-INT($E$25*(4-1)/$D161))*$C161/1000</f>
        <v>0.0</v>
      </c>
      <c r="I161" s="42">
        <f>(INT($E$25*5/$D161)-INT($E$25*(5-1)/$D161))*$C161/1000</f>
        <v>176.9264</v>
      </c>
      <c r="J161" s="42">
        <f>(INT($E$25*6/$D161)-INT($E$25*(6-1)/$D161))*$C161/1000</f>
        <v>0.0</v>
      </c>
      <c r="K161" s="42">
        <f>(INT($E$25*7/$D161)-INT($E$25*(7-1)/$D161))*$C161/1000</f>
        <v>0.0</v>
      </c>
      <c r="L161" s="42">
        <f>(INT($E$25*8/$D161)-INT($E$25*(8-1)/$D161))*$C161/1000</f>
        <v>0.0</v>
      </c>
      <c r="M161" s="42">
        <f>(INT($E$25*9/$D161)-INT($E$25*(9-1)/$D161))*$C161/1000</f>
        <v>176.9264</v>
      </c>
      <c r="N161" s="42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44" t="n">
        <v>2480.1</v>
      </c>
      <c r="D162" s="43" t="n">
        <v>11000</v>
      </c>
      <c r="E162" s="42">
        <f>(INT($E$25*1/$D162)-INT($E$25*(1-1)/$D162))*$C162/1000</f>
        <v>0.0</v>
      </c>
      <c r="F162" s="42">
        <f>(INT($E$25*2/$D162)-INT($E$25*(2-1)/$D162))*$C162/1000</f>
        <v>2.4800999999999997</v>
      </c>
      <c r="G162" s="42">
        <f>(INT($E$25*3/$D162)-INT($E$25*(3-1)/$D162))*$C162/1000</f>
        <v>0.0</v>
      </c>
      <c r="H162" s="42">
        <f>(INT($E$25*4/$D162)-INT($E$25*(4-1)/$D162))*$C162/1000</f>
        <v>2.4800999999999997</v>
      </c>
      <c r="I162" s="42">
        <f>(INT($E$25*5/$D162)-INT($E$25*(5-1)/$D162))*$C162/1000</f>
        <v>2.4800999999999997</v>
      </c>
      <c r="J162" s="42">
        <f>(INT($E$25*6/$D162)-INT($E$25*(6-1)/$D162))*$C162/1000</f>
        <v>0.0</v>
      </c>
      <c r="K162" s="42">
        <f>(INT($E$25*7/$D162)-INT($E$25*(7-1)/$D162))*$C162/1000</f>
        <v>2.4800999999999997</v>
      </c>
      <c r="L162" s="42">
        <f>(INT($E$25*8/$D162)-INT($E$25*(8-1)/$D162))*$C162/1000</f>
        <v>2.4800999999999997</v>
      </c>
      <c r="M162" s="42">
        <f>(INT($E$25*9/$D162)-INT($E$25*(9-1)/$D162))*$C162/1000</f>
        <v>0.0</v>
      </c>
      <c r="N162" s="42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44" t="n">
        <v>2068.08</v>
      </c>
      <c r="D163" s="43" t="n">
        <v>11000</v>
      </c>
      <c r="E163" s="42">
        <f>(INT($E$25*1/$D163)-INT($E$25*(1-1)/$D163))*$C163/1000</f>
        <v>0.0</v>
      </c>
      <c r="F163" s="42">
        <f>(INT($E$25*2/$D163)-INT($E$25*(2-1)/$D163))*$C163/1000</f>
        <v>2.06808</v>
      </c>
      <c r="G163" s="42">
        <f>(INT($E$25*3/$D163)-INT($E$25*(3-1)/$D163))*$C163/1000</f>
        <v>0.0</v>
      </c>
      <c r="H163" s="42">
        <f>(INT($E$25*4/$D163)-INT($E$25*(4-1)/$D163))*$C163/1000</f>
        <v>2.06808</v>
      </c>
      <c r="I163" s="42">
        <f>(INT($E$25*5/$D163)-INT($E$25*(5-1)/$D163))*$C163/1000</f>
        <v>2.06808</v>
      </c>
      <c r="J163" s="42">
        <f>(INT($E$25*6/$D163)-INT($E$25*(6-1)/$D163))*$C163/1000</f>
        <v>0.0</v>
      </c>
      <c r="K163" s="42">
        <f>(INT($E$25*7/$D163)-INT($E$25*(7-1)/$D163))*$C163/1000</f>
        <v>2.06808</v>
      </c>
      <c r="L163" s="42">
        <f>(INT($E$25*8/$D163)-INT($E$25*(8-1)/$D163))*$C163/1000</f>
        <v>2.06808</v>
      </c>
      <c r="M163" s="42">
        <f>(INT($E$25*9/$D163)-INT($E$25*(9-1)/$D163))*$C163/1000</f>
        <v>0.0</v>
      </c>
      <c r="N163" s="42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44" t="n">
        <v>14077.02</v>
      </c>
      <c r="D164" s="43" t="n">
        <v>11900</v>
      </c>
      <c r="E164" s="42">
        <f>(INT($E$25*1/$D164)-INT($E$25*(1-1)/$D164))*$C164/1000</f>
        <v>0.0</v>
      </c>
      <c r="F164" s="42">
        <f>(INT($E$25*2/$D164)-INT($E$25*(2-1)/$D164))*$C164/1000</f>
        <v>14.077020000000001</v>
      </c>
      <c r="G164" s="42">
        <f>(INT($E$25*3/$D164)-INT($E$25*(3-1)/$D164))*$C164/1000</f>
        <v>0.0</v>
      </c>
      <c r="H164" s="42">
        <f>(INT($E$25*4/$D164)-INT($E$25*(4-1)/$D164))*$C164/1000</f>
        <v>14.077020000000001</v>
      </c>
      <c r="I164" s="42">
        <f>(INT($E$25*5/$D164)-INT($E$25*(5-1)/$D164))*$C164/1000</f>
        <v>0.0</v>
      </c>
      <c r="J164" s="42">
        <f>(INT($E$25*6/$D164)-INT($E$25*(6-1)/$D164))*$C164/1000</f>
        <v>14.077020000000001</v>
      </c>
      <c r="K164" s="42">
        <f>(INT($E$25*7/$D164)-INT($E$25*(7-1)/$D164))*$C164/1000</f>
        <v>14.077020000000001</v>
      </c>
      <c r="L164" s="42">
        <f>(INT($E$25*8/$D164)-INT($E$25*(8-1)/$D164))*$C164/1000</f>
        <v>0.0</v>
      </c>
      <c r="M164" s="42">
        <f>(INT($E$25*9/$D164)-INT($E$25*(9-1)/$D164))*$C164/1000</f>
        <v>14.077020000000001</v>
      </c>
      <c r="N164" s="42">
        <f>(INT($E$25*10/$D164)-INT($E$25*(10-1)/$D164))*$C164/1000</f>
        <v>0.0</v>
      </c>
    </row>
    <row r="165">
      <c r="B165" s="22" t="inlineStr">
        <is>
          <t>DRIVE SHAFT (кардан)</t>
        </is>
      </c>
      <c r="C165" s="44" t="n">
        <v>1626.09</v>
      </c>
      <c r="D165" s="43" t="n">
        <v>15000</v>
      </c>
      <c r="E165" s="42">
        <f>(INT($E$25*1/$D165)-INT($E$25*(1-1)/$D165))*$C165/1000</f>
        <v>0.0</v>
      </c>
      <c r="F165" s="42">
        <f>(INT($E$25*2/$D165)-INT($E$25*(2-1)/$D165))*$C165/1000</f>
        <v>0.0</v>
      </c>
      <c r="G165" s="42">
        <f>(INT($E$25*3/$D165)-INT($E$25*(3-1)/$D165))*$C165/1000</f>
        <v>1.6260899999999998</v>
      </c>
      <c r="H165" s="42">
        <f>(INT($E$25*4/$D165)-INT($E$25*(4-1)/$D165))*$C165/1000</f>
        <v>0.0</v>
      </c>
      <c r="I165" s="42">
        <f>(INT($E$25*5/$D165)-INT($E$25*(5-1)/$D165))*$C165/1000</f>
        <v>1.6260899999999998</v>
      </c>
      <c r="J165" s="42">
        <f>(INT($E$25*6/$D165)-INT($E$25*(6-1)/$D165))*$C165/1000</f>
        <v>0.0</v>
      </c>
      <c r="K165" s="42">
        <f>(INT($E$25*7/$D165)-INT($E$25*(7-1)/$D165))*$C165/1000</f>
        <v>1.6260899999999998</v>
      </c>
      <c r="L165" s="42">
        <f>(INT($E$25*8/$D165)-INT($E$25*(8-1)/$D165))*$C165/1000</f>
        <v>0.0</v>
      </c>
      <c r="M165" s="42">
        <f>(INT($E$25*9/$D165)-INT($E$25*(9-1)/$D165))*$C165/1000</f>
        <v>1.6260899999999998</v>
      </c>
      <c r="N165" s="42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44" t="n">
        <v>83945.98</v>
      </c>
      <c r="D166" s="43" t="n">
        <v>18000</v>
      </c>
      <c r="E166" s="42">
        <f>(INT($E$25*1/$D166)-INT($E$25*(1-1)/$D166))*$C166/1000</f>
        <v>0.0</v>
      </c>
      <c r="F166" s="42">
        <f>(INT($E$25*2/$D166)-INT($E$25*(2-1)/$D166))*$C166/1000</f>
        <v>0.0</v>
      </c>
      <c r="G166" s="42">
        <f>(INT($E$25*3/$D166)-INT($E$25*(3-1)/$D166))*$C166/1000</f>
        <v>83.94597999999999</v>
      </c>
      <c r="H166" s="42">
        <f>(INT($E$25*4/$D166)-INT($E$25*(4-1)/$D166))*$C166/1000</f>
        <v>0.0</v>
      </c>
      <c r="I166" s="42">
        <f>(INT($E$25*5/$D166)-INT($E$25*(5-1)/$D166))*$C166/1000</f>
        <v>0.0</v>
      </c>
      <c r="J166" s="42">
        <f>(INT($E$25*6/$D166)-INT($E$25*(6-1)/$D166))*$C166/1000</f>
        <v>83.94597999999999</v>
      </c>
      <c r="K166" s="42">
        <f>(INT($E$25*7/$D166)-INT($E$25*(7-1)/$D166))*$C166/1000</f>
        <v>0.0</v>
      </c>
      <c r="L166" s="42">
        <f>(INT($E$25*8/$D166)-INT($E$25*(8-1)/$D166))*$C166/1000</f>
        <v>83.94597999999999</v>
      </c>
      <c r="M166" s="42">
        <f>(INT($E$25*9/$D166)-INT($E$25*(9-1)/$D166))*$C166/1000</f>
        <v>0.0</v>
      </c>
      <c r="N166" s="42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44" t="n">
        <v>4856.64</v>
      </c>
      <c r="D167" s="43" t="n">
        <v>14000</v>
      </c>
      <c r="E167" s="42">
        <f>(INT($E$25*1/$D167)-INT($E$25*(1-1)/$D167))*$C167/1000</f>
        <v>0.0</v>
      </c>
      <c r="F167" s="42">
        <f>(INT($E$25*2/$D167)-INT($E$25*(2-1)/$D167))*$C167/1000</f>
        <v>4.8566400000000005</v>
      </c>
      <c r="G167" s="42">
        <f>(INT($E$25*3/$D167)-INT($E$25*(3-1)/$D167))*$C167/1000</f>
        <v>0.0</v>
      </c>
      <c r="H167" s="42">
        <f>(INT($E$25*4/$D167)-INT($E$25*(4-1)/$D167))*$C167/1000</f>
        <v>4.8566400000000005</v>
      </c>
      <c r="I167" s="42">
        <f>(INT($E$25*5/$D167)-INT($E$25*(5-1)/$D167))*$C167/1000</f>
        <v>0.0</v>
      </c>
      <c r="J167" s="42">
        <f>(INT($E$25*6/$D167)-INT($E$25*(6-1)/$D167))*$C167/1000</f>
        <v>4.8566400000000005</v>
      </c>
      <c r="K167" s="42">
        <f>(INT($E$25*7/$D167)-INT($E$25*(7-1)/$D167))*$C167/1000</f>
        <v>0.0</v>
      </c>
      <c r="L167" s="42">
        <f>(INT($E$25*8/$D167)-INT($E$25*(8-1)/$D167))*$C167/1000</f>
        <v>4.8566400000000005</v>
      </c>
      <c r="M167" s="42">
        <f>(INT($E$25*9/$D167)-INT($E$25*(9-1)/$D167))*$C167/1000</f>
        <v>0.0</v>
      </c>
      <c r="N167" s="42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44" t="n">
        <v>10503.76</v>
      </c>
      <c r="D168" s="43" t="n">
        <v>12000</v>
      </c>
      <c r="E168" s="42">
        <f>(INT($E$25*1/$D168)-INT($E$25*(1-1)/$D168))*$C168/1000</f>
        <v>0.0</v>
      </c>
      <c r="F168" s="42">
        <f>(INT($E$25*2/$D168)-INT($E$25*(2-1)/$D168))*$C168/1000</f>
        <v>10.50376</v>
      </c>
      <c r="G168" s="42">
        <f>(INT($E$25*3/$D168)-INT($E$25*(3-1)/$D168))*$C168/1000</f>
        <v>0.0</v>
      </c>
      <c r="H168" s="42">
        <f>(INT($E$25*4/$D168)-INT($E$25*(4-1)/$D168))*$C168/1000</f>
        <v>10.50376</v>
      </c>
      <c r="I168" s="42">
        <f>(INT($E$25*5/$D168)-INT($E$25*(5-1)/$D168))*$C168/1000</f>
        <v>0.0</v>
      </c>
      <c r="J168" s="42">
        <f>(INT($E$25*6/$D168)-INT($E$25*(6-1)/$D168))*$C168/1000</f>
        <v>10.50376</v>
      </c>
      <c r="K168" s="42">
        <f>(INT($E$25*7/$D168)-INT($E$25*(7-1)/$D168))*$C168/1000</f>
        <v>10.50376</v>
      </c>
      <c r="L168" s="42">
        <f>(INT($E$25*8/$D168)-INT($E$25*(8-1)/$D168))*$C168/1000</f>
        <v>0.0</v>
      </c>
      <c r="M168" s="42">
        <f>(INT($E$25*9/$D168)-INT($E$25*(9-1)/$D168))*$C168/1000</f>
        <v>10.50376</v>
      </c>
      <c r="N168" s="42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44" t="n">
        <v>33088.43</v>
      </c>
      <c r="D169" s="43" t="n">
        <v>21000</v>
      </c>
      <c r="E169" s="42">
        <f>(INT($E$25*1/$D169)-INT($E$25*(1-1)/$D169))*$C169/1000</f>
        <v>0.0</v>
      </c>
      <c r="F169" s="42">
        <f>(INT($E$25*2/$D169)-INT($E$25*(2-1)/$D169))*$C169/1000</f>
        <v>0.0</v>
      </c>
      <c r="G169" s="42">
        <f>(INT($E$25*3/$D169)-INT($E$25*(3-1)/$D169))*$C169/1000</f>
        <v>33.08843</v>
      </c>
      <c r="H169" s="42">
        <f>(INT($E$25*4/$D169)-INT($E$25*(4-1)/$D169))*$C169/1000</f>
        <v>0.0</v>
      </c>
      <c r="I169" s="42">
        <f>(INT($E$25*5/$D169)-INT($E$25*(5-1)/$D169))*$C169/1000</f>
        <v>0.0</v>
      </c>
      <c r="J169" s="42">
        <f>(INT($E$25*6/$D169)-INT($E$25*(6-1)/$D169))*$C169/1000</f>
        <v>33.08843</v>
      </c>
      <c r="K169" s="42">
        <f>(INT($E$25*7/$D169)-INT($E$25*(7-1)/$D169))*$C169/1000</f>
        <v>0.0</v>
      </c>
      <c r="L169" s="42">
        <f>(INT($E$25*8/$D169)-INT($E$25*(8-1)/$D169))*$C169/1000</f>
        <v>0.0</v>
      </c>
      <c r="M169" s="42">
        <f>(INT($E$25*9/$D169)-INT($E$25*(9-1)/$D169))*$C169/1000</f>
        <v>33.08843</v>
      </c>
      <c r="N169" s="42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44" t="n">
        <v>798.38</v>
      </c>
      <c r="D170" s="43" t="n">
        <v>14000</v>
      </c>
      <c r="E170" s="42">
        <f>(INT($E$25*1/$D170)-INT($E$25*(1-1)/$D170))*$C170/1000</f>
        <v>0.0</v>
      </c>
      <c r="F170" s="42">
        <f>(INT($E$25*2/$D170)-INT($E$25*(2-1)/$D170))*$C170/1000</f>
        <v>0.79838</v>
      </c>
      <c r="G170" s="42">
        <f>(INT($E$25*3/$D170)-INT($E$25*(3-1)/$D170))*$C170/1000</f>
        <v>0.0</v>
      </c>
      <c r="H170" s="42">
        <f>(INT($E$25*4/$D170)-INT($E$25*(4-1)/$D170))*$C170/1000</f>
        <v>0.79838</v>
      </c>
      <c r="I170" s="42">
        <f>(INT($E$25*5/$D170)-INT($E$25*(5-1)/$D170))*$C170/1000</f>
        <v>0.0</v>
      </c>
      <c r="J170" s="42">
        <f>(INT($E$25*6/$D170)-INT($E$25*(6-1)/$D170))*$C170/1000</f>
        <v>0.79838</v>
      </c>
      <c r="K170" s="42">
        <f>(INT($E$25*7/$D170)-INT($E$25*(7-1)/$D170))*$C170/1000</f>
        <v>0.0</v>
      </c>
      <c r="L170" s="42">
        <f>(INT($E$25*8/$D170)-INT($E$25*(8-1)/$D170))*$C170/1000</f>
        <v>0.79838</v>
      </c>
      <c r="M170" s="42">
        <f>(INT($E$25*9/$D170)-INT($E$25*(9-1)/$D170))*$C170/1000</f>
        <v>0.0</v>
      </c>
      <c r="N170" s="42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44" t="n">
        <v>2803.81</v>
      </c>
      <c r="D171" s="43" t="n">
        <v>6000</v>
      </c>
      <c r="E171" s="42">
        <f>(INT($E$25*1/$D171)-INT($E$25*(1-1)/$D171))*$C171/1000</f>
        <v>2.80381</v>
      </c>
      <c r="F171" s="42">
        <f>(INT($E$25*2/$D171)-INT($E$25*(2-1)/$D171))*$C171/1000</f>
        <v>2.80381</v>
      </c>
      <c r="G171" s="42">
        <f>(INT($E$25*3/$D171)-INT($E$25*(3-1)/$D171))*$C171/1000</f>
        <v>2.80381</v>
      </c>
      <c r="H171" s="42">
        <f>(INT($E$25*4/$D171)-INT($E$25*(4-1)/$D171))*$C171/1000</f>
        <v>2.80381</v>
      </c>
      <c r="I171" s="42">
        <f>(INT($E$25*5/$D171)-INT($E$25*(5-1)/$D171))*$C171/1000</f>
        <v>2.80381</v>
      </c>
      <c r="J171" s="42">
        <f>(INT($E$25*6/$D171)-INT($E$25*(6-1)/$D171))*$C171/1000</f>
        <v>5.60762</v>
      </c>
      <c r="K171" s="42">
        <f>(INT($E$25*7/$D171)-INT($E$25*(7-1)/$D171))*$C171/1000</f>
        <v>2.80381</v>
      </c>
      <c r="L171" s="42">
        <f>(INT($E$25*8/$D171)-INT($E$25*(8-1)/$D171))*$C171/1000</f>
        <v>2.80381</v>
      </c>
      <c r="M171" s="42">
        <f>(INT($E$25*9/$D171)-INT($E$25*(9-1)/$D171))*$C171/1000</f>
        <v>2.80381</v>
      </c>
      <c r="N171" s="42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44" t="n">
        <v>2803.81</v>
      </c>
      <c r="D172" s="43" t="n">
        <v>6000</v>
      </c>
      <c r="E172" s="42">
        <f>(INT($E$25*1/$D172)-INT($E$25*(1-1)/$D172))*$C172/1000</f>
        <v>2.80381</v>
      </c>
      <c r="F172" s="42">
        <f>(INT($E$25*2/$D172)-INT($E$25*(2-1)/$D172))*$C172/1000</f>
        <v>2.80381</v>
      </c>
      <c r="G172" s="42">
        <f>(INT($E$25*3/$D172)-INT($E$25*(3-1)/$D172))*$C172/1000</f>
        <v>2.80381</v>
      </c>
      <c r="H172" s="42">
        <f>(INT($E$25*4/$D172)-INT($E$25*(4-1)/$D172))*$C172/1000</f>
        <v>2.80381</v>
      </c>
      <c r="I172" s="42">
        <f>(INT($E$25*5/$D172)-INT($E$25*(5-1)/$D172))*$C172/1000</f>
        <v>2.80381</v>
      </c>
      <c r="J172" s="42">
        <f>(INT($E$25*6/$D172)-INT($E$25*(6-1)/$D172))*$C172/1000</f>
        <v>5.60762</v>
      </c>
      <c r="K172" s="42">
        <f>(INT($E$25*7/$D172)-INT($E$25*(7-1)/$D172))*$C172/1000</f>
        <v>2.80381</v>
      </c>
      <c r="L172" s="42">
        <f>(INT($E$25*8/$D172)-INT($E$25*(8-1)/$D172))*$C172/1000</f>
        <v>2.80381</v>
      </c>
      <c r="M172" s="42">
        <f>(INT($E$25*9/$D172)-INT($E$25*(9-1)/$D172))*$C172/1000</f>
        <v>2.80381</v>
      </c>
      <c r="N172" s="42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44" t="n">
        <v>11684.45</v>
      </c>
      <c r="D173" s="43" t="n">
        <v>12000</v>
      </c>
      <c r="E173" s="42">
        <f>(INT($E$25*1/$D173)-INT($E$25*(1-1)/$D173))*$C173/1000</f>
        <v>0.0</v>
      </c>
      <c r="F173" s="42">
        <f>(INT($E$25*2/$D173)-INT($E$25*(2-1)/$D173))*$C173/1000</f>
        <v>11.68445</v>
      </c>
      <c r="G173" s="42">
        <f>(INT($E$25*3/$D173)-INT($E$25*(3-1)/$D173))*$C173/1000</f>
        <v>0.0</v>
      </c>
      <c r="H173" s="42">
        <f>(INT($E$25*4/$D173)-INT($E$25*(4-1)/$D173))*$C173/1000</f>
        <v>11.68445</v>
      </c>
      <c r="I173" s="42">
        <f>(INT($E$25*5/$D173)-INT($E$25*(5-1)/$D173))*$C173/1000</f>
        <v>0.0</v>
      </c>
      <c r="J173" s="42">
        <f>(INT($E$25*6/$D173)-INT($E$25*(6-1)/$D173))*$C173/1000</f>
        <v>11.68445</v>
      </c>
      <c r="K173" s="42">
        <f>(INT($E$25*7/$D173)-INT($E$25*(7-1)/$D173))*$C173/1000</f>
        <v>11.68445</v>
      </c>
      <c r="L173" s="42">
        <f>(INT($E$25*8/$D173)-INT($E$25*(8-1)/$D173))*$C173/1000</f>
        <v>0.0</v>
      </c>
      <c r="M173" s="42">
        <f>(INT($E$25*9/$D173)-INT($E$25*(9-1)/$D173))*$C173/1000</f>
        <v>11.68445</v>
      </c>
      <c r="N173" s="42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44" t="n">
        <v>15375.35</v>
      </c>
      <c r="D174" s="43" t="n">
        <v>21000</v>
      </c>
      <c r="E174" s="42">
        <f>(INT($E$25*1/$D174)-INT($E$25*(1-1)/$D174))*$C174/1000</f>
        <v>0.0</v>
      </c>
      <c r="F174" s="42">
        <f>(INT($E$25*2/$D174)-INT($E$25*(2-1)/$D174))*$C174/1000</f>
        <v>0.0</v>
      </c>
      <c r="G174" s="42">
        <f>(INT($E$25*3/$D174)-INT($E$25*(3-1)/$D174))*$C174/1000</f>
        <v>15.375350000000001</v>
      </c>
      <c r="H174" s="42">
        <f>(INT($E$25*4/$D174)-INT($E$25*(4-1)/$D174))*$C174/1000</f>
        <v>0.0</v>
      </c>
      <c r="I174" s="42">
        <f>(INT($E$25*5/$D174)-INT($E$25*(5-1)/$D174))*$C174/1000</f>
        <v>0.0</v>
      </c>
      <c r="J174" s="42">
        <f>(INT($E$25*6/$D174)-INT($E$25*(6-1)/$D174))*$C174/1000</f>
        <v>15.375350000000001</v>
      </c>
      <c r="K174" s="42">
        <f>(INT($E$25*7/$D174)-INT($E$25*(7-1)/$D174))*$C174/1000</f>
        <v>0.0</v>
      </c>
      <c r="L174" s="42">
        <f>(INT($E$25*8/$D174)-INT($E$25*(8-1)/$D174))*$C174/1000</f>
        <v>0.0</v>
      </c>
      <c r="M174" s="42">
        <f>(INT($E$25*9/$D174)-INT($E$25*(9-1)/$D174))*$C174/1000</f>
        <v>15.375350000000001</v>
      </c>
      <c r="N174" s="42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44" t="n">
        <v>4036.53</v>
      </c>
      <c r="D175" s="43" t="n">
        <v>15000</v>
      </c>
      <c r="E175" s="42">
        <f>(INT($E$25*1/$D175)-INT($E$25*(1-1)/$D175))*$C175/1000</f>
        <v>0.0</v>
      </c>
      <c r="F175" s="42">
        <f>(INT($E$25*2/$D175)-INT($E$25*(2-1)/$D175))*$C175/1000</f>
        <v>0.0</v>
      </c>
      <c r="G175" s="42">
        <f>(INT($E$25*3/$D175)-INT($E$25*(3-1)/$D175))*$C175/1000</f>
        <v>4.03653</v>
      </c>
      <c r="H175" s="42">
        <f>(INT($E$25*4/$D175)-INT($E$25*(4-1)/$D175))*$C175/1000</f>
        <v>0.0</v>
      </c>
      <c r="I175" s="42">
        <f>(INT($E$25*5/$D175)-INT($E$25*(5-1)/$D175))*$C175/1000</f>
        <v>4.03653</v>
      </c>
      <c r="J175" s="42">
        <f>(INT($E$25*6/$D175)-INT($E$25*(6-1)/$D175))*$C175/1000</f>
        <v>0.0</v>
      </c>
      <c r="K175" s="42">
        <f>(INT($E$25*7/$D175)-INT($E$25*(7-1)/$D175))*$C175/1000</f>
        <v>4.03653</v>
      </c>
      <c r="L175" s="42">
        <f>(INT($E$25*8/$D175)-INT($E$25*(8-1)/$D175))*$C175/1000</f>
        <v>0.0</v>
      </c>
      <c r="M175" s="42">
        <f>(INT($E$25*9/$D175)-INT($E$25*(9-1)/$D175))*$C175/1000</f>
        <v>4.03653</v>
      </c>
      <c r="N175" s="42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44" t="n">
        <v>65763.14</v>
      </c>
      <c r="D176" s="43" t="n">
        <v>15000</v>
      </c>
      <c r="E176" s="42">
        <f>(INT($E$25*1/$D176)-INT($E$25*(1-1)/$D176))*$C176/1000</f>
        <v>0.0</v>
      </c>
      <c r="F176" s="42">
        <f>(INT($E$25*2/$D176)-INT($E$25*(2-1)/$D176))*$C176/1000</f>
        <v>0.0</v>
      </c>
      <c r="G176" s="42">
        <f>(INT($E$25*3/$D176)-INT($E$25*(3-1)/$D176))*$C176/1000</f>
        <v>65.76313999999999</v>
      </c>
      <c r="H176" s="42">
        <f>(INT($E$25*4/$D176)-INT($E$25*(4-1)/$D176))*$C176/1000</f>
        <v>0.0</v>
      </c>
      <c r="I176" s="42">
        <f>(INT($E$25*5/$D176)-INT($E$25*(5-1)/$D176))*$C176/1000</f>
        <v>65.76313999999999</v>
      </c>
      <c r="J176" s="42">
        <f>(INT($E$25*6/$D176)-INT($E$25*(6-1)/$D176))*$C176/1000</f>
        <v>0.0</v>
      </c>
      <c r="K176" s="42">
        <f>(INT($E$25*7/$D176)-INT($E$25*(7-1)/$D176))*$C176/1000</f>
        <v>65.76313999999999</v>
      </c>
      <c r="L176" s="42">
        <f>(INT($E$25*8/$D176)-INT($E$25*(8-1)/$D176))*$C176/1000</f>
        <v>0.0</v>
      </c>
      <c r="M176" s="42">
        <f>(INT($E$25*9/$D176)-INT($E$25*(9-1)/$D176))*$C176/1000</f>
        <v>65.76313999999999</v>
      </c>
      <c r="N176" s="42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44" t="n">
        <v>229791.16</v>
      </c>
      <c r="D177" s="43" t="n">
        <v>22000</v>
      </c>
      <c r="E177" s="42">
        <f>(INT($E$25*1/$D177)-INT($E$25*(1-1)/$D177))*$C177/1000</f>
        <v>0.0</v>
      </c>
      <c r="F177" s="42">
        <f>(INT($E$25*2/$D177)-INT($E$25*(2-1)/$D177))*$C177/1000</f>
        <v>0.0</v>
      </c>
      <c r="G177" s="42">
        <f>(INT($E$25*3/$D177)-INT($E$25*(3-1)/$D177))*$C177/1000</f>
        <v>0.0</v>
      </c>
      <c r="H177" s="42">
        <f>(INT($E$25*4/$D177)-INT($E$25*(4-1)/$D177))*$C177/1000</f>
        <v>229.79116</v>
      </c>
      <c r="I177" s="42">
        <f>(INT($E$25*5/$D177)-INT($E$25*(5-1)/$D177))*$C177/1000</f>
        <v>0.0</v>
      </c>
      <c r="J177" s="42">
        <f>(INT($E$25*6/$D177)-INT($E$25*(6-1)/$D177))*$C177/1000</f>
        <v>0.0</v>
      </c>
      <c r="K177" s="42">
        <f>(INT($E$25*7/$D177)-INT($E$25*(7-1)/$D177))*$C177/1000</f>
        <v>229.79116</v>
      </c>
      <c r="L177" s="42">
        <f>(INT($E$25*8/$D177)-INT($E$25*(8-1)/$D177))*$C177/1000</f>
        <v>0.0</v>
      </c>
      <c r="M177" s="42">
        <f>(INT($E$25*9/$D177)-INT($E$25*(9-1)/$D177))*$C177/1000</f>
        <v>0.0</v>
      </c>
      <c r="N177" s="42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44" t="n">
        <v>1056.97</v>
      </c>
      <c r="D178" s="43" t="n">
        <v>6000</v>
      </c>
      <c r="E178" s="42">
        <f>(INT($E$25*1/$D178)-INT($E$25*(1-1)/$D178))*$C178/1000</f>
        <v>1.05697</v>
      </c>
      <c r="F178" s="42">
        <f>(INT($E$25*2/$D178)-INT($E$25*(2-1)/$D178))*$C178/1000</f>
        <v>1.05697</v>
      </c>
      <c r="G178" s="42">
        <f>(INT($E$25*3/$D178)-INT($E$25*(3-1)/$D178))*$C178/1000</f>
        <v>1.05697</v>
      </c>
      <c r="H178" s="42">
        <f>(INT($E$25*4/$D178)-INT($E$25*(4-1)/$D178))*$C178/1000</f>
        <v>1.05697</v>
      </c>
      <c r="I178" s="42">
        <f>(INT($E$25*5/$D178)-INT($E$25*(5-1)/$D178))*$C178/1000</f>
        <v>1.05697</v>
      </c>
      <c r="J178" s="42">
        <f>(INT($E$25*6/$D178)-INT($E$25*(6-1)/$D178))*$C178/1000</f>
        <v>2.11394</v>
      </c>
      <c r="K178" s="42">
        <f>(INT($E$25*7/$D178)-INT($E$25*(7-1)/$D178))*$C178/1000</f>
        <v>1.05697</v>
      </c>
      <c r="L178" s="42">
        <f>(INT($E$25*8/$D178)-INT($E$25*(8-1)/$D178))*$C178/1000</f>
        <v>1.05697</v>
      </c>
      <c r="M178" s="42">
        <f>(INT($E$25*9/$D178)-INT($E$25*(9-1)/$D178))*$C178/1000</f>
        <v>1.05697</v>
      </c>
      <c r="N178" s="42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44" t="n">
        <v>86.47</v>
      </c>
      <c r="D179" s="43" t="n">
        <v>6000</v>
      </c>
      <c r="E179" s="42">
        <f>(INT($E$25*1/$D179)-INT($E$25*(1-1)/$D179))*$C179/1000</f>
        <v>0.08647</v>
      </c>
      <c r="F179" s="42">
        <f>(INT($E$25*2/$D179)-INT($E$25*(2-1)/$D179))*$C179/1000</f>
        <v>0.08647</v>
      </c>
      <c r="G179" s="42">
        <f>(INT($E$25*3/$D179)-INT($E$25*(3-1)/$D179))*$C179/1000</f>
        <v>0.08647</v>
      </c>
      <c r="H179" s="42">
        <f>(INT($E$25*4/$D179)-INT($E$25*(4-1)/$D179))*$C179/1000</f>
        <v>0.08647</v>
      </c>
      <c r="I179" s="42">
        <f>(INT($E$25*5/$D179)-INT($E$25*(5-1)/$D179))*$C179/1000</f>
        <v>0.08647</v>
      </c>
      <c r="J179" s="42">
        <f>(INT($E$25*6/$D179)-INT($E$25*(6-1)/$D179))*$C179/1000</f>
        <v>0.17294</v>
      </c>
      <c r="K179" s="42">
        <f>(INT($E$25*7/$D179)-INT($E$25*(7-1)/$D179))*$C179/1000</f>
        <v>0.08647</v>
      </c>
      <c r="L179" s="42">
        <f>(INT($E$25*8/$D179)-INT($E$25*(8-1)/$D179))*$C179/1000</f>
        <v>0.08647</v>
      </c>
      <c r="M179" s="42">
        <f>(INT($E$25*9/$D179)-INT($E$25*(9-1)/$D179))*$C179/1000</f>
        <v>0.08647</v>
      </c>
      <c r="N179" s="42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44" t="n">
        <v>528.48</v>
      </c>
      <c r="D180" s="43" t="n">
        <v>6000</v>
      </c>
      <c r="E180" s="42">
        <f>(INT($E$25*1/$D180)-INT($E$25*(1-1)/$D180))*$C180/1000</f>
        <v>0.5284800000000001</v>
      </c>
      <c r="F180" s="42">
        <f>(INT($E$25*2/$D180)-INT($E$25*(2-1)/$D180))*$C180/1000</f>
        <v>0.5284800000000001</v>
      </c>
      <c r="G180" s="42">
        <f>(INT($E$25*3/$D180)-INT($E$25*(3-1)/$D180))*$C180/1000</f>
        <v>0.5284800000000001</v>
      </c>
      <c r="H180" s="42">
        <f>(INT($E$25*4/$D180)-INT($E$25*(4-1)/$D180))*$C180/1000</f>
        <v>0.5284800000000001</v>
      </c>
      <c r="I180" s="42">
        <f>(INT($E$25*5/$D180)-INT($E$25*(5-1)/$D180))*$C180/1000</f>
        <v>0.5284800000000001</v>
      </c>
      <c r="J180" s="42">
        <f>(INT($E$25*6/$D180)-INT($E$25*(6-1)/$D180))*$C180/1000</f>
        <v>1.0569600000000001</v>
      </c>
      <c r="K180" s="42">
        <f>(INT($E$25*7/$D180)-INT($E$25*(7-1)/$D180))*$C180/1000</f>
        <v>0.5284800000000001</v>
      </c>
      <c r="L180" s="42">
        <f>(INT($E$25*8/$D180)-INT($E$25*(8-1)/$D180))*$C180/1000</f>
        <v>0.5284800000000001</v>
      </c>
      <c r="M180" s="42">
        <f>(INT($E$25*9/$D180)-INT($E$25*(9-1)/$D180))*$C180/1000</f>
        <v>0.5284800000000001</v>
      </c>
      <c r="N180" s="42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44" t="n">
        <v>102.84</v>
      </c>
      <c r="D181" s="43" t="n">
        <v>6000</v>
      </c>
      <c r="E181" s="42">
        <f>(INT($E$25*1/$D181)-INT($E$25*(1-1)/$D181))*$C181/1000</f>
        <v>0.10284</v>
      </c>
      <c r="F181" s="42">
        <f>(INT($E$25*2/$D181)-INT($E$25*(2-1)/$D181))*$C181/1000</f>
        <v>0.10284</v>
      </c>
      <c r="G181" s="42">
        <f>(INT($E$25*3/$D181)-INT($E$25*(3-1)/$D181))*$C181/1000</f>
        <v>0.10284</v>
      </c>
      <c r="H181" s="42">
        <f>(INT($E$25*4/$D181)-INT($E$25*(4-1)/$D181))*$C181/1000</f>
        <v>0.10284</v>
      </c>
      <c r="I181" s="42">
        <f>(INT($E$25*5/$D181)-INT($E$25*(5-1)/$D181))*$C181/1000</f>
        <v>0.10284</v>
      </c>
      <c r="J181" s="42">
        <f>(INT($E$25*6/$D181)-INT($E$25*(6-1)/$D181))*$C181/1000</f>
        <v>0.20568</v>
      </c>
      <c r="K181" s="42">
        <f>(INT($E$25*7/$D181)-INT($E$25*(7-1)/$D181))*$C181/1000</f>
        <v>0.10284</v>
      </c>
      <c r="L181" s="42">
        <f>(INT($E$25*8/$D181)-INT($E$25*(8-1)/$D181))*$C181/1000</f>
        <v>0.10284</v>
      </c>
      <c r="M181" s="42">
        <f>(INT($E$25*9/$D181)-INT($E$25*(9-1)/$D181))*$C181/1000</f>
        <v>0.10284</v>
      </c>
      <c r="N181" s="42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44" t="n">
        <v>9255.559999999999</v>
      </c>
      <c r="D182" s="43" t="n">
        <v>12000</v>
      </c>
      <c r="E182" s="42">
        <f>(INT($E$25*1/$D182)-INT($E$25*(1-1)/$D182))*$C182/1000</f>
        <v>0.0</v>
      </c>
      <c r="F182" s="42">
        <f>(INT($E$25*2/$D182)-INT($E$25*(2-1)/$D182))*$C182/1000</f>
        <v>9.25556</v>
      </c>
      <c r="G182" s="42">
        <f>(INT($E$25*3/$D182)-INT($E$25*(3-1)/$D182))*$C182/1000</f>
        <v>0.0</v>
      </c>
      <c r="H182" s="42">
        <f>(INT($E$25*4/$D182)-INT($E$25*(4-1)/$D182))*$C182/1000</f>
        <v>9.25556</v>
      </c>
      <c r="I182" s="42">
        <f>(INT($E$25*5/$D182)-INT($E$25*(5-1)/$D182))*$C182/1000</f>
        <v>0.0</v>
      </c>
      <c r="J182" s="42">
        <f>(INT($E$25*6/$D182)-INT($E$25*(6-1)/$D182))*$C182/1000</f>
        <v>9.25556</v>
      </c>
      <c r="K182" s="42">
        <f>(INT($E$25*7/$D182)-INT($E$25*(7-1)/$D182))*$C182/1000</f>
        <v>9.25556</v>
      </c>
      <c r="L182" s="42">
        <f>(INT($E$25*8/$D182)-INT($E$25*(8-1)/$D182))*$C182/1000</f>
        <v>0.0</v>
      </c>
      <c r="M182" s="42">
        <f>(INT($E$25*9/$D182)-INT($E$25*(9-1)/$D182))*$C182/1000</f>
        <v>9.25556</v>
      </c>
      <c r="N182" s="42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44" t="n">
        <v>5299.62</v>
      </c>
      <c r="D183" s="43" t="n">
        <v>15000</v>
      </c>
      <c r="E183" s="42">
        <f>(INT($E$25*1/$D183)-INT($E$25*(1-1)/$D183))*$C183/1000</f>
        <v>0.0</v>
      </c>
      <c r="F183" s="42">
        <f>(INT($E$25*2/$D183)-INT($E$25*(2-1)/$D183))*$C183/1000</f>
        <v>0.0</v>
      </c>
      <c r="G183" s="42">
        <f>(INT($E$25*3/$D183)-INT($E$25*(3-1)/$D183))*$C183/1000</f>
        <v>5.29962</v>
      </c>
      <c r="H183" s="42">
        <f>(INT($E$25*4/$D183)-INT($E$25*(4-1)/$D183))*$C183/1000</f>
        <v>0.0</v>
      </c>
      <c r="I183" s="42">
        <f>(INT($E$25*5/$D183)-INT($E$25*(5-1)/$D183))*$C183/1000</f>
        <v>5.29962</v>
      </c>
      <c r="J183" s="42">
        <f>(INT($E$25*6/$D183)-INT($E$25*(6-1)/$D183))*$C183/1000</f>
        <v>0.0</v>
      </c>
      <c r="K183" s="42">
        <f>(INT($E$25*7/$D183)-INT($E$25*(7-1)/$D183))*$C183/1000</f>
        <v>5.29962</v>
      </c>
      <c r="L183" s="42">
        <f>(INT($E$25*8/$D183)-INT($E$25*(8-1)/$D183))*$C183/1000</f>
        <v>0.0</v>
      </c>
      <c r="M183" s="42">
        <f>(INT($E$25*9/$D183)-INT($E$25*(9-1)/$D183))*$C183/1000</f>
        <v>5.29962</v>
      </c>
      <c r="N183" s="42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44" t="n">
        <v>2066.45</v>
      </c>
      <c r="D184" s="43" t="n">
        <v>12000</v>
      </c>
      <c r="E184" s="42">
        <f>(INT($E$25*1/$D184)-INT($E$25*(1-1)/$D184))*$C184/1000</f>
        <v>0.0</v>
      </c>
      <c r="F184" s="42">
        <f>(INT($E$25*2/$D184)-INT($E$25*(2-1)/$D184))*$C184/1000</f>
        <v>2.0664499999999997</v>
      </c>
      <c r="G184" s="42">
        <f>(INT($E$25*3/$D184)-INT($E$25*(3-1)/$D184))*$C184/1000</f>
        <v>0.0</v>
      </c>
      <c r="H184" s="42">
        <f>(INT($E$25*4/$D184)-INT($E$25*(4-1)/$D184))*$C184/1000</f>
        <v>2.0664499999999997</v>
      </c>
      <c r="I184" s="42">
        <f>(INT($E$25*5/$D184)-INT($E$25*(5-1)/$D184))*$C184/1000</f>
        <v>0.0</v>
      </c>
      <c r="J184" s="42">
        <f>(INT($E$25*6/$D184)-INT($E$25*(6-1)/$D184))*$C184/1000</f>
        <v>2.0664499999999997</v>
      </c>
      <c r="K184" s="42">
        <f>(INT($E$25*7/$D184)-INT($E$25*(7-1)/$D184))*$C184/1000</f>
        <v>2.0664499999999997</v>
      </c>
      <c r="L184" s="42">
        <f>(INT($E$25*8/$D184)-INT($E$25*(8-1)/$D184))*$C184/1000</f>
        <v>0.0</v>
      </c>
      <c r="M184" s="42">
        <f>(INT($E$25*9/$D184)-INT($E$25*(9-1)/$D184))*$C184/1000</f>
        <v>2.0664499999999997</v>
      </c>
      <c r="N184" s="42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44" t="n">
        <v>2940.89</v>
      </c>
      <c r="D185" s="43" t="n">
        <v>8000</v>
      </c>
      <c r="E185" s="42">
        <f>(INT($E$25*1/$D185)-INT($E$25*(1-1)/$D185))*$C185/1000</f>
        <v>0.0</v>
      </c>
      <c r="F185" s="42">
        <f>(INT($E$25*2/$D185)-INT($E$25*(2-1)/$D185))*$C185/1000</f>
        <v>2.94089</v>
      </c>
      <c r="G185" s="42">
        <f>(INT($E$25*3/$D185)-INT($E$25*(3-1)/$D185))*$C185/1000</f>
        <v>2.94089</v>
      </c>
      <c r="H185" s="42">
        <f>(INT($E$25*4/$D185)-INT($E$25*(4-1)/$D185))*$C185/1000</f>
        <v>2.94089</v>
      </c>
      <c r="I185" s="42">
        <f>(INT($E$25*5/$D185)-INT($E$25*(5-1)/$D185))*$C185/1000</f>
        <v>2.94089</v>
      </c>
      <c r="J185" s="42">
        <f>(INT($E$25*6/$D185)-INT($E$25*(6-1)/$D185))*$C185/1000</f>
        <v>2.94089</v>
      </c>
      <c r="K185" s="42">
        <f>(INT($E$25*7/$D185)-INT($E$25*(7-1)/$D185))*$C185/1000</f>
        <v>2.94089</v>
      </c>
      <c r="L185" s="42">
        <f>(INT($E$25*8/$D185)-INT($E$25*(8-1)/$D185))*$C185/1000</f>
        <v>2.94089</v>
      </c>
      <c r="M185" s="42">
        <f>(INT($E$25*9/$D185)-INT($E$25*(9-1)/$D185))*$C185/1000</f>
        <v>0.0</v>
      </c>
      <c r="N185" s="42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44" t="n">
        <v>3810.03</v>
      </c>
      <c r="D186" s="43" t="n">
        <v>15000</v>
      </c>
      <c r="E186" s="42">
        <f>(INT($E$25*1/$D186)-INT($E$25*(1-1)/$D186))*$C186/1000</f>
        <v>0.0</v>
      </c>
      <c r="F186" s="42">
        <f>(INT($E$25*2/$D186)-INT($E$25*(2-1)/$D186))*$C186/1000</f>
        <v>0.0</v>
      </c>
      <c r="G186" s="42">
        <f>(INT($E$25*3/$D186)-INT($E$25*(3-1)/$D186))*$C186/1000</f>
        <v>3.8100300000000002</v>
      </c>
      <c r="H186" s="42">
        <f>(INT($E$25*4/$D186)-INT($E$25*(4-1)/$D186))*$C186/1000</f>
        <v>0.0</v>
      </c>
      <c r="I186" s="42">
        <f>(INT($E$25*5/$D186)-INT($E$25*(5-1)/$D186))*$C186/1000</f>
        <v>3.8100300000000002</v>
      </c>
      <c r="J186" s="42">
        <f>(INT($E$25*6/$D186)-INT($E$25*(6-1)/$D186))*$C186/1000</f>
        <v>0.0</v>
      </c>
      <c r="K186" s="42">
        <f>(INT($E$25*7/$D186)-INT($E$25*(7-1)/$D186))*$C186/1000</f>
        <v>3.8100300000000002</v>
      </c>
      <c r="L186" s="42">
        <f>(INT($E$25*8/$D186)-INT($E$25*(8-1)/$D186))*$C186/1000</f>
        <v>0.0</v>
      </c>
      <c r="M186" s="42">
        <f>(INT($E$25*9/$D186)-INT($E$25*(9-1)/$D186))*$C186/1000</f>
        <v>3.8100300000000002</v>
      </c>
      <c r="N186" s="42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44" t="n">
        <v>1497.69</v>
      </c>
      <c r="D187" s="43" t="n">
        <v>15000</v>
      </c>
      <c r="E187" s="42">
        <f>(INT($E$25*1/$D187)-INT($E$25*(1-1)/$D187))*$C187/1000</f>
        <v>0.0</v>
      </c>
      <c r="F187" s="42">
        <f>(INT($E$25*2/$D187)-INT($E$25*(2-1)/$D187))*$C187/1000</f>
        <v>0.0</v>
      </c>
      <c r="G187" s="42">
        <f>(INT($E$25*3/$D187)-INT($E$25*(3-1)/$D187))*$C187/1000</f>
        <v>1.49769</v>
      </c>
      <c r="H187" s="42">
        <f>(INT($E$25*4/$D187)-INT($E$25*(4-1)/$D187))*$C187/1000</f>
        <v>0.0</v>
      </c>
      <c r="I187" s="42">
        <f>(INT($E$25*5/$D187)-INT($E$25*(5-1)/$D187))*$C187/1000</f>
        <v>1.49769</v>
      </c>
      <c r="J187" s="42">
        <f>(INT($E$25*6/$D187)-INT($E$25*(6-1)/$D187))*$C187/1000</f>
        <v>0.0</v>
      </c>
      <c r="K187" s="42">
        <f>(INT($E$25*7/$D187)-INT($E$25*(7-1)/$D187))*$C187/1000</f>
        <v>1.49769</v>
      </c>
      <c r="L187" s="42">
        <f>(INT($E$25*8/$D187)-INT($E$25*(8-1)/$D187))*$C187/1000</f>
        <v>0.0</v>
      </c>
      <c r="M187" s="42">
        <f>(INT($E$25*9/$D187)-INT($E$25*(9-1)/$D187))*$C187/1000</f>
        <v>1.49769</v>
      </c>
      <c r="N187" s="42">
        <f>(INT($E$25*10/$D187)-INT($E$25*(10-1)/$D187))*$C187/1000</f>
        <v>0.0</v>
      </c>
    </row>
    <row r="188">
      <c r="B188" s="45" t="inlineStr">
        <is>
          <t>ИТОГО</t>
        </is>
      </c>
      <c r="E188" s="42">
        <f>SUM(E129:E187)</f>
        <v>7.382379999999999</v>
      </c>
      <c r="F188" s="42">
        <f>SUM(F129:F187)</f>
        <v>204.26495</v>
      </c>
      <c r="G188" s="42">
        <f>SUM(G129:G187)</f>
        <v>438.81584</v>
      </c>
      <c r="H188" s="42">
        <f>SUM(H129:H187)</f>
        <v>434.86339000000004</v>
      </c>
      <c r="I188" s="42">
        <f>SUM(I129:I187)</f>
        <v>610.36746</v>
      </c>
      <c r="J188" s="42">
        <f>SUM(J129:J187)</f>
        <v>366.36175000000003</v>
      </c>
      <c r="K188" s="42">
        <f>SUM(K129:K187)</f>
        <v>590.25823</v>
      </c>
      <c r="L188" s="42">
        <f>SUM(L129:L187)</f>
        <v>224.66392</v>
      </c>
      <c r="M188" s="42">
        <f>SUM(M129:M187)</f>
        <v>774.55654</v>
      </c>
      <c r="N188" s="42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44" t="n">
        <v>8</v>
      </c>
      <c r="D192" s="43" t="n">
        <v>12000</v>
      </c>
      <c r="E192" s="42">
        <f>(INT($E$25*1/$D192)-INT($E$25*(1-1)/$D192))*$C192</f>
        <v>0.0</v>
      </c>
      <c r="F192" s="42">
        <f>(INT($E$25*2/$D192)-INT($E$25*(2-1)/$D192))*$C192</f>
        <v>8.0</v>
      </c>
      <c r="G192" s="42">
        <f>(INT($E$25*3/$D192)-INT($E$25*(3-1)/$D192))*$C192</f>
        <v>0.0</v>
      </c>
      <c r="H192" s="42">
        <f>(INT($E$25*4/$D192)-INT($E$25*(4-1)/$D192))*$C192</f>
        <v>8.0</v>
      </c>
      <c r="I192" s="42">
        <f>(INT($E$25*5/$D192)-INT($E$25*(5-1)/$D192))*$C192</f>
        <v>0.0</v>
      </c>
      <c r="J192" s="42">
        <f>(INT($E$25*6/$D192)-INT($E$25*(6-1)/$D192))*$C192</f>
        <v>8.0</v>
      </c>
      <c r="K192" s="42">
        <f>(INT($E$25*7/$D192)-INT($E$25*(7-1)/$D192))*$C192</f>
        <v>8.0</v>
      </c>
      <c r="L192" s="42">
        <f>(INT($E$25*8/$D192)-INT($E$25*(8-1)/$D192))*$C192</f>
        <v>0.0</v>
      </c>
      <c r="M192" s="42">
        <f>(INT($E$25*9/$D192)-INT($E$25*(9-1)/$D192))*$C192</f>
        <v>8.0</v>
      </c>
      <c r="N192" s="42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44" t="n">
        <v>10</v>
      </c>
      <c r="D193" s="43" t="n">
        <v>11000</v>
      </c>
      <c r="E193" s="42">
        <f>(INT($E$25*1/$D193)-INT($E$25*(1-1)/$D193))*$C193</f>
        <v>0.0</v>
      </c>
      <c r="F193" s="42">
        <f>(INT($E$25*2/$D193)-INT($E$25*(2-1)/$D193))*$C193</f>
        <v>10.0</v>
      </c>
      <c r="G193" s="42">
        <f>(INT($E$25*3/$D193)-INT($E$25*(3-1)/$D193))*$C193</f>
        <v>0.0</v>
      </c>
      <c r="H193" s="42">
        <f>(INT($E$25*4/$D193)-INT($E$25*(4-1)/$D193))*$C193</f>
        <v>10.0</v>
      </c>
      <c r="I193" s="42">
        <f>(INT($E$25*5/$D193)-INT($E$25*(5-1)/$D193))*$C193</f>
        <v>10.0</v>
      </c>
      <c r="J193" s="42">
        <f>(INT($E$25*6/$D193)-INT($E$25*(6-1)/$D193))*$C193</f>
        <v>0.0</v>
      </c>
      <c r="K193" s="42">
        <f>(INT($E$25*7/$D193)-INT($E$25*(7-1)/$D193))*$C193</f>
        <v>10.0</v>
      </c>
      <c r="L193" s="42">
        <f>(INT($E$25*8/$D193)-INT($E$25*(8-1)/$D193))*$C193</f>
        <v>10.0</v>
      </c>
      <c r="M193" s="42">
        <f>(INT($E$25*9/$D193)-INT($E$25*(9-1)/$D193))*$C193</f>
        <v>0.0</v>
      </c>
      <c r="N193" s="42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44" t="n">
        <v>2</v>
      </c>
      <c r="D194" s="43" t="n">
        <v>12000</v>
      </c>
      <c r="E194" s="42">
        <f>(INT($E$25*1/$D194)-INT($E$25*(1-1)/$D194))*$C194</f>
        <v>0.0</v>
      </c>
      <c r="F194" s="42">
        <f>(INT($E$25*2/$D194)-INT($E$25*(2-1)/$D194))*$C194</f>
        <v>2.0</v>
      </c>
      <c r="G194" s="42">
        <f>(INT($E$25*3/$D194)-INT($E$25*(3-1)/$D194))*$C194</f>
        <v>0.0</v>
      </c>
      <c r="H194" s="42">
        <f>(INT($E$25*4/$D194)-INT($E$25*(4-1)/$D194))*$C194</f>
        <v>2.0</v>
      </c>
      <c r="I194" s="42">
        <f>(INT($E$25*5/$D194)-INT($E$25*(5-1)/$D194))*$C194</f>
        <v>0.0</v>
      </c>
      <c r="J194" s="42">
        <f>(INT($E$25*6/$D194)-INT($E$25*(6-1)/$D194))*$C194</f>
        <v>2.0</v>
      </c>
      <c r="K194" s="42">
        <f>(INT($E$25*7/$D194)-INT($E$25*(7-1)/$D194))*$C194</f>
        <v>2.0</v>
      </c>
      <c r="L194" s="42">
        <f>(INT($E$25*8/$D194)-INT($E$25*(8-1)/$D194))*$C194</f>
        <v>0.0</v>
      </c>
      <c r="M194" s="42">
        <f>(INT($E$25*9/$D194)-INT($E$25*(9-1)/$D194))*$C194</f>
        <v>2.0</v>
      </c>
      <c r="N194" s="42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44" t="n">
        <v>3.5</v>
      </c>
      <c r="D195" s="43" t="n">
        <v>8000</v>
      </c>
      <c r="E195" s="42">
        <f>(INT($E$25*1/$D195)-INT($E$25*(1-1)/$D195))*$C195</f>
        <v>0.0</v>
      </c>
      <c r="F195" s="42">
        <f>(INT($E$25*2/$D195)-INT($E$25*(2-1)/$D195))*$C195</f>
        <v>3.5</v>
      </c>
      <c r="G195" s="42">
        <f>(INT($E$25*3/$D195)-INT($E$25*(3-1)/$D195))*$C195</f>
        <v>3.5</v>
      </c>
      <c r="H195" s="42">
        <f>(INT($E$25*4/$D195)-INT($E$25*(4-1)/$D195))*$C195</f>
        <v>3.5</v>
      </c>
      <c r="I195" s="42">
        <f>(INT($E$25*5/$D195)-INT($E$25*(5-1)/$D195))*$C195</f>
        <v>3.5</v>
      </c>
      <c r="J195" s="42">
        <f>(INT($E$25*6/$D195)-INT($E$25*(6-1)/$D195))*$C195</f>
        <v>3.5</v>
      </c>
      <c r="K195" s="42">
        <f>(INT($E$25*7/$D195)-INT($E$25*(7-1)/$D195))*$C195</f>
        <v>3.5</v>
      </c>
      <c r="L195" s="42">
        <f>(INT($E$25*8/$D195)-INT($E$25*(8-1)/$D195))*$C195</f>
        <v>3.5</v>
      </c>
      <c r="M195" s="42">
        <f>(INT($E$25*9/$D195)-INT($E$25*(9-1)/$D195))*$C195</f>
        <v>0.0</v>
      </c>
      <c r="N195" s="42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44" t="n">
        <v>2.3</v>
      </c>
      <c r="D196" s="43" t="n">
        <v>25000</v>
      </c>
      <c r="E196" s="42">
        <f>(INT($E$25*1/$D196)-INT($E$25*(1-1)/$D196))*$C196</f>
        <v>0.0</v>
      </c>
      <c r="F196" s="42">
        <f>(INT($E$25*2/$D196)-INT($E$25*(2-1)/$D196))*$C196</f>
        <v>0.0</v>
      </c>
      <c r="G196" s="42">
        <f>(INT($E$25*3/$D196)-INT($E$25*(3-1)/$D196))*$C196</f>
        <v>0.0</v>
      </c>
      <c r="H196" s="42">
        <f>(INT($E$25*4/$D196)-INT($E$25*(4-1)/$D196))*$C196</f>
        <v>2.3</v>
      </c>
      <c r="I196" s="42">
        <f>(INT($E$25*5/$D196)-INT($E$25*(5-1)/$D196))*$C196</f>
        <v>0.0</v>
      </c>
      <c r="J196" s="42">
        <f>(INT($E$25*6/$D196)-INT($E$25*(6-1)/$D196))*$C196</f>
        <v>0.0</v>
      </c>
      <c r="K196" s="42">
        <f>(INT($E$25*7/$D196)-INT($E$25*(7-1)/$D196))*$C196</f>
        <v>0.0</v>
      </c>
      <c r="L196" s="42">
        <f>(INT($E$25*8/$D196)-INT($E$25*(8-1)/$D196))*$C196</f>
        <v>2.3</v>
      </c>
      <c r="M196" s="42">
        <f>(INT($E$25*9/$D196)-INT($E$25*(9-1)/$D196))*$C196</f>
        <v>0.0</v>
      </c>
      <c r="N196" s="42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44" t="n">
        <v>1.9</v>
      </c>
      <c r="D197" s="43" t="n">
        <v>22000</v>
      </c>
      <c r="E197" s="42">
        <f>(INT($E$25*1/$D197)-INT($E$25*(1-1)/$D197))*$C197</f>
        <v>0.0</v>
      </c>
      <c r="F197" s="42">
        <f>(INT($E$25*2/$D197)-INT($E$25*(2-1)/$D197))*$C197</f>
        <v>0.0</v>
      </c>
      <c r="G197" s="42">
        <f>(INT($E$25*3/$D197)-INT($E$25*(3-1)/$D197))*$C197</f>
        <v>0.0</v>
      </c>
      <c r="H197" s="42">
        <f>(INT($E$25*4/$D197)-INT($E$25*(4-1)/$D197))*$C197</f>
        <v>1.9</v>
      </c>
      <c r="I197" s="42">
        <f>(INT($E$25*5/$D197)-INT($E$25*(5-1)/$D197))*$C197</f>
        <v>0.0</v>
      </c>
      <c r="J197" s="42">
        <f>(INT($E$25*6/$D197)-INT($E$25*(6-1)/$D197))*$C197</f>
        <v>0.0</v>
      </c>
      <c r="K197" s="42">
        <f>(INT($E$25*7/$D197)-INT($E$25*(7-1)/$D197))*$C197</f>
        <v>1.9</v>
      </c>
      <c r="L197" s="42">
        <f>(INT($E$25*8/$D197)-INT($E$25*(8-1)/$D197))*$C197</f>
        <v>0.0</v>
      </c>
      <c r="M197" s="42">
        <f>(INT($E$25*9/$D197)-INT($E$25*(9-1)/$D197))*$C197</f>
        <v>0.0</v>
      </c>
      <c r="N197" s="42">
        <f>(INT($E$25*10/$D197)-INT($E$25*(10-1)/$D197))*$C197</f>
        <v>1.9</v>
      </c>
    </row>
    <row r="198">
      <c r="B198" s="22" t="inlineStr">
        <is>
          <t>VALVE,REGEN-HP (клапан)</t>
        </is>
      </c>
      <c r="C198" s="44" t="n">
        <v>1.5</v>
      </c>
      <c r="D198" s="43" t="n">
        <v>15000</v>
      </c>
      <c r="E198" s="42">
        <f>(INT($E$25*1/$D198)-INT($E$25*(1-1)/$D198))*$C198</f>
        <v>0.0</v>
      </c>
      <c r="F198" s="42">
        <f>(INT($E$25*2/$D198)-INT($E$25*(2-1)/$D198))*$C198</f>
        <v>0.0</v>
      </c>
      <c r="G198" s="42">
        <f>(INT($E$25*3/$D198)-INT($E$25*(3-1)/$D198))*$C198</f>
        <v>1.5</v>
      </c>
      <c r="H198" s="42">
        <f>(INT($E$25*4/$D198)-INT($E$25*(4-1)/$D198))*$C198</f>
        <v>0.0</v>
      </c>
      <c r="I198" s="42">
        <f>(INT($E$25*5/$D198)-INT($E$25*(5-1)/$D198))*$C198</f>
        <v>1.5</v>
      </c>
      <c r="J198" s="42">
        <f>(INT($E$25*6/$D198)-INT($E$25*(6-1)/$D198))*$C198</f>
        <v>0.0</v>
      </c>
      <c r="K198" s="42">
        <f>(INT($E$25*7/$D198)-INT($E$25*(7-1)/$D198))*$C198</f>
        <v>1.5</v>
      </c>
      <c r="L198" s="42">
        <f>(INT($E$25*8/$D198)-INT($E$25*(8-1)/$D198))*$C198</f>
        <v>0.0</v>
      </c>
      <c r="M198" s="42">
        <f>(INT($E$25*9/$D198)-INT($E$25*(9-1)/$D198))*$C198</f>
        <v>1.5</v>
      </c>
      <c r="N198" s="42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44" t="n">
        <v>10</v>
      </c>
      <c r="D199" s="43" t="n">
        <v>12500</v>
      </c>
      <c r="E199" s="42">
        <f>(INT($E$25*1/$D199)-INT($E$25*(1-1)/$D199))*$C199</f>
        <v>0.0</v>
      </c>
      <c r="F199" s="42">
        <f>(INT($E$25*2/$D199)-INT($E$25*(2-1)/$D199))*$C199</f>
        <v>10.0</v>
      </c>
      <c r="G199" s="42">
        <f>(INT($E$25*3/$D199)-INT($E$25*(3-1)/$D199))*$C199</f>
        <v>0.0</v>
      </c>
      <c r="H199" s="42">
        <f>(INT($E$25*4/$D199)-INT($E$25*(4-1)/$D199))*$C199</f>
        <v>10.0</v>
      </c>
      <c r="I199" s="42">
        <f>(INT($E$25*5/$D199)-INT($E$25*(5-1)/$D199))*$C199</f>
        <v>0.0</v>
      </c>
      <c r="J199" s="42">
        <f>(INT($E$25*6/$D199)-INT($E$25*(6-1)/$D199))*$C199</f>
        <v>10.0</v>
      </c>
      <c r="K199" s="42">
        <f>(INT($E$25*7/$D199)-INT($E$25*(7-1)/$D199))*$C199</f>
        <v>0.0</v>
      </c>
      <c r="L199" s="42">
        <f>(INT($E$25*8/$D199)-INT($E$25*(8-1)/$D199))*$C199</f>
        <v>10.0</v>
      </c>
      <c r="M199" s="42">
        <f>(INT($E$25*9/$D199)-INT($E$25*(9-1)/$D199))*$C199</f>
        <v>10.0</v>
      </c>
      <c r="N199" s="42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44" t="n">
        <v>0.8</v>
      </c>
      <c r="D200" s="43" t="n">
        <v>18000</v>
      </c>
      <c r="E200" s="42">
        <f>(INT($E$25*1/$D200)-INT($E$25*(1-1)/$D200))*$C200</f>
        <v>0.0</v>
      </c>
      <c r="F200" s="42">
        <f>(INT($E$25*2/$D200)-INT($E$25*(2-1)/$D200))*$C200</f>
        <v>0.0</v>
      </c>
      <c r="G200" s="42">
        <f>(INT($E$25*3/$D200)-INT($E$25*(3-1)/$D200))*$C200</f>
        <v>0.8</v>
      </c>
      <c r="H200" s="42">
        <f>(INT($E$25*4/$D200)-INT($E$25*(4-1)/$D200))*$C200</f>
        <v>0.0</v>
      </c>
      <c r="I200" s="42">
        <f>(INT($E$25*5/$D200)-INT($E$25*(5-1)/$D200))*$C200</f>
        <v>0.0</v>
      </c>
      <c r="J200" s="42">
        <f>(INT($E$25*6/$D200)-INT($E$25*(6-1)/$D200))*$C200</f>
        <v>0.8</v>
      </c>
      <c r="K200" s="42">
        <f>(INT($E$25*7/$D200)-INT($E$25*(7-1)/$D200))*$C200</f>
        <v>0.0</v>
      </c>
      <c r="L200" s="42">
        <f>(INT($E$25*8/$D200)-INT($E$25*(8-1)/$D200))*$C200</f>
        <v>0.8</v>
      </c>
      <c r="M200" s="42">
        <f>(INT($E$25*9/$D200)-INT($E$25*(9-1)/$D200))*$C200</f>
        <v>0.0</v>
      </c>
      <c r="N200" s="42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44" t="n">
        <v>5</v>
      </c>
      <c r="D201" s="43" t="n">
        <v>25000</v>
      </c>
      <c r="E201" s="42">
        <f>(INT($E$25*1/$D201)-INT($E$25*(1-1)/$D201))*$C201</f>
        <v>0.0</v>
      </c>
      <c r="F201" s="42">
        <f>(INT($E$25*2/$D201)-INT($E$25*(2-1)/$D201))*$C201</f>
        <v>0.0</v>
      </c>
      <c r="G201" s="42">
        <f>(INT($E$25*3/$D201)-INT($E$25*(3-1)/$D201))*$C201</f>
        <v>0.0</v>
      </c>
      <c r="H201" s="42">
        <f>(INT($E$25*4/$D201)-INT($E$25*(4-1)/$D201))*$C201</f>
        <v>5.0</v>
      </c>
      <c r="I201" s="42">
        <f>(INT($E$25*5/$D201)-INT($E$25*(5-1)/$D201))*$C201</f>
        <v>0.0</v>
      </c>
      <c r="J201" s="42">
        <f>(INT($E$25*6/$D201)-INT($E$25*(6-1)/$D201))*$C201</f>
        <v>0.0</v>
      </c>
      <c r="K201" s="42">
        <f>(INT($E$25*7/$D201)-INT($E$25*(7-1)/$D201))*$C201</f>
        <v>0.0</v>
      </c>
      <c r="L201" s="42">
        <f>(INT($E$25*8/$D201)-INT($E$25*(8-1)/$D201))*$C201</f>
        <v>5.0</v>
      </c>
      <c r="M201" s="42">
        <f>(INT($E$25*9/$D201)-INT($E$25*(9-1)/$D201))*$C201</f>
        <v>0.0</v>
      </c>
      <c r="N201" s="42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44" t="n">
        <v>2</v>
      </c>
      <c r="D202" s="43" t="n">
        <v>15100</v>
      </c>
      <c r="E202" s="42">
        <f>(INT($E$25*1/$D202)-INT($E$25*(1-1)/$D202))*$C202</f>
        <v>0.0</v>
      </c>
      <c r="F202" s="42">
        <f>(INT($E$25*2/$D202)-INT($E$25*(2-1)/$D202))*$C202</f>
        <v>0.0</v>
      </c>
      <c r="G202" s="42">
        <f>(INT($E$25*3/$D202)-INT($E$25*(3-1)/$D202))*$C202</f>
        <v>2.0</v>
      </c>
      <c r="H202" s="42">
        <f>(INT($E$25*4/$D202)-INT($E$25*(4-1)/$D202))*$C202</f>
        <v>0.0</v>
      </c>
      <c r="I202" s="42">
        <f>(INT($E$25*5/$D202)-INT($E$25*(5-1)/$D202))*$C202</f>
        <v>2.0</v>
      </c>
      <c r="J202" s="42">
        <f>(INT($E$25*6/$D202)-INT($E$25*(6-1)/$D202))*$C202</f>
        <v>0.0</v>
      </c>
      <c r="K202" s="42">
        <f>(INT($E$25*7/$D202)-INT($E$25*(7-1)/$D202))*$C202</f>
        <v>2.0</v>
      </c>
      <c r="L202" s="42">
        <f>(INT($E$25*8/$D202)-INT($E$25*(8-1)/$D202))*$C202</f>
        <v>0.0</v>
      </c>
      <c r="M202" s="42">
        <f>(INT($E$25*9/$D202)-INT($E$25*(9-1)/$D202))*$C202</f>
        <v>2.0</v>
      </c>
      <c r="N202" s="42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44" t="n">
        <v>2</v>
      </c>
      <c r="D203" s="43" t="n">
        <v>15100</v>
      </c>
      <c r="E203" s="42">
        <f>(INT($E$25*1/$D203)-INT($E$25*(1-1)/$D203))*$C203</f>
        <v>0.0</v>
      </c>
      <c r="F203" s="42">
        <f>(INT($E$25*2/$D203)-INT($E$25*(2-1)/$D203))*$C203</f>
        <v>0.0</v>
      </c>
      <c r="G203" s="42">
        <f>(INT($E$25*3/$D203)-INT($E$25*(3-1)/$D203))*$C203</f>
        <v>2.0</v>
      </c>
      <c r="H203" s="42">
        <f>(INT($E$25*4/$D203)-INT($E$25*(4-1)/$D203))*$C203</f>
        <v>0.0</v>
      </c>
      <c r="I203" s="42">
        <f>(INT($E$25*5/$D203)-INT($E$25*(5-1)/$D203))*$C203</f>
        <v>2.0</v>
      </c>
      <c r="J203" s="42">
        <f>(INT($E$25*6/$D203)-INT($E$25*(6-1)/$D203))*$C203</f>
        <v>0.0</v>
      </c>
      <c r="K203" s="42">
        <f>(INT($E$25*7/$D203)-INT($E$25*(7-1)/$D203))*$C203</f>
        <v>2.0</v>
      </c>
      <c r="L203" s="42">
        <f>(INT($E$25*8/$D203)-INT($E$25*(8-1)/$D203))*$C203</f>
        <v>0.0</v>
      </c>
      <c r="M203" s="42">
        <f>(INT($E$25*9/$D203)-INT($E$25*(9-1)/$D203))*$C203</f>
        <v>2.0</v>
      </c>
      <c r="N203" s="42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44" t="n">
        <v>3.5</v>
      </c>
      <c r="D204" s="43" t="n">
        <v>10100</v>
      </c>
      <c r="E204" s="42">
        <f>(INT($E$25*1/$D204)-INT($E$25*(1-1)/$D204))*$C204</f>
        <v>0.0</v>
      </c>
      <c r="F204" s="42">
        <f>(INT($E$25*2/$D204)-INT($E$25*(2-1)/$D204))*$C204</f>
        <v>3.5</v>
      </c>
      <c r="G204" s="42">
        <f>(INT($E$25*3/$D204)-INT($E$25*(3-1)/$D204))*$C204</f>
        <v>3.5</v>
      </c>
      <c r="H204" s="42">
        <f>(INT($E$25*4/$D204)-INT($E$25*(4-1)/$D204))*$C204</f>
        <v>0.0</v>
      </c>
      <c r="I204" s="42">
        <f>(INT($E$25*5/$D204)-INT($E$25*(5-1)/$D204))*$C204</f>
        <v>3.5</v>
      </c>
      <c r="J204" s="42">
        <f>(INT($E$25*6/$D204)-INT($E$25*(6-1)/$D204))*$C204</f>
        <v>3.5</v>
      </c>
      <c r="K204" s="42">
        <f>(INT($E$25*7/$D204)-INT($E$25*(7-1)/$D204))*$C204</f>
        <v>0.0</v>
      </c>
      <c r="L204" s="42">
        <f>(INT($E$25*8/$D204)-INT($E$25*(8-1)/$D204))*$C204</f>
        <v>3.5</v>
      </c>
      <c r="M204" s="42">
        <f>(INT($E$25*9/$D204)-INT($E$25*(9-1)/$D204))*$C204</f>
        <v>3.5</v>
      </c>
      <c r="N204" s="42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44" t="n">
        <v>2</v>
      </c>
      <c r="D205" s="43" t="n">
        <v>15000</v>
      </c>
      <c r="E205" s="42">
        <f>(INT($E$25*1/$D205)-INT($E$25*(1-1)/$D205))*$C205</f>
        <v>0.0</v>
      </c>
      <c r="F205" s="42">
        <f>(INT($E$25*2/$D205)-INT($E$25*(2-1)/$D205))*$C205</f>
        <v>0.0</v>
      </c>
      <c r="G205" s="42">
        <f>(INT($E$25*3/$D205)-INT($E$25*(3-1)/$D205))*$C205</f>
        <v>2.0</v>
      </c>
      <c r="H205" s="42">
        <f>(INT($E$25*4/$D205)-INT($E$25*(4-1)/$D205))*$C205</f>
        <v>0.0</v>
      </c>
      <c r="I205" s="42">
        <f>(INT($E$25*5/$D205)-INT($E$25*(5-1)/$D205))*$C205</f>
        <v>2.0</v>
      </c>
      <c r="J205" s="42">
        <f>(INT($E$25*6/$D205)-INT($E$25*(6-1)/$D205))*$C205</f>
        <v>0.0</v>
      </c>
      <c r="K205" s="42">
        <f>(INT($E$25*7/$D205)-INT($E$25*(7-1)/$D205))*$C205</f>
        <v>2.0</v>
      </c>
      <c r="L205" s="42">
        <f>(INT($E$25*8/$D205)-INT($E$25*(8-1)/$D205))*$C205</f>
        <v>0.0</v>
      </c>
      <c r="M205" s="42">
        <f>(INT($E$25*9/$D205)-INT($E$25*(9-1)/$D205))*$C205</f>
        <v>2.0</v>
      </c>
      <c r="N205" s="42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44" t="n">
        <v>2.97</v>
      </c>
      <c r="D206" s="43" t="n">
        <v>15000</v>
      </c>
      <c r="E206" s="42">
        <f>(INT($E$25*1/$D206)-INT($E$25*(1-1)/$D206))*$C206</f>
        <v>0.0</v>
      </c>
      <c r="F206" s="42">
        <f>(INT($E$25*2/$D206)-INT($E$25*(2-1)/$D206))*$C206</f>
        <v>0.0</v>
      </c>
      <c r="G206" s="42">
        <f>(INT($E$25*3/$D206)-INT($E$25*(3-1)/$D206))*$C206</f>
        <v>2.97</v>
      </c>
      <c r="H206" s="42">
        <f>(INT($E$25*4/$D206)-INT($E$25*(4-1)/$D206))*$C206</f>
        <v>0.0</v>
      </c>
      <c r="I206" s="42">
        <f>(INT($E$25*5/$D206)-INT($E$25*(5-1)/$D206))*$C206</f>
        <v>2.97</v>
      </c>
      <c r="J206" s="42">
        <f>(INT($E$25*6/$D206)-INT($E$25*(6-1)/$D206))*$C206</f>
        <v>0.0</v>
      </c>
      <c r="K206" s="42">
        <f>(INT($E$25*7/$D206)-INT($E$25*(7-1)/$D206))*$C206</f>
        <v>2.97</v>
      </c>
      <c r="L206" s="42">
        <f>(INT($E$25*8/$D206)-INT($E$25*(8-1)/$D206))*$C206</f>
        <v>0.0</v>
      </c>
      <c r="M206" s="42">
        <f>(INT($E$25*9/$D206)-INT($E$25*(9-1)/$D206))*$C206</f>
        <v>2.97</v>
      </c>
      <c r="N206" s="42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44" t="n">
        <v>1.5</v>
      </c>
      <c r="D207" s="43" t="n">
        <v>8000</v>
      </c>
      <c r="E207" s="42">
        <f>(INT($E$25*1/$D207)-INT($E$25*(1-1)/$D207))*$C207</f>
        <v>0.0</v>
      </c>
      <c r="F207" s="42">
        <f>(INT($E$25*2/$D207)-INT($E$25*(2-1)/$D207))*$C207</f>
        <v>1.5</v>
      </c>
      <c r="G207" s="42">
        <f>(INT($E$25*3/$D207)-INT($E$25*(3-1)/$D207))*$C207</f>
        <v>1.5</v>
      </c>
      <c r="H207" s="42">
        <f>(INT($E$25*4/$D207)-INT($E$25*(4-1)/$D207))*$C207</f>
        <v>1.5</v>
      </c>
      <c r="I207" s="42">
        <f>(INT($E$25*5/$D207)-INT($E$25*(5-1)/$D207))*$C207</f>
        <v>1.5</v>
      </c>
      <c r="J207" s="42">
        <f>(INT($E$25*6/$D207)-INT($E$25*(6-1)/$D207))*$C207</f>
        <v>1.5</v>
      </c>
      <c r="K207" s="42">
        <f>(INT($E$25*7/$D207)-INT($E$25*(7-1)/$D207))*$C207</f>
        <v>1.5</v>
      </c>
      <c r="L207" s="42">
        <f>(INT($E$25*8/$D207)-INT($E$25*(8-1)/$D207))*$C207</f>
        <v>1.5</v>
      </c>
      <c r="M207" s="42">
        <f>(INT($E$25*9/$D207)-INT($E$25*(9-1)/$D207))*$C207</f>
        <v>0.0</v>
      </c>
      <c r="N207" s="42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44" t="n">
        <v>22.68</v>
      </c>
      <c r="D208" s="43" t="n">
        <v>14900</v>
      </c>
      <c r="E208" s="42">
        <f>(INT($E$25*1/$D208)-INT($E$25*(1-1)/$D208))*$C208</f>
        <v>0.0</v>
      </c>
      <c r="F208" s="42">
        <f>(INT($E$25*2/$D208)-INT($E$25*(2-1)/$D208))*$C208</f>
        <v>0.0</v>
      </c>
      <c r="G208" s="42">
        <f>(INT($E$25*3/$D208)-INT($E$25*(3-1)/$D208))*$C208</f>
        <v>22.68</v>
      </c>
      <c r="H208" s="42">
        <f>(INT($E$25*4/$D208)-INT($E$25*(4-1)/$D208))*$C208</f>
        <v>0.0</v>
      </c>
      <c r="I208" s="42">
        <f>(INT($E$25*5/$D208)-INT($E$25*(5-1)/$D208))*$C208</f>
        <v>22.68</v>
      </c>
      <c r="J208" s="42">
        <f>(INT($E$25*6/$D208)-INT($E$25*(6-1)/$D208))*$C208</f>
        <v>0.0</v>
      </c>
      <c r="K208" s="42">
        <f>(INT($E$25*7/$D208)-INT($E$25*(7-1)/$D208))*$C208</f>
        <v>22.68</v>
      </c>
      <c r="L208" s="42">
        <f>(INT($E$25*8/$D208)-INT($E$25*(8-1)/$D208))*$C208</f>
        <v>0.0</v>
      </c>
      <c r="M208" s="42">
        <f>(INT($E$25*9/$D208)-INT($E$25*(9-1)/$D208))*$C208</f>
        <v>22.68</v>
      </c>
      <c r="N208" s="42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44" t="n">
        <v>19.5</v>
      </c>
      <c r="D209" s="43" t="n">
        <v>14900</v>
      </c>
      <c r="E209" s="42">
        <f>(INT($E$25*1/$D209)-INT($E$25*(1-1)/$D209))*$C209</f>
        <v>0.0</v>
      </c>
      <c r="F209" s="42">
        <f>(INT($E$25*2/$D209)-INT($E$25*(2-1)/$D209))*$C209</f>
        <v>0.0</v>
      </c>
      <c r="G209" s="42">
        <f>(INT($E$25*3/$D209)-INT($E$25*(3-1)/$D209))*$C209</f>
        <v>19.5</v>
      </c>
      <c r="H209" s="42">
        <f>(INT($E$25*4/$D209)-INT($E$25*(4-1)/$D209))*$C209</f>
        <v>0.0</v>
      </c>
      <c r="I209" s="42">
        <f>(INT($E$25*5/$D209)-INT($E$25*(5-1)/$D209))*$C209</f>
        <v>19.5</v>
      </c>
      <c r="J209" s="42">
        <f>(INT($E$25*6/$D209)-INT($E$25*(6-1)/$D209))*$C209</f>
        <v>0.0</v>
      </c>
      <c r="K209" s="42">
        <f>(INT($E$25*7/$D209)-INT($E$25*(7-1)/$D209))*$C209</f>
        <v>19.5</v>
      </c>
      <c r="L209" s="42">
        <f>(INT($E$25*8/$D209)-INT($E$25*(8-1)/$D209))*$C209</f>
        <v>0.0</v>
      </c>
      <c r="M209" s="42">
        <f>(INT($E$25*9/$D209)-INT($E$25*(9-1)/$D209))*$C209</f>
        <v>19.5</v>
      </c>
      <c r="N209" s="42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44" t="n">
        <v>10.6</v>
      </c>
      <c r="D210" s="43" t="n">
        <v>10400</v>
      </c>
      <c r="E210" s="42">
        <f>(INT($E$25*1/$D210)-INT($E$25*(1-1)/$D210))*$C210</f>
        <v>0.0</v>
      </c>
      <c r="F210" s="42">
        <f>(INT($E$25*2/$D210)-INT($E$25*(2-1)/$D210))*$C210</f>
        <v>10.6</v>
      </c>
      <c r="G210" s="42">
        <f>(INT($E$25*3/$D210)-INT($E$25*(3-1)/$D210))*$C210</f>
        <v>10.6</v>
      </c>
      <c r="H210" s="42">
        <f>(INT($E$25*4/$D210)-INT($E$25*(4-1)/$D210))*$C210</f>
        <v>0.0</v>
      </c>
      <c r="I210" s="42">
        <f>(INT($E$25*5/$D210)-INT($E$25*(5-1)/$D210))*$C210</f>
        <v>10.6</v>
      </c>
      <c r="J210" s="42">
        <f>(INT($E$25*6/$D210)-INT($E$25*(6-1)/$D210))*$C210</f>
        <v>10.6</v>
      </c>
      <c r="K210" s="42">
        <f>(INT($E$25*7/$D210)-INT($E$25*(7-1)/$D210))*$C210</f>
        <v>0.0</v>
      </c>
      <c r="L210" s="42">
        <f>(INT($E$25*8/$D210)-INT($E$25*(8-1)/$D210))*$C210</f>
        <v>10.6</v>
      </c>
      <c r="M210" s="42">
        <f>(INT($E$25*9/$D210)-INT($E$25*(9-1)/$D210))*$C210</f>
        <v>10.6</v>
      </c>
      <c r="N210" s="42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44" t="n">
        <v>6.6</v>
      </c>
      <c r="D211" s="43" t="n">
        <v>12000</v>
      </c>
      <c r="E211" s="42">
        <f>(INT($E$25*1/$D211)-INT($E$25*(1-1)/$D211))*$C211</f>
        <v>0.0</v>
      </c>
      <c r="F211" s="42">
        <f>(INT($E$25*2/$D211)-INT($E$25*(2-1)/$D211))*$C211</f>
        <v>6.6</v>
      </c>
      <c r="G211" s="42">
        <f>(INT($E$25*3/$D211)-INT($E$25*(3-1)/$D211))*$C211</f>
        <v>0.0</v>
      </c>
      <c r="H211" s="42">
        <f>(INT($E$25*4/$D211)-INT($E$25*(4-1)/$D211))*$C211</f>
        <v>6.6</v>
      </c>
      <c r="I211" s="42">
        <f>(INT($E$25*5/$D211)-INT($E$25*(5-1)/$D211))*$C211</f>
        <v>0.0</v>
      </c>
      <c r="J211" s="42">
        <f>(INT($E$25*6/$D211)-INT($E$25*(6-1)/$D211))*$C211</f>
        <v>6.6</v>
      </c>
      <c r="K211" s="42">
        <f>(INT($E$25*7/$D211)-INT($E$25*(7-1)/$D211))*$C211</f>
        <v>6.6</v>
      </c>
      <c r="L211" s="42">
        <f>(INT($E$25*8/$D211)-INT($E$25*(8-1)/$D211))*$C211</f>
        <v>0.0</v>
      </c>
      <c r="M211" s="42">
        <f>(INT($E$25*9/$D211)-INT($E$25*(9-1)/$D211))*$C211</f>
        <v>6.6</v>
      </c>
      <c r="N211" s="42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44" t="n">
        <v>1.1</v>
      </c>
      <c r="D212" s="43" t="n">
        <v>8000</v>
      </c>
      <c r="E212" s="42">
        <f>(INT($E$25*1/$D212)-INT($E$25*(1-1)/$D212))*$C212</f>
        <v>0.0</v>
      </c>
      <c r="F212" s="42">
        <f>(INT($E$25*2/$D212)-INT($E$25*(2-1)/$D212))*$C212</f>
        <v>1.1</v>
      </c>
      <c r="G212" s="42">
        <f>(INT($E$25*3/$D212)-INT($E$25*(3-1)/$D212))*$C212</f>
        <v>1.1</v>
      </c>
      <c r="H212" s="42">
        <f>(INT($E$25*4/$D212)-INT($E$25*(4-1)/$D212))*$C212</f>
        <v>1.1</v>
      </c>
      <c r="I212" s="42">
        <f>(INT($E$25*5/$D212)-INT($E$25*(5-1)/$D212))*$C212</f>
        <v>1.1</v>
      </c>
      <c r="J212" s="42">
        <f>(INT($E$25*6/$D212)-INT($E$25*(6-1)/$D212))*$C212</f>
        <v>1.1</v>
      </c>
      <c r="K212" s="42">
        <f>(INT($E$25*7/$D212)-INT($E$25*(7-1)/$D212))*$C212</f>
        <v>1.1</v>
      </c>
      <c r="L212" s="42">
        <f>(INT($E$25*8/$D212)-INT($E$25*(8-1)/$D212))*$C212</f>
        <v>1.1</v>
      </c>
      <c r="M212" s="42">
        <f>(INT($E$25*9/$D212)-INT($E$25*(9-1)/$D212))*$C212</f>
        <v>0.0</v>
      </c>
      <c r="N212" s="42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44" t="n">
        <v>1.1</v>
      </c>
      <c r="D213" s="43" t="n">
        <v>8000</v>
      </c>
      <c r="E213" s="42">
        <f>(INT($E$25*1/$D213)-INT($E$25*(1-1)/$D213))*$C213</f>
        <v>0.0</v>
      </c>
      <c r="F213" s="42">
        <f>(INT($E$25*2/$D213)-INT($E$25*(2-1)/$D213))*$C213</f>
        <v>1.1</v>
      </c>
      <c r="G213" s="42">
        <f>(INT($E$25*3/$D213)-INT($E$25*(3-1)/$D213))*$C213</f>
        <v>1.1</v>
      </c>
      <c r="H213" s="42">
        <f>(INT($E$25*4/$D213)-INT($E$25*(4-1)/$D213))*$C213</f>
        <v>1.1</v>
      </c>
      <c r="I213" s="42">
        <f>(INT($E$25*5/$D213)-INT($E$25*(5-1)/$D213))*$C213</f>
        <v>1.1</v>
      </c>
      <c r="J213" s="42">
        <f>(INT($E$25*6/$D213)-INT($E$25*(6-1)/$D213))*$C213</f>
        <v>1.1</v>
      </c>
      <c r="K213" s="42">
        <f>(INT($E$25*7/$D213)-INT($E$25*(7-1)/$D213))*$C213</f>
        <v>1.1</v>
      </c>
      <c r="L213" s="42">
        <f>(INT($E$25*8/$D213)-INT($E$25*(8-1)/$D213))*$C213</f>
        <v>1.1</v>
      </c>
      <c r="M213" s="42">
        <f>(INT($E$25*9/$D213)-INT($E$25*(9-1)/$D213))*$C213</f>
        <v>0.0</v>
      </c>
      <c r="N213" s="42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44" t="n">
        <v>1.5</v>
      </c>
      <c r="D214" s="43" t="n">
        <v>10400</v>
      </c>
      <c r="E214" s="42">
        <f>(INT($E$25*1/$D214)-INT($E$25*(1-1)/$D214))*$C214</f>
        <v>0.0</v>
      </c>
      <c r="F214" s="42">
        <f>(INT($E$25*2/$D214)-INT($E$25*(2-1)/$D214))*$C214</f>
        <v>1.5</v>
      </c>
      <c r="G214" s="42">
        <f>(INT($E$25*3/$D214)-INT($E$25*(3-1)/$D214))*$C214</f>
        <v>1.5</v>
      </c>
      <c r="H214" s="42">
        <f>(INT($E$25*4/$D214)-INT($E$25*(4-1)/$D214))*$C214</f>
        <v>0.0</v>
      </c>
      <c r="I214" s="42">
        <f>(INT($E$25*5/$D214)-INT($E$25*(5-1)/$D214))*$C214</f>
        <v>1.5</v>
      </c>
      <c r="J214" s="42">
        <f>(INT($E$25*6/$D214)-INT($E$25*(6-1)/$D214))*$C214</f>
        <v>1.5</v>
      </c>
      <c r="K214" s="42">
        <f>(INT($E$25*7/$D214)-INT($E$25*(7-1)/$D214))*$C214</f>
        <v>0.0</v>
      </c>
      <c r="L214" s="42">
        <f>(INT($E$25*8/$D214)-INT($E$25*(8-1)/$D214))*$C214</f>
        <v>1.5</v>
      </c>
      <c r="M214" s="42">
        <f>(INT($E$25*9/$D214)-INT($E$25*(9-1)/$D214))*$C214</f>
        <v>1.5</v>
      </c>
      <c r="N214" s="42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44" t="n">
        <v>0.9</v>
      </c>
      <c r="D215" s="43" t="n">
        <v>8000</v>
      </c>
      <c r="E215" s="42">
        <f>(INT($E$25*1/$D215)-INT($E$25*(1-1)/$D215))*$C215</f>
        <v>0.0</v>
      </c>
      <c r="F215" s="42">
        <f>(INT($E$25*2/$D215)-INT($E$25*(2-1)/$D215))*$C215</f>
        <v>0.9</v>
      </c>
      <c r="G215" s="42">
        <f>(INT($E$25*3/$D215)-INT($E$25*(3-1)/$D215))*$C215</f>
        <v>0.9</v>
      </c>
      <c r="H215" s="42">
        <f>(INT($E$25*4/$D215)-INT($E$25*(4-1)/$D215))*$C215</f>
        <v>0.9</v>
      </c>
      <c r="I215" s="42">
        <f>(INT($E$25*5/$D215)-INT($E$25*(5-1)/$D215))*$C215</f>
        <v>0.9</v>
      </c>
      <c r="J215" s="42">
        <f>(INT($E$25*6/$D215)-INT($E$25*(6-1)/$D215))*$C215</f>
        <v>0.9</v>
      </c>
      <c r="K215" s="42">
        <f>(INT($E$25*7/$D215)-INT($E$25*(7-1)/$D215))*$C215</f>
        <v>0.9</v>
      </c>
      <c r="L215" s="42">
        <f>(INT($E$25*8/$D215)-INT($E$25*(8-1)/$D215))*$C215</f>
        <v>0.9</v>
      </c>
      <c r="M215" s="42">
        <f>(INT($E$25*9/$D215)-INT($E$25*(9-1)/$D215))*$C215</f>
        <v>0.0</v>
      </c>
      <c r="N215" s="42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44" t="n">
        <v>11</v>
      </c>
      <c r="D216" s="43" t="n">
        <v>18000</v>
      </c>
      <c r="E216" s="42">
        <f>(INT($E$25*1/$D216)-INT($E$25*(1-1)/$D216))*$C216</f>
        <v>0.0</v>
      </c>
      <c r="F216" s="42">
        <f>(INT($E$25*2/$D216)-INT($E$25*(2-1)/$D216))*$C216</f>
        <v>0.0</v>
      </c>
      <c r="G216" s="42">
        <f>(INT($E$25*3/$D216)-INT($E$25*(3-1)/$D216))*$C216</f>
        <v>11.0</v>
      </c>
      <c r="H216" s="42">
        <f>(INT($E$25*4/$D216)-INT($E$25*(4-1)/$D216))*$C216</f>
        <v>0.0</v>
      </c>
      <c r="I216" s="42">
        <f>(INT($E$25*5/$D216)-INT($E$25*(5-1)/$D216))*$C216</f>
        <v>0.0</v>
      </c>
      <c r="J216" s="42">
        <f>(INT($E$25*6/$D216)-INT($E$25*(6-1)/$D216))*$C216</f>
        <v>11.0</v>
      </c>
      <c r="K216" s="42">
        <f>(INT($E$25*7/$D216)-INT($E$25*(7-1)/$D216))*$C216</f>
        <v>0.0</v>
      </c>
      <c r="L216" s="42">
        <f>(INT($E$25*8/$D216)-INT($E$25*(8-1)/$D216))*$C216</f>
        <v>11.0</v>
      </c>
      <c r="M216" s="42">
        <f>(INT($E$25*9/$D216)-INT($E$25*(9-1)/$D216))*$C216</f>
        <v>0.0</v>
      </c>
      <c r="N216" s="42">
        <f>(INT($E$25*10/$D216)-INT($E$25*(10-1)/$D216))*$C216</f>
        <v>0.0</v>
      </c>
    </row>
    <row r="217">
      <c r="B217" s="22" t="inlineStr">
        <is>
          <t>AIREND (компрессор)</t>
        </is>
      </c>
      <c r="C217" s="44" t="n">
        <v>8</v>
      </c>
      <c r="D217" s="43" t="n">
        <v>30000</v>
      </c>
      <c r="E217" s="42">
        <f>(INT($E$25*1/$D217)-INT($E$25*(1-1)/$D217))*$C217</f>
        <v>0.0</v>
      </c>
      <c r="F217" s="42">
        <f>(INT($E$25*2/$D217)-INT($E$25*(2-1)/$D217))*$C217</f>
        <v>0.0</v>
      </c>
      <c r="G217" s="42">
        <f>(INT($E$25*3/$D217)-INT($E$25*(3-1)/$D217))*$C217</f>
        <v>0.0</v>
      </c>
      <c r="H217" s="42">
        <f>(INT($E$25*4/$D217)-INT($E$25*(4-1)/$D217))*$C217</f>
        <v>0.0</v>
      </c>
      <c r="I217" s="42">
        <f>(INT($E$25*5/$D217)-INT($E$25*(5-1)/$D217))*$C217</f>
        <v>8.0</v>
      </c>
      <c r="J217" s="42">
        <f>(INT($E$25*6/$D217)-INT($E$25*(6-1)/$D217))*$C217</f>
        <v>0.0</v>
      </c>
      <c r="K217" s="42">
        <f>(INT($E$25*7/$D217)-INT($E$25*(7-1)/$D217))*$C217</f>
        <v>0.0</v>
      </c>
      <c r="L217" s="42">
        <f>(INT($E$25*8/$D217)-INT($E$25*(8-1)/$D217))*$C217</f>
        <v>0.0</v>
      </c>
      <c r="M217" s="42">
        <f>(INT($E$25*9/$D217)-INT($E$25*(9-1)/$D217))*$C217</f>
        <v>8.0</v>
      </c>
      <c r="N217" s="42">
        <f>(INT($E$25*10/$D217)-INT($E$25*(10-1)/$D217))*$C217</f>
        <v>0.0</v>
      </c>
    </row>
    <row r="218">
      <c r="B218" s="22" t="inlineStr">
        <is>
          <t>COUPLING (муфта)</t>
        </is>
      </c>
      <c r="C218" s="44" t="n">
        <v>8.300000000000001</v>
      </c>
      <c r="D218" s="43" t="n">
        <v>20000</v>
      </c>
      <c r="E218" s="42">
        <f>(INT($E$25*1/$D218)-INT($E$25*(1-1)/$D218))*$C218</f>
        <v>0.0</v>
      </c>
      <c r="F218" s="42">
        <f>(INT($E$25*2/$D218)-INT($E$25*(2-1)/$D218))*$C218</f>
        <v>0.0</v>
      </c>
      <c r="G218" s="42">
        <f>(INT($E$25*3/$D218)-INT($E$25*(3-1)/$D218))*$C218</f>
        <v>8.3</v>
      </c>
      <c r="H218" s="42">
        <f>(INT($E$25*4/$D218)-INT($E$25*(4-1)/$D218))*$C218</f>
        <v>0.0</v>
      </c>
      <c r="I218" s="42">
        <f>(INT($E$25*5/$D218)-INT($E$25*(5-1)/$D218))*$C218</f>
        <v>0.0</v>
      </c>
      <c r="J218" s="42">
        <f>(INT($E$25*6/$D218)-INT($E$25*(6-1)/$D218))*$C218</f>
        <v>8.3</v>
      </c>
      <c r="K218" s="42">
        <f>(INT($E$25*7/$D218)-INT($E$25*(7-1)/$D218))*$C218</f>
        <v>0.0</v>
      </c>
      <c r="L218" s="42">
        <f>(INT($E$25*8/$D218)-INT($E$25*(8-1)/$D218))*$C218</f>
        <v>0.0</v>
      </c>
      <c r="M218" s="42">
        <f>(INT($E$25*9/$D218)-INT($E$25*(9-1)/$D218))*$C218</f>
        <v>8.3</v>
      </c>
      <c r="N218" s="42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44" t="n">
        <v>3.5</v>
      </c>
      <c r="D219" s="43" t="n">
        <v>10000</v>
      </c>
      <c r="E219" s="42">
        <f>(INT($E$25*1/$D219)-INT($E$25*(1-1)/$D219))*$C219</f>
        <v>0.0</v>
      </c>
      <c r="F219" s="42">
        <f>(INT($E$25*2/$D219)-INT($E$25*(2-1)/$D219))*$C219</f>
        <v>3.5</v>
      </c>
      <c r="G219" s="42">
        <f>(INT($E$25*3/$D219)-INT($E$25*(3-1)/$D219))*$C219</f>
        <v>3.5</v>
      </c>
      <c r="H219" s="42">
        <f>(INT($E$25*4/$D219)-INT($E$25*(4-1)/$D219))*$C219</f>
        <v>0.0</v>
      </c>
      <c r="I219" s="42">
        <f>(INT($E$25*5/$D219)-INT($E$25*(5-1)/$D219))*$C219</f>
        <v>3.5</v>
      </c>
      <c r="J219" s="42">
        <f>(INT($E$25*6/$D219)-INT($E$25*(6-1)/$D219))*$C219</f>
        <v>3.5</v>
      </c>
      <c r="K219" s="42">
        <f>(INT($E$25*7/$D219)-INT($E$25*(7-1)/$D219))*$C219</f>
        <v>0.0</v>
      </c>
      <c r="L219" s="42">
        <f>(INT($E$25*8/$D219)-INT($E$25*(8-1)/$D219))*$C219</f>
        <v>3.5</v>
      </c>
      <c r="M219" s="42">
        <f>(INT($E$25*9/$D219)-INT($E$25*(9-1)/$D219))*$C219</f>
        <v>3.5</v>
      </c>
      <c r="N219" s="42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44" t="n">
        <v>8</v>
      </c>
      <c r="D220" s="43" t="n">
        <v>20000</v>
      </c>
      <c r="E220" s="42">
        <f>(INT($E$25*1/$D220)-INT($E$25*(1-1)/$D220))*$C220</f>
        <v>0.0</v>
      </c>
      <c r="F220" s="42">
        <f>(INT($E$25*2/$D220)-INT($E$25*(2-1)/$D220))*$C220</f>
        <v>0.0</v>
      </c>
      <c r="G220" s="42">
        <f>(INT($E$25*3/$D220)-INT($E$25*(3-1)/$D220))*$C220</f>
        <v>8.0</v>
      </c>
      <c r="H220" s="42">
        <f>(INT($E$25*4/$D220)-INT($E$25*(4-1)/$D220))*$C220</f>
        <v>0.0</v>
      </c>
      <c r="I220" s="42">
        <f>(INT($E$25*5/$D220)-INT($E$25*(5-1)/$D220))*$C220</f>
        <v>0.0</v>
      </c>
      <c r="J220" s="42">
        <f>(INT($E$25*6/$D220)-INT($E$25*(6-1)/$D220))*$C220</f>
        <v>8.0</v>
      </c>
      <c r="K220" s="42">
        <f>(INT($E$25*7/$D220)-INT($E$25*(7-1)/$D220))*$C220</f>
        <v>0.0</v>
      </c>
      <c r="L220" s="42">
        <f>(INT($E$25*8/$D220)-INT($E$25*(8-1)/$D220))*$C220</f>
        <v>0.0</v>
      </c>
      <c r="M220" s="42">
        <f>(INT($E$25*9/$D220)-INT($E$25*(9-1)/$D220))*$C220</f>
        <v>8.0</v>
      </c>
      <c r="N220" s="42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44" t="n">
        <v>2.8</v>
      </c>
      <c r="D221" s="43" t="n">
        <v>22000</v>
      </c>
      <c r="E221" s="42">
        <f>(INT($E$25*1/$D221)-INT($E$25*(1-1)/$D221))*$C221</f>
        <v>0.0</v>
      </c>
      <c r="F221" s="42">
        <f>(INT($E$25*2/$D221)-INT($E$25*(2-1)/$D221))*$C221</f>
        <v>0.0</v>
      </c>
      <c r="G221" s="42">
        <f>(INT($E$25*3/$D221)-INT($E$25*(3-1)/$D221))*$C221</f>
        <v>0.0</v>
      </c>
      <c r="H221" s="42">
        <f>(INT($E$25*4/$D221)-INT($E$25*(4-1)/$D221))*$C221</f>
        <v>2.8</v>
      </c>
      <c r="I221" s="42">
        <f>(INT($E$25*5/$D221)-INT($E$25*(5-1)/$D221))*$C221</f>
        <v>0.0</v>
      </c>
      <c r="J221" s="42">
        <f>(INT($E$25*6/$D221)-INT($E$25*(6-1)/$D221))*$C221</f>
        <v>0.0</v>
      </c>
      <c r="K221" s="42">
        <f>(INT($E$25*7/$D221)-INT($E$25*(7-1)/$D221))*$C221</f>
        <v>2.8</v>
      </c>
      <c r="L221" s="42">
        <f>(INT($E$25*8/$D221)-INT($E$25*(8-1)/$D221))*$C221</f>
        <v>0.0</v>
      </c>
      <c r="M221" s="42">
        <f>(INT($E$25*9/$D221)-INT($E$25*(9-1)/$D221))*$C221</f>
        <v>0.0</v>
      </c>
      <c r="N221" s="42">
        <f>(INT($E$25*10/$D221)-INT($E$25*(10-1)/$D221))*$C221</f>
        <v>2.8</v>
      </c>
    </row>
    <row r="222">
      <c r="B222" s="22" t="inlineStr">
        <is>
          <t>SILENCER (глушитель)</t>
        </is>
      </c>
      <c r="C222" s="44" t="n">
        <v>2.1</v>
      </c>
      <c r="D222" s="43" t="n">
        <v>20000</v>
      </c>
      <c r="E222" s="42">
        <f>(INT($E$25*1/$D222)-INT($E$25*(1-1)/$D222))*$C222</f>
        <v>0.0</v>
      </c>
      <c r="F222" s="42">
        <f>(INT($E$25*2/$D222)-INT($E$25*(2-1)/$D222))*$C222</f>
        <v>0.0</v>
      </c>
      <c r="G222" s="42">
        <f>(INT($E$25*3/$D222)-INT($E$25*(3-1)/$D222))*$C222</f>
        <v>2.1</v>
      </c>
      <c r="H222" s="42">
        <f>(INT($E$25*4/$D222)-INT($E$25*(4-1)/$D222))*$C222</f>
        <v>0.0</v>
      </c>
      <c r="I222" s="42">
        <f>(INT($E$25*5/$D222)-INT($E$25*(5-1)/$D222))*$C222</f>
        <v>0.0</v>
      </c>
      <c r="J222" s="42">
        <f>(INT($E$25*6/$D222)-INT($E$25*(6-1)/$D222))*$C222</f>
        <v>2.1</v>
      </c>
      <c r="K222" s="42">
        <f>(INT($E$25*7/$D222)-INT($E$25*(7-1)/$D222))*$C222</f>
        <v>0.0</v>
      </c>
      <c r="L222" s="42">
        <f>(INT($E$25*8/$D222)-INT($E$25*(8-1)/$D222))*$C222</f>
        <v>0.0</v>
      </c>
      <c r="M222" s="42">
        <f>(INT($E$25*9/$D222)-INT($E$25*(9-1)/$D222))*$C222</f>
        <v>2.1</v>
      </c>
      <c r="N222" s="42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44" t="n">
        <v>1.7</v>
      </c>
      <c r="D223" s="43" t="n">
        <v>13000</v>
      </c>
      <c r="E223" s="42">
        <f>(INT($E$25*1/$D223)-INT($E$25*(1-1)/$D223))*$C223</f>
        <v>0.0</v>
      </c>
      <c r="F223" s="42">
        <f>(INT($E$25*2/$D223)-INT($E$25*(2-1)/$D223))*$C223</f>
        <v>1.7</v>
      </c>
      <c r="G223" s="42">
        <f>(INT($E$25*3/$D223)-INT($E$25*(3-1)/$D223))*$C223</f>
        <v>0.0</v>
      </c>
      <c r="H223" s="42">
        <f>(INT($E$25*4/$D223)-INT($E$25*(4-1)/$D223))*$C223</f>
        <v>1.7</v>
      </c>
      <c r="I223" s="42">
        <f>(INT($E$25*5/$D223)-INT($E$25*(5-1)/$D223))*$C223</f>
        <v>0.0</v>
      </c>
      <c r="J223" s="42">
        <f>(INT($E$25*6/$D223)-INT($E$25*(6-1)/$D223))*$C223</f>
        <v>1.7</v>
      </c>
      <c r="K223" s="42">
        <f>(INT($E$25*7/$D223)-INT($E$25*(7-1)/$D223))*$C223</f>
        <v>0.0</v>
      </c>
      <c r="L223" s="42">
        <f>(INT($E$25*8/$D223)-INT($E$25*(8-1)/$D223))*$C223</f>
        <v>1.7</v>
      </c>
      <c r="M223" s="42">
        <f>(INT($E$25*9/$D223)-INT($E$25*(9-1)/$D223))*$C223</f>
        <v>0.0</v>
      </c>
      <c r="N223" s="42">
        <f>(INT($E$25*10/$D223)-INT($E$25*(10-1)/$D223))*$C223</f>
        <v>1.7</v>
      </c>
    </row>
    <row r="224">
      <c r="B224" s="22" t="inlineStr">
        <is>
          <t>ENG (двигатель)</t>
        </is>
      </c>
      <c r="C224" s="44" t="n">
        <v>20</v>
      </c>
      <c r="D224" s="43" t="n">
        <v>30000</v>
      </c>
      <c r="E224" s="42">
        <f>(INT($E$25*1/$D224)-INT($E$25*(1-1)/$D224))*$C224</f>
        <v>0.0</v>
      </c>
      <c r="F224" s="42">
        <f>(INT($E$25*2/$D224)-INT($E$25*(2-1)/$D224))*$C224</f>
        <v>0.0</v>
      </c>
      <c r="G224" s="42">
        <f>(INT($E$25*3/$D224)-INT($E$25*(3-1)/$D224))*$C224</f>
        <v>0.0</v>
      </c>
      <c r="H224" s="42">
        <f>(INT($E$25*4/$D224)-INT($E$25*(4-1)/$D224))*$C224</f>
        <v>0.0</v>
      </c>
      <c r="I224" s="42">
        <f>(INT($E$25*5/$D224)-INT($E$25*(5-1)/$D224))*$C224</f>
        <v>20.0</v>
      </c>
      <c r="J224" s="42">
        <f>(INT($E$25*6/$D224)-INT($E$25*(6-1)/$D224))*$C224</f>
        <v>0.0</v>
      </c>
      <c r="K224" s="42">
        <f>(INT($E$25*7/$D224)-INT($E$25*(7-1)/$D224))*$C224</f>
        <v>0.0</v>
      </c>
      <c r="L224" s="42">
        <f>(INT($E$25*8/$D224)-INT($E$25*(8-1)/$D224))*$C224</f>
        <v>0.0</v>
      </c>
      <c r="M224" s="42">
        <f>(INT($E$25*9/$D224)-INT($E$25*(9-1)/$D224))*$C224</f>
        <v>20.0</v>
      </c>
      <c r="N224" s="42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44" t="n">
        <v>1</v>
      </c>
      <c r="D225" s="43" t="n">
        <v>11000</v>
      </c>
      <c r="E225" s="42">
        <f>(INT($E$25*1/$D225)-INT($E$25*(1-1)/$D225))*$C225</f>
        <v>0.0</v>
      </c>
      <c r="F225" s="42">
        <f>(INT($E$25*2/$D225)-INT($E$25*(2-1)/$D225))*$C225</f>
        <v>1.0</v>
      </c>
      <c r="G225" s="42">
        <f>(INT($E$25*3/$D225)-INT($E$25*(3-1)/$D225))*$C225</f>
        <v>0.0</v>
      </c>
      <c r="H225" s="42">
        <f>(INT($E$25*4/$D225)-INT($E$25*(4-1)/$D225))*$C225</f>
        <v>1.0</v>
      </c>
      <c r="I225" s="42">
        <f>(INT($E$25*5/$D225)-INT($E$25*(5-1)/$D225))*$C225</f>
        <v>1.0</v>
      </c>
      <c r="J225" s="42">
        <f>(INT($E$25*6/$D225)-INT($E$25*(6-1)/$D225))*$C225</f>
        <v>0.0</v>
      </c>
      <c r="K225" s="42">
        <f>(INT($E$25*7/$D225)-INT($E$25*(7-1)/$D225))*$C225</f>
        <v>1.0</v>
      </c>
      <c r="L225" s="42">
        <f>(INT($E$25*8/$D225)-INT($E$25*(8-1)/$D225))*$C225</f>
        <v>1.0</v>
      </c>
      <c r="M225" s="42">
        <f>(INT($E$25*9/$D225)-INT($E$25*(9-1)/$D225))*$C225</f>
        <v>0.0</v>
      </c>
      <c r="N225" s="42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44" t="n">
        <v>1.1</v>
      </c>
      <c r="D226" s="43" t="n">
        <v>11000</v>
      </c>
      <c r="E226" s="42">
        <f>(INT($E$25*1/$D226)-INT($E$25*(1-1)/$D226))*$C226</f>
        <v>0.0</v>
      </c>
      <c r="F226" s="42">
        <f>(INT($E$25*2/$D226)-INT($E$25*(2-1)/$D226))*$C226</f>
        <v>1.1</v>
      </c>
      <c r="G226" s="42">
        <f>(INT($E$25*3/$D226)-INT($E$25*(3-1)/$D226))*$C226</f>
        <v>0.0</v>
      </c>
      <c r="H226" s="42">
        <f>(INT($E$25*4/$D226)-INT($E$25*(4-1)/$D226))*$C226</f>
        <v>1.1</v>
      </c>
      <c r="I226" s="42">
        <f>(INT($E$25*5/$D226)-INT($E$25*(5-1)/$D226))*$C226</f>
        <v>1.1</v>
      </c>
      <c r="J226" s="42">
        <f>(INT($E$25*6/$D226)-INT($E$25*(6-1)/$D226))*$C226</f>
        <v>0.0</v>
      </c>
      <c r="K226" s="42">
        <f>(INT($E$25*7/$D226)-INT($E$25*(7-1)/$D226))*$C226</f>
        <v>1.1</v>
      </c>
      <c r="L226" s="42">
        <f>(INT($E$25*8/$D226)-INT($E$25*(8-1)/$D226))*$C226</f>
        <v>1.1</v>
      </c>
      <c r="M226" s="42">
        <f>(INT($E$25*9/$D226)-INT($E$25*(9-1)/$D226))*$C226</f>
        <v>0.0</v>
      </c>
      <c r="N226" s="42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44" t="n">
        <v>3.8</v>
      </c>
      <c r="D227" s="43" t="n">
        <v>11900</v>
      </c>
      <c r="E227" s="42">
        <f>(INT($E$25*1/$D227)-INT($E$25*(1-1)/$D227))*$C227</f>
        <v>0.0</v>
      </c>
      <c r="F227" s="42">
        <f>(INT($E$25*2/$D227)-INT($E$25*(2-1)/$D227))*$C227</f>
        <v>3.8</v>
      </c>
      <c r="G227" s="42">
        <f>(INT($E$25*3/$D227)-INT($E$25*(3-1)/$D227))*$C227</f>
        <v>0.0</v>
      </c>
      <c r="H227" s="42">
        <f>(INT($E$25*4/$D227)-INT($E$25*(4-1)/$D227))*$C227</f>
        <v>3.8</v>
      </c>
      <c r="I227" s="42">
        <f>(INT($E$25*5/$D227)-INT($E$25*(5-1)/$D227))*$C227</f>
        <v>0.0</v>
      </c>
      <c r="J227" s="42">
        <f>(INT($E$25*6/$D227)-INT($E$25*(6-1)/$D227))*$C227</f>
        <v>3.8</v>
      </c>
      <c r="K227" s="42">
        <f>(INT($E$25*7/$D227)-INT($E$25*(7-1)/$D227))*$C227</f>
        <v>3.8</v>
      </c>
      <c r="L227" s="42">
        <f>(INT($E$25*8/$D227)-INT($E$25*(8-1)/$D227))*$C227</f>
        <v>0.0</v>
      </c>
      <c r="M227" s="42">
        <f>(INT($E$25*9/$D227)-INT($E$25*(9-1)/$D227))*$C227</f>
        <v>3.8</v>
      </c>
      <c r="N227" s="42">
        <f>(INT($E$25*10/$D227)-INT($E$25*(10-1)/$D227))*$C227</f>
        <v>0.0</v>
      </c>
    </row>
    <row r="228">
      <c r="B228" s="22" t="inlineStr">
        <is>
          <t>DRIVE SHAFT (кардан)</t>
        </is>
      </c>
      <c r="C228" s="44" t="n">
        <v>2.5</v>
      </c>
      <c r="D228" s="43" t="n">
        <v>15000</v>
      </c>
      <c r="E228" s="42">
        <f>(INT($E$25*1/$D228)-INT($E$25*(1-1)/$D228))*$C228</f>
        <v>0.0</v>
      </c>
      <c r="F228" s="42">
        <f>(INT($E$25*2/$D228)-INT($E$25*(2-1)/$D228))*$C228</f>
        <v>0.0</v>
      </c>
      <c r="G228" s="42">
        <f>(INT($E$25*3/$D228)-INT($E$25*(3-1)/$D228))*$C228</f>
        <v>2.5</v>
      </c>
      <c r="H228" s="42">
        <f>(INT($E$25*4/$D228)-INT($E$25*(4-1)/$D228))*$C228</f>
        <v>0.0</v>
      </c>
      <c r="I228" s="42">
        <f>(INT($E$25*5/$D228)-INT($E$25*(5-1)/$D228))*$C228</f>
        <v>2.5</v>
      </c>
      <c r="J228" s="42">
        <f>(INT($E$25*6/$D228)-INT($E$25*(6-1)/$D228))*$C228</f>
        <v>0.0</v>
      </c>
      <c r="K228" s="42">
        <f>(INT($E$25*7/$D228)-INT($E$25*(7-1)/$D228))*$C228</f>
        <v>2.5</v>
      </c>
      <c r="L228" s="42">
        <f>(INT($E$25*8/$D228)-INT($E$25*(8-1)/$D228))*$C228</f>
        <v>0.0</v>
      </c>
      <c r="M228" s="42">
        <f>(INT($E$25*9/$D228)-INT($E$25*(9-1)/$D228))*$C228</f>
        <v>2.5</v>
      </c>
      <c r="N228" s="42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44" t="n">
        <v>16</v>
      </c>
      <c r="D229" s="43" t="n">
        <v>18000</v>
      </c>
      <c r="E229" s="42">
        <f>(INT($E$25*1/$D229)-INT($E$25*(1-1)/$D229))*$C229</f>
        <v>0.0</v>
      </c>
      <c r="F229" s="42">
        <f>(INT($E$25*2/$D229)-INT($E$25*(2-1)/$D229))*$C229</f>
        <v>0.0</v>
      </c>
      <c r="G229" s="42">
        <f>(INT($E$25*3/$D229)-INT($E$25*(3-1)/$D229))*$C229</f>
        <v>16.0</v>
      </c>
      <c r="H229" s="42">
        <f>(INT($E$25*4/$D229)-INT($E$25*(4-1)/$D229))*$C229</f>
        <v>0.0</v>
      </c>
      <c r="I229" s="42">
        <f>(INT($E$25*5/$D229)-INT($E$25*(5-1)/$D229))*$C229</f>
        <v>0.0</v>
      </c>
      <c r="J229" s="42">
        <f>(INT($E$25*6/$D229)-INT($E$25*(6-1)/$D229))*$C229</f>
        <v>16.0</v>
      </c>
      <c r="K229" s="42">
        <f>(INT($E$25*7/$D229)-INT($E$25*(7-1)/$D229))*$C229</f>
        <v>0.0</v>
      </c>
      <c r="L229" s="42">
        <f>(INT($E$25*8/$D229)-INT($E$25*(8-1)/$D229))*$C229</f>
        <v>16.0</v>
      </c>
      <c r="M229" s="42">
        <f>(INT($E$25*9/$D229)-INT($E$25*(9-1)/$D229))*$C229</f>
        <v>0.0</v>
      </c>
      <c r="N229" s="42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44" t="n">
        <v>20</v>
      </c>
      <c r="D230" s="43" t="n">
        <v>14000</v>
      </c>
      <c r="E230" s="42">
        <f>(INT($E$25*1/$D230)-INT($E$25*(1-1)/$D230))*$C230</f>
        <v>0.0</v>
      </c>
      <c r="F230" s="42">
        <f>(INT($E$25*2/$D230)-INT($E$25*(2-1)/$D230))*$C230</f>
        <v>20.0</v>
      </c>
      <c r="G230" s="42">
        <f>(INT($E$25*3/$D230)-INT($E$25*(3-1)/$D230))*$C230</f>
        <v>0.0</v>
      </c>
      <c r="H230" s="42">
        <f>(INT($E$25*4/$D230)-INT($E$25*(4-1)/$D230))*$C230</f>
        <v>20.0</v>
      </c>
      <c r="I230" s="42">
        <f>(INT($E$25*5/$D230)-INT($E$25*(5-1)/$D230))*$C230</f>
        <v>0.0</v>
      </c>
      <c r="J230" s="42">
        <f>(INT($E$25*6/$D230)-INT($E$25*(6-1)/$D230))*$C230</f>
        <v>20.0</v>
      </c>
      <c r="K230" s="42">
        <f>(INT($E$25*7/$D230)-INT($E$25*(7-1)/$D230))*$C230</f>
        <v>0.0</v>
      </c>
      <c r="L230" s="42">
        <f>(INT($E$25*8/$D230)-INT($E$25*(8-1)/$D230))*$C230</f>
        <v>20.0</v>
      </c>
      <c r="M230" s="42">
        <f>(INT($E$25*9/$D230)-INT($E$25*(9-1)/$D230))*$C230</f>
        <v>0.0</v>
      </c>
      <c r="N230" s="42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44" t="n">
        <v>3</v>
      </c>
      <c r="D231" s="43" t="n">
        <v>12000</v>
      </c>
      <c r="E231" s="42">
        <f>(INT($E$25*1/$D231)-INT($E$25*(1-1)/$D231))*$C231</f>
        <v>0.0</v>
      </c>
      <c r="F231" s="42">
        <f>(INT($E$25*2/$D231)-INT($E$25*(2-1)/$D231))*$C231</f>
        <v>3.0</v>
      </c>
      <c r="G231" s="42">
        <f>(INT($E$25*3/$D231)-INT($E$25*(3-1)/$D231))*$C231</f>
        <v>0.0</v>
      </c>
      <c r="H231" s="42">
        <f>(INT($E$25*4/$D231)-INT($E$25*(4-1)/$D231))*$C231</f>
        <v>3.0</v>
      </c>
      <c r="I231" s="42">
        <f>(INT($E$25*5/$D231)-INT($E$25*(5-1)/$D231))*$C231</f>
        <v>0.0</v>
      </c>
      <c r="J231" s="42">
        <f>(INT($E$25*6/$D231)-INT($E$25*(6-1)/$D231))*$C231</f>
        <v>3.0</v>
      </c>
      <c r="K231" s="42">
        <f>(INT($E$25*7/$D231)-INT($E$25*(7-1)/$D231))*$C231</f>
        <v>3.0</v>
      </c>
      <c r="L231" s="42">
        <f>(INT($E$25*8/$D231)-INT($E$25*(8-1)/$D231))*$C231</f>
        <v>0.0</v>
      </c>
      <c r="M231" s="42">
        <f>(INT($E$25*9/$D231)-INT($E$25*(9-1)/$D231))*$C231</f>
        <v>3.0</v>
      </c>
      <c r="N231" s="42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44" t="n">
        <v>23</v>
      </c>
      <c r="D232" s="43" t="n">
        <v>21000</v>
      </c>
      <c r="E232" s="42">
        <f>(INT($E$25*1/$D232)-INT($E$25*(1-1)/$D232))*$C232</f>
        <v>0.0</v>
      </c>
      <c r="F232" s="42">
        <f>(INT($E$25*2/$D232)-INT($E$25*(2-1)/$D232))*$C232</f>
        <v>0.0</v>
      </c>
      <c r="G232" s="42">
        <f>(INT($E$25*3/$D232)-INT($E$25*(3-1)/$D232))*$C232</f>
        <v>23.0</v>
      </c>
      <c r="H232" s="42">
        <f>(INT($E$25*4/$D232)-INT($E$25*(4-1)/$D232))*$C232</f>
        <v>0.0</v>
      </c>
      <c r="I232" s="42">
        <f>(INT($E$25*5/$D232)-INT($E$25*(5-1)/$D232))*$C232</f>
        <v>0.0</v>
      </c>
      <c r="J232" s="42">
        <f>(INT($E$25*6/$D232)-INT($E$25*(6-1)/$D232))*$C232</f>
        <v>23.0</v>
      </c>
      <c r="K232" s="42">
        <f>(INT($E$25*7/$D232)-INT($E$25*(7-1)/$D232))*$C232</f>
        <v>0.0</v>
      </c>
      <c r="L232" s="42">
        <f>(INT($E$25*8/$D232)-INT($E$25*(8-1)/$D232))*$C232</f>
        <v>0.0</v>
      </c>
      <c r="M232" s="42">
        <f>(INT($E$25*9/$D232)-INT($E$25*(9-1)/$D232))*$C232</f>
        <v>23.0</v>
      </c>
      <c r="N232" s="42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44" t="n">
        <v>11.2</v>
      </c>
      <c r="D233" s="43" t="n">
        <v>14000</v>
      </c>
      <c r="E233" s="42">
        <f>(INT($E$25*1/$D233)-INT($E$25*(1-1)/$D233))*$C233</f>
        <v>0.0</v>
      </c>
      <c r="F233" s="42">
        <f>(INT($E$25*2/$D233)-INT($E$25*(2-1)/$D233))*$C233</f>
        <v>11.2</v>
      </c>
      <c r="G233" s="42">
        <f>(INT($E$25*3/$D233)-INT($E$25*(3-1)/$D233))*$C233</f>
        <v>0.0</v>
      </c>
      <c r="H233" s="42">
        <f>(INT($E$25*4/$D233)-INT($E$25*(4-1)/$D233))*$C233</f>
        <v>11.2</v>
      </c>
      <c r="I233" s="42">
        <f>(INT($E$25*5/$D233)-INT($E$25*(5-1)/$D233))*$C233</f>
        <v>0.0</v>
      </c>
      <c r="J233" s="42">
        <f>(INT($E$25*6/$D233)-INT($E$25*(6-1)/$D233))*$C233</f>
        <v>11.2</v>
      </c>
      <c r="K233" s="42">
        <f>(INT($E$25*7/$D233)-INT($E$25*(7-1)/$D233))*$C233</f>
        <v>0.0</v>
      </c>
      <c r="L233" s="42">
        <f>(INT($E$25*8/$D233)-INT($E$25*(8-1)/$D233))*$C233</f>
        <v>11.2</v>
      </c>
      <c r="M233" s="42">
        <f>(INT($E$25*9/$D233)-INT($E$25*(9-1)/$D233))*$C233</f>
        <v>0.0</v>
      </c>
      <c r="N233" s="42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44" t="n">
        <v>6.7</v>
      </c>
      <c r="D234" s="43" t="n">
        <v>6000</v>
      </c>
      <c r="E234" s="42">
        <f>(INT($E$25*1/$D234)-INT($E$25*(1-1)/$D234))*$C234</f>
        <v>6.7</v>
      </c>
      <c r="F234" s="42">
        <f>(INT($E$25*2/$D234)-INT($E$25*(2-1)/$D234))*$C234</f>
        <v>6.7</v>
      </c>
      <c r="G234" s="42">
        <f>(INT($E$25*3/$D234)-INT($E$25*(3-1)/$D234))*$C234</f>
        <v>6.7</v>
      </c>
      <c r="H234" s="42">
        <f>(INT($E$25*4/$D234)-INT($E$25*(4-1)/$D234))*$C234</f>
        <v>6.7</v>
      </c>
      <c r="I234" s="42">
        <f>(INT($E$25*5/$D234)-INT($E$25*(5-1)/$D234))*$C234</f>
        <v>6.7</v>
      </c>
      <c r="J234" s="42">
        <f>(INT($E$25*6/$D234)-INT($E$25*(6-1)/$D234))*$C234</f>
        <v>13.4</v>
      </c>
      <c r="K234" s="42">
        <f>(INT($E$25*7/$D234)-INT($E$25*(7-1)/$D234))*$C234</f>
        <v>6.7</v>
      </c>
      <c r="L234" s="42">
        <f>(INT($E$25*8/$D234)-INT($E$25*(8-1)/$D234))*$C234</f>
        <v>6.7</v>
      </c>
      <c r="M234" s="42">
        <f>(INT($E$25*9/$D234)-INT($E$25*(9-1)/$D234))*$C234</f>
        <v>6.7</v>
      </c>
      <c r="N234" s="42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44" t="n">
        <v>6.7</v>
      </c>
      <c r="D235" s="43" t="n">
        <v>6000</v>
      </c>
      <c r="E235" s="42">
        <f>(INT($E$25*1/$D235)-INT($E$25*(1-1)/$D235))*$C235</f>
        <v>6.7</v>
      </c>
      <c r="F235" s="42">
        <f>(INT($E$25*2/$D235)-INT($E$25*(2-1)/$D235))*$C235</f>
        <v>6.7</v>
      </c>
      <c r="G235" s="42">
        <f>(INT($E$25*3/$D235)-INT($E$25*(3-1)/$D235))*$C235</f>
        <v>6.7</v>
      </c>
      <c r="H235" s="42">
        <f>(INT($E$25*4/$D235)-INT($E$25*(4-1)/$D235))*$C235</f>
        <v>6.7</v>
      </c>
      <c r="I235" s="42">
        <f>(INT($E$25*5/$D235)-INT($E$25*(5-1)/$D235))*$C235</f>
        <v>6.7</v>
      </c>
      <c r="J235" s="42">
        <f>(INT($E$25*6/$D235)-INT($E$25*(6-1)/$D235))*$C235</f>
        <v>13.4</v>
      </c>
      <c r="K235" s="42">
        <f>(INT($E$25*7/$D235)-INT($E$25*(7-1)/$D235))*$C235</f>
        <v>6.7</v>
      </c>
      <c r="L235" s="42">
        <f>(INT($E$25*8/$D235)-INT($E$25*(8-1)/$D235))*$C235</f>
        <v>6.7</v>
      </c>
      <c r="M235" s="42">
        <f>(INT($E$25*9/$D235)-INT($E$25*(9-1)/$D235))*$C235</f>
        <v>6.7</v>
      </c>
      <c r="N235" s="42">
        <f>(INT($E$25*10/$D235)-INT($E$25*(10-1)/$D235))*$C235</f>
        <v>6.7</v>
      </c>
    </row>
    <row r="236">
      <c r="B236" s="22" t="inlineStr">
        <is>
          <t>Accumulator (Recoil Spring)</t>
        </is>
      </c>
      <c r="C236" s="44" t="n">
        <v>10.86</v>
      </c>
      <c r="D236" s="43" t="n">
        <v>12000</v>
      </c>
      <c r="E236" s="42">
        <f>(INT($E$25*1/$D236)-INT($E$25*(1-1)/$D236))*$C236</f>
        <v>0.0</v>
      </c>
      <c r="F236" s="42">
        <f>(INT($E$25*2/$D236)-INT($E$25*(2-1)/$D236))*$C236</f>
        <v>10.86</v>
      </c>
      <c r="G236" s="42">
        <f>(INT($E$25*3/$D236)-INT($E$25*(3-1)/$D236))*$C236</f>
        <v>0.0</v>
      </c>
      <c r="H236" s="42">
        <f>(INT($E$25*4/$D236)-INT($E$25*(4-1)/$D236))*$C236</f>
        <v>10.86</v>
      </c>
      <c r="I236" s="42">
        <f>(INT($E$25*5/$D236)-INT($E$25*(5-1)/$D236))*$C236</f>
        <v>0.0</v>
      </c>
      <c r="J236" s="42">
        <f>(INT($E$25*6/$D236)-INT($E$25*(6-1)/$D236))*$C236</f>
        <v>10.86</v>
      </c>
      <c r="K236" s="42">
        <f>(INT($E$25*7/$D236)-INT($E$25*(7-1)/$D236))*$C236</f>
        <v>10.86</v>
      </c>
      <c r="L236" s="42">
        <f>(INT($E$25*8/$D236)-INT($E$25*(8-1)/$D236))*$C236</f>
        <v>0.0</v>
      </c>
      <c r="M236" s="42">
        <f>(INT($E$25*9/$D236)-INT($E$25*(9-1)/$D236))*$C236</f>
        <v>10.86</v>
      </c>
      <c r="N236" s="42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44" t="n">
        <v>33.6</v>
      </c>
      <c r="D237" s="43" t="n">
        <v>21000</v>
      </c>
      <c r="E237" s="42">
        <f>(INT($E$25*1/$D237)-INT($E$25*(1-1)/$D237))*$C237</f>
        <v>0.0</v>
      </c>
      <c r="F237" s="42">
        <f>(INT($E$25*2/$D237)-INT($E$25*(2-1)/$D237))*$C237</f>
        <v>0.0</v>
      </c>
      <c r="G237" s="42">
        <f>(INT($E$25*3/$D237)-INT($E$25*(3-1)/$D237))*$C237</f>
        <v>33.6</v>
      </c>
      <c r="H237" s="42">
        <f>(INT($E$25*4/$D237)-INT($E$25*(4-1)/$D237))*$C237</f>
        <v>0.0</v>
      </c>
      <c r="I237" s="42">
        <f>(INT($E$25*5/$D237)-INT($E$25*(5-1)/$D237))*$C237</f>
        <v>0.0</v>
      </c>
      <c r="J237" s="42">
        <f>(INT($E$25*6/$D237)-INT($E$25*(6-1)/$D237))*$C237</f>
        <v>33.6</v>
      </c>
      <c r="K237" s="42">
        <f>(INT($E$25*7/$D237)-INT($E$25*(7-1)/$D237))*$C237</f>
        <v>0.0</v>
      </c>
      <c r="L237" s="42">
        <f>(INT($E$25*8/$D237)-INT($E$25*(8-1)/$D237))*$C237</f>
        <v>0.0</v>
      </c>
      <c r="M237" s="42">
        <f>(INT($E$25*9/$D237)-INT($E$25*(9-1)/$D237))*$C237</f>
        <v>33.6</v>
      </c>
      <c r="N237" s="42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44" t="n">
        <v>19.2</v>
      </c>
      <c r="D238" s="43" t="n">
        <v>15000</v>
      </c>
      <c r="E238" s="42">
        <f>(INT($E$25*1/$D238)-INT($E$25*(1-1)/$D238))*$C238</f>
        <v>0.0</v>
      </c>
      <c r="F238" s="42">
        <f>(INT($E$25*2/$D238)-INT($E$25*(2-1)/$D238))*$C238</f>
        <v>0.0</v>
      </c>
      <c r="G238" s="42">
        <f>(INT($E$25*3/$D238)-INT($E$25*(3-1)/$D238))*$C238</f>
        <v>19.2</v>
      </c>
      <c r="H238" s="42">
        <f>(INT($E$25*4/$D238)-INT($E$25*(4-1)/$D238))*$C238</f>
        <v>0.0</v>
      </c>
      <c r="I238" s="42">
        <f>(INT($E$25*5/$D238)-INT($E$25*(5-1)/$D238))*$C238</f>
        <v>19.2</v>
      </c>
      <c r="J238" s="42">
        <f>(INT($E$25*6/$D238)-INT($E$25*(6-1)/$D238))*$C238</f>
        <v>0.0</v>
      </c>
      <c r="K238" s="42">
        <f>(INT($E$25*7/$D238)-INT($E$25*(7-1)/$D238))*$C238</f>
        <v>19.2</v>
      </c>
      <c r="L238" s="42">
        <f>(INT($E$25*8/$D238)-INT($E$25*(8-1)/$D238))*$C238</f>
        <v>0.0</v>
      </c>
      <c r="M238" s="42">
        <f>(INT($E$25*9/$D238)-INT($E$25*(9-1)/$D238))*$C238</f>
        <v>19.2</v>
      </c>
      <c r="N238" s="42">
        <f>(INT($E$25*10/$D238)-INT($E$25*(10-1)/$D238))*$C238</f>
        <v>0.0</v>
      </c>
    </row>
    <row r="239">
      <c r="B239" s="22" t="inlineStr">
        <is>
          <t>TRACK GROUP (гусеница)</t>
        </is>
      </c>
      <c r="C239" s="44" t="n">
        <v>8</v>
      </c>
      <c r="D239" s="43" t="n">
        <v>15000</v>
      </c>
      <c r="E239" s="42">
        <f>(INT($E$25*1/$D239)-INT($E$25*(1-1)/$D239))*$C239</f>
        <v>0.0</v>
      </c>
      <c r="F239" s="42">
        <f>(INT($E$25*2/$D239)-INT($E$25*(2-1)/$D239))*$C239</f>
        <v>0.0</v>
      </c>
      <c r="G239" s="42">
        <f>(INT($E$25*3/$D239)-INT($E$25*(3-1)/$D239))*$C239</f>
        <v>8.0</v>
      </c>
      <c r="H239" s="42">
        <f>(INT($E$25*4/$D239)-INT($E$25*(4-1)/$D239))*$C239</f>
        <v>0.0</v>
      </c>
      <c r="I239" s="42">
        <f>(INT($E$25*5/$D239)-INT($E$25*(5-1)/$D239))*$C239</f>
        <v>8.0</v>
      </c>
      <c r="J239" s="42">
        <f>(INT($E$25*6/$D239)-INT($E$25*(6-1)/$D239))*$C239</f>
        <v>0.0</v>
      </c>
      <c r="K239" s="42">
        <f>(INT($E$25*7/$D239)-INT($E$25*(7-1)/$D239))*$C239</f>
        <v>8.0</v>
      </c>
      <c r="L239" s="42">
        <f>(INT($E$25*8/$D239)-INT($E$25*(8-1)/$D239))*$C239</f>
        <v>0.0</v>
      </c>
      <c r="M239" s="42">
        <f>(INT($E$25*9/$D239)-INT($E$25*(9-1)/$D239))*$C239</f>
        <v>8.0</v>
      </c>
      <c r="N239" s="42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44" t="n">
        <v>3</v>
      </c>
      <c r="D240" s="43" t="n">
        <v>22000</v>
      </c>
      <c r="E240" s="42">
        <f>(INT($E$25*1/$D240)-INT($E$25*(1-1)/$D240))*$C240</f>
        <v>0.0</v>
      </c>
      <c r="F240" s="42">
        <f>(INT($E$25*2/$D240)-INT($E$25*(2-1)/$D240))*$C240</f>
        <v>0.0</v>
      </c>
      <c r="G240" s="42">
        <f>(INT($E$25*3/$D240)-INT($E$25*(3-1)/$D240))*$C240</f>
        <v>0.0</v>
      </c>
      <c r="H240" s="42">
        <f>(INT($E$25*4/$D240)-INT($E$25*(4-1)/$D240))*$C240</f>
        <v>3.0</v>
      </c>
      <c r="I240" s="42">
        <f>(INT($E$25*5/$D240)-INT($E$25*(5-1)/$D240))*$C240</f>
        <v>0.0</v>
      </c>
      <c r="J240" s="42">
        <f>(INT($E$25*6/$D240)-INT($E$25*(6-1)/$D240))*$C240</f>
        <v>0.0</v>
      </c>
      <c r="K240" s="42">
        <f>(INT($E$25*7/$D240)-INT($E$25*(7-1)/$D240))*$C240</f>
        <v>3.0</v>
      </c>
      <c r="L240" s="42">
        <f>(INT($E$25*8/$D240)-INT($E$25*(8-1)/$D240))*$C240</f>
        <v>0.0</v>
      </c>
      <c r="M240" s="42">
        <f>(INT($E$25*9/$D240)-INT($E$25*(9-1)/$D240))*$C240</f>
        <v>0.0</v>
      </c>
      <c r="N240" s="42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44" t="n">
        <v>8.800000000000001</v>
      </c>
      <c r="D241" s="43" t="n">
        <v>6000</v>
      </c>
      <c r="E241" s="42">
        <f>(INT($E$25*1/$D241)-INT($E$25*(1-1)/$D241))*$C241</f>
        <v>8.8</v>
      </c>
      <c r="F241" s="42">
        <f>(INT($E$25*2/$D241)-INT($E$25*(2-1)/$D241))*$C241</f>
        <v>8.8</v>
      </c>
      <c r="G241" s="42">
        <f>(INT($E$25*3/$D241)-INT($E$25*(3-1)/$D241))*$C241</f>
        <v>8.8</v>
      </c>
      <c r="H241" s="42">
        <f>(INT($E$25*4/$D241)-INT($E$25*(4-1)/$D241))*$C241</f>
        <v>8.8</v>
      </c>
      <c r="I241" s="42">
        <f>(INT($E$25*5/$D241)-INT($E$25*(5-1)/$D241))*$C241</f>
        <v>8.8</v>
      </c>
      <c r="J241" s="42">
        <f>(INT($E$25*6/$D241)-INT($E$25*(6-1)/$D241))*$C241</f>
        <v>17.6</v>
      </c>
      <c r="K241" s="42">
        <f>(INT($E$25*7/$D241)-INT($E$25*(7-1)/$D241))*$C241</f>
        <v>8.8</v>
      </c>
      <c r="L241" s="42">
        <f>(INT($E$25*8/$D241)-INT($E$25*(8-1)/$D241))*$C241</f>
        <v>8.8</v>
      </c>
      <c r="M241" s="42">
        <f>(INT($E$25*9/$D241)-INT($E$25*(9-1)/$D241))*$C241</f>
        <v>8.8</v>
      </c>
      <c r="N241" s="42">
        <f>(INT($E$25*10/$D241)-INT($E$25*(10-1)/$D241))*$C241</f>
        <v>8.8</v>
      </c>
    </row>
    <row r="242">
      <c r="B242" s="22" t="inlineStr">
        <is>
          <t>SHIM (прокладки)</t>
        </is>
      </c>
      <c r="C242" s="44" t="n">
        <v>8.800000000000001</v>
      </c>
      <c r="D242" s="43" t="n">
        <v>6000</v>
      </c>
      <c r="E242" s="42">
        <f>(INT($E$25*1/$D242)-INT($E$25*(1-1)/$D242))*$C242</f>
        <v>8.8</v>
      </c>
      <c r="F242" s="42">
        <f>(INT($E$25*2/$D242)-INT($E$25*(2-1)/$D242))*$C242</f>
        <v>8.8</v>
      </c>
      <c r="G242" s="42">
        <f>(INT($E$25*3/$D242)-INT($E$25*(3-1)/$D242))*$C242</f>
        <v>8.8</v>
      </c>
      <c r="H242" s="42">
        <f>(INT($E$25*4/$D242)-INT($E$25*(4-1)/$D242))*$C242</f>
        <v>8.8</v>
      </c>
      <c r="I242" s="42">
        <f>(INT($E$25*5/$D242)-INT($E$25*(5-1)/$D242))*$C242</f>
        <v>8.8</v>
      </c>
      <c r="J242" s="42">
        <f>(INT($E$25*6/$D242)-INT($E$25*(6-1)/$D242))*$C242</f>
        <v>17.6</v>
      </c>
      <c r="K242" s="42">
        <f>(INT($E$25*7/$D242)-INT($E$25*(7-1)/$D242))*$C242</f>
        <v>8.8</v>
      </c>
      <c r="L242" s="42">
        <f>(INT($E$25*8/$D242)-INT($E$25*(8-1)/$D242))*$C242</f>
        <v>8.8</v>
      </c>
      <c r="M242" s="42">
        <f>(INT($E$25*9/$D242)-INT($E$25*(9-1)/$D242))*$C242</f>
        <v>8.8</v>
      </c>
      <c r="N242" s="42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44" t="n">
        <v>2.4</v>
      </c>
      <c r="D243" s="43" t="n">
        <v>6000</v>
      </c>
      <c r="E243" s="42">
        <f>(INT($E$25*1/$D243)-INT($E$25*(1-1)/$D243))*$C243</f>
        <v>2.4</v>
      </c>
      <c r="F243" s="42">
        <f>(INT($E$25*2/$D243)-INT($E$25*(2-1)/$D243))*$C243</f>
        <v>2.4</v>
      </c>
      <c r="G243" s="42">
        <f>(INT($E$25*3/$D243)-INT($E$25*(3-1)/$D243))*$C243</f>
        <v>2.4</v>
      </c>
      <c r="H243" s="42">
        <f>(INT($E$25*4/$D243)-INT($E$25*(4-1)/$D243))*$C243</f>
        <v>2.4</v>
      </c>
      <c r="I243" s="42">
        <f>(INT($E$25*5/$D243)-INT($E$25*(5-1)/$D243))*$C243</f>
        <v>2.4</v>
      </c>
      <c r="J243" s="42">
        <f>(INT($E$25*6/$D243)-INT($E$25*(6-1)/$D243))*$C243</f>
        <v>4.8</v>
      </c>
      <c r="K243" s="42">
        <f>(INT($E$25*7/$D243)-INT($E$25*(7-1)/$D243))*$C243</f>
        <v>2.4</v>
      </c>
      <c r="L243" s="42">
        <f>(INT($E$25*8/$D243)-INT($E$25*(8-1)/$D243))*$C243</f>
        <v>2.4</v>
      </c>
      <c r="M243" s="42">
        <f>(INT($E$25*9/$D243)-INT($E$25*(9-1)/$D243))*$C243</f>
        <v>2.4</v>
      </c>
      <c r="N243" s="42">
        <f>(INT($E$25*10/$D243)-INT($E$25*(10-1)/$D243))*$C243</f>
        <v>2.4</v>
      </c>
    </row>
    <row r="244">
      <c r="B244" s="22" t="inlineStr">
        <is>
          <t>SHIM, GUIDE (прокладки)</t>
        </is>
      </c>
      <c r="C244" s="44" t="n">
        <v>3.2</v>
      </c>
      <c r="D244" s="43" t="n">
        <v>6000</v>
      </c>
      <c r="E244" s="42">
        <f>(INT($E$25*1/$D244)-INT($E$25*(1-1)/$D244))*$C244</f>
        <v>3.2</v>
      </c>
      <c r="F244" s="42">
        <f>(INT($E$25*2/$D244)-INT($E$25*(2-1)/$D244))*$C244</f>
        <v>3.2</v>
      </c>
      <c r="G244" s="42">
        <f>(INT($E$25*3/$D244)-INT($E$25*(3-1)/$D244))*$C244</f>
        <v>3.2</v>
      </c>
      <c r="H244" s="42">
        <f>(INT($E$25*4/$D244)-INT($E$25*(4-1)/$D244))*$C244</f>
        <v>3.2</v>
      </c>
      <c r="I244" s="42">
        <f>(INT($E$25*5/$D244)-INT($E$25*(5-1)/$D244))*$C244</f>
        <v>3.2</v>
      </c>
      <c r="J244" s="42">
        <f>(INT($E$25*6/$D244)-INT($E$25*(6-1)/$D244))*$C244</f>
        <v>6.4</v>
      </c>
      <c r="K244" s="42">
        <f>(INT($E$25*7/$D244)-INT($E$25*(7-1)/$D244))*$C244</f>
        <v>3.2</v>
      </c>
      <c r="L244" s="42">
        <f>(INT($E$25*8/$D244)-INT($E$25*(8-1)/$D244))*$C244</f>
        <v>3.2</v>
      </c>
      <c r="M244" s="42">
        <f>(INT($E$25*9/$D244)-INT($E$25*(9-1)/$D244))*$C244</f>
        <v>3.2</v>
      </c>
      <c r="N244" s="42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44" t="n">
        <v>36</v>
      </c>
      <c r="D245" s="43" t="n">
        <v>12000</v>
      </c>
      <c r="E245" s="42">
        <f>(INT($E$25*1/$D245)-INT($E$25*(1-1)/$D245))*$C245</f>
        <v>0.0</v>
      </c>
      <c r="F245" s="42">
        <f>(INT($E$25*2/$D245)-INT($E$25*(2-1)/$D245))*$C245</f>
        <v>36.0</v>
      </c>
      <c r="G245" s="42">
        <f>(INT($E$25*3/$D245)-INT($E$25*(3-1)/$D245))*$C245</f>
        <v>0.0</v>
      </c>
      <c r="H245" s="42">
        <f>(INT($E$25*4/$D245)-INT($E$25*(4-1)/$D245))*$C245</f>
        <v>36.0</v>
      </c>
      <c r="I245" s="42">
        <f>(INT($E$25*5/$D245)-INT($E$25*(5-1)/$D245))*$C245</f>
        <v>0.0</v>
      </c>
      <c r="J245" s="42">
        <f>(INT($E$25*6/$D245)-INT($E$25*(6-1)/$D245))*$C245</f>
        <v>36.0</v>
      </c>
      <c r="K245" s="42">
        <f>(INT($E$25*7/$D245)-INT($E$25*(7-1)/$D245))*$C245</f>
        <v>36.0</v>
      </c>
      <c r="L245" s="42">
        <f>(INT($E$25*8/$D245)-INT($E$25*(8-1)/$D245))*$C245</f>
        <v>0.0</v>
      </c>
      <c r="M245" s="42">
        <f>(INT($E$25*9/$D245)-INT($E$25*(9-1)/$D245))*$C245</f>
        <v>36.0</v>
      </c>
      <c r="N245" s="42">
        <f>(INT($E$25*10/$D245)-INT($E$25*(10-1)/$D245))*$C245</f>
        <v>0.0</v>
      </c>
    </row>
    <row r="246">
      <c r="B246" s="22" t="inlineStr">
        <is>
          <t>SHEAVE W/BUSH-1 ROPE (шкив)</t>
        </is>
      </c>
      <c r="C246" s="44" t="n">
        <v>14</v>
      </c>
      <c r="D246" s="43" t="n">
        <v>15000</v>
      </c>
      <c r="E246" s="42">
        <f>(INT($E$25*1/$D246)-INT($E$25*(1-1)/$D246))*$C246</f>
        <v>0.0</v>
      </c>
      <c r="F246" s="42">
        <f>(INT($E$25*2/$D246)-INT($E$25*(2-1)/$D246))*$C246</f>
        <v>0.0</v>
      </c>
      <c r="G246" s="42">
        <f>(INT($E$25*3/$D246)-INT($E$25*(3-1)/$D246))*$C246</f>
        <v>14.0</v>
      </c>
      <c r="H246" s="42">
        <f>(INT($E$25*4/$D246)-INT($E$25*(4-1)/$D246))*$C246</f>
        <v>0.0</v>
      </c>
      <c r="I246" s="42">
        <f>(INT($E$25*5/$D246)-INT($E$25*(5-1)/$D246))*$C246</f>
        <v>14.0</v>
      </c>
      <c r="J246" s="42">
        <f>(INT($E$25*6/$D246)-INT($E$25*(6-1)/$D246))*$C246</f>
        <v>0.0</v>
      </c>
      <c r="K246" s="42">
        <f>(INT($E$25*7/$D246)-INT($E$25*(7-1)/$D246))*$C246</f>
        <v>14.0</v>
      </c>
      <c r="L246" s="42">
        <f>(INT($E$25*8/$D246)-INT($E$25*(8-1)/$D246))*$C246</f>
        <v>0.0</v>
      </c>
      <c r="M246" s="42">
        <f>(INT($E$25*9/$D246)-INT($E$25*(9-1)/$D246))*$C246</f>
        <v>14.0</v>
      </c>
      <c r="N246" s="42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44" t="n">
        <v>2.1</v>
      </c>
      <c r="D247" s="43" t="n">
        <v>12000</v>
      </c>
      <c r="E247" s="42">
        <f>(INT($E$25*1/$D247)-INT($E$25*(1-1)/$D247))*$C247</f>
        <v>0.0</v>
      </c>
      <c r="F247" s="42">
        <f>(INT($E$25*2/$D247)-INT($E$25*(2-1)/$D247))*$C247</f>
        <v>2.1</v>
      </c>
      <c r="G247" s="42">
        <f>(INT($E$25*3/$D247)-INT($E$25*(3-1)/$D247))*$C247</f>
        <v>0.0</v>
      </c>
      <c r="H247" s="42">
        <f>(INT($E$25*4/$D247)-INT($E$25*(4-1)/$D247))*$C247</f>
        <v>2.1</v>
      </c>
      <c r="I247" s="42">
        <f>(INT($E$25*5/$D247)-INT($E$25*(5-1)/$D247))*$C247</f>
        <v>0.0</v>
      </c>
      <c r="J247" s="42">
        <f>(INT($E$25*6/$D247)-INT($E$25*(6-1)/$D247))*$C247</f>
        <v>2.1</v>
      </c>
      <c r="K247" s="42">
        <f>(INT($E$25*7/$D247)-INT($E$25*(7-1)/$D247))*$C247</f>
        <v>2.1</v>
      </c>
      <c r="L247" s="42">
        <f>(INT($E$25*8/$D247)-INT($E$25*(8-1)/$D247))*$C247</f>
        <v>0.0</v>
      </c>
      <c r="M247" s="42">
        <f>(INT($E$25*9/$D247)-INT($E$25*(9-1)/$D247))*$C247</f>
        <v>2.1</v>
      </c>
      <c r="N247" s="42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44" t="n">
        <v>1.5</v>
      </c>
      <c r="D248" s="43" t="n">
        <v>8000</v>
      </c>
      <c r="E248" s="42">
        <f>(INT($E$25*1/$D248)-INT($E$25*(1-1)/$D248))*$C248</f>
        <v>0.0</v>
      </c>
      <c r="F248" s="42">
        <f>(INT($E$25*2/$D248)-INT($E$25*(2-1)/$D248))*$C248</f>
        <v>1.5</v>
      </c>
      <c r="G248" s="42">
        <f>(INT($E$25*3/$D248)-INT($E$25*(3-1)/$D248))*$C248</f>
        <v>1.5</v>
      </c>
      <c r="H248" s="42">
        <f>(INT($E$25*4/$D248)-INT($E$25*(4-1)/$D248))*$C248</f>
        <v>1.5</v>
      </c>
      <c r="I248" s="42">
        <f>(INT($E$25*5/$D248)-INT($E$25*(5-1)/$D248))*$C248</f>
        <v>1.5</v>
      </c>
      <c r="J248" s="42">
        <f>(INT($E$25*6/$D248)-INT($E$25*(6-1)/$D248))*$C248</f>
        <v>1.5</v>
      </c>
      <c r="K248" s="42">
        <f>(INT($E$25*7/$D248)-INT($E$25*(7-1)/$D248))*$C248</f>
        <v>1.5</v>
      </c>
      <c r="L248" s="42">
        <f>(INT($E$25*8/$D248)-INT($E$25*(8-1)/$D248))*$C248</f>
        <v>1.5</v>
      </c>
      <c r="M248" s="42">
        <f>(INT($E$25*9/$D248)-INT($E$25*(9-1)/$D248))*$C248</f>
        <v>0.0</v>
      </c>
      <c r="N248" s="42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44" t="n">
        <v>36</v>
      </c>
      <c r="D249" s="43" t="n">
        <v>15000</v>
      </c>
      <c r="E249" s="42">
        <f>(INT($E$25*1/$D249)-INT($E$25*(1-1)/$D249))*$C249</f>
        <v>0.0</v>
      </c>
      <c r="F249" s="42">
        <f>(INT($E$25*2/$D249)-INT($E$25*(2-1)/$D249))*$C249</f>
        <v>0.0</v>
      </c>
      <c r="G249" s="42">
        <f>(INT($E$25*3/$D249)-INT($E$25*(3-1)/$D249))*$C249</f>
        <v>36.0</v>
      </c>
      <c r="H249" s="42">
        <f>(INT($E$25*4/$D249)-INT($E$25*(4-1)/$D249))*$C249</f>
        <v>0.0</v>
      </c>
      <c r="I249" s="42">
        <f>(INT($E$25*5/$D249)-INT($E$25*(5-1)/$D249))*$C249</f>
        <v>36.0</v>
      </c>
      <c r="J249" s="42">
        <f>(INT($E$25*6/$D249)-INT($E$25*(6-1)/$D249))*$C249</f>
        <v>0.0</v>
      </c>
      <c r="K249" s="42">
        <f>(INT($E$25*7/$D249)-INT($E$25*(7-1)/$D249))*$C249</f>
        <v>36.0</v>
      </c>
      <c r="L249" s="42">
        <f>(INT($E$25*8/$D249)-INT($E$25*(8-1)/$D249))*$C249</f>
        <v>0.0</v>
      </c>
      <c r="M249" s="42">
        <f>(INT($E$25*9/$D249)-INT($E$25*(9-1)/$D249))*$C249</f>
        <v>36.0</v>
      </c>
      <c r="N249" s="42">
        <f>(INT($E$25*10/$D249)-INT($E$25*(10-1)/$D249))*$C249</f>
        <v>0.0</v>
      </c>
    </row>
    <row r="250">
      <c r="B250" s="22" t="inlineStr">
        <is>
          <t>Valve,solenoid (соленоид)</t>
        </is>
      </c>
      <c r="C250" s="44" t="n">
        <v>30</v>
      </c>
      <c r="D250" s="43" t="n">
        <v>15000</v>
      </c>
      <c r="E250" s="42">
        <f>(INT($E$25*1/$D250)-INT($E$25*(1-1)/$D250))*$C250</f>
        <v>0.0</v>
      </c>
      <c r="F250" s="42">
        <f>(INT($E$25*2/$D250)-INT($E$25*(2-1)/$D250))*$C250</f>
        <v>0.0</v>
      </c>
      <c r="G250" s="42">
        <f>(INT($E$25*3/$D250)-INT($E$25*(3-1)/$D250))*$C250</f>
        <v>30.0</v>
      </c>
      <c r="H250" s="42">
        <f>(INT($E$25*4/$D250)-INT($E$25*(4-1)/$D250))*$C250</f>
        <v>0.0</v>
      </c>
      <c r="I250" s="42">
        <f>(INT($E$25*5/$D250)-INT($E$25*(5-1)/$D250))*$C250</f>
        <v>30.0</v>
      </c>
      <c r="J250" s="42">
        <f>(INT($E$25*6/$D250)-INT($E$25*(6-1)/$D250))*$C250</f>
        <v>0.0</v>
      </c>
      <c r="K250" s="42">
        <f>(INT($E$25*7/$D250)-INT($E$25*(7-1)/$D250))*$C250</f>
        <v>30.0</v>
      </c>
      <c r="L250" s="42">
        <f>(INT($E$25*8/$D250)-INT($E$25*(8-1)/$D250))*$C250</f>
        <v>0.0</v>
      </c>
      <c r="M250" s="42">
        <f>(INT($E$25*9/$D250)-INT($E$25*(9-1)/$D250))*$C250</f>
        <v>30.0</v>
      </c>
      <c r="N250" s="42">
        <f>(INT($E$25*10/$D250)-INT($E$25*(10-1)/$D250))*$C250</f>
        <v>0.0</v>
      </c>
    </row>
    <row r="251">
      <c r="B251" s="45" t="inlineStr">
        <is>
          <t>ИТОГО</t>
        </is>
      </c>
      <c r="E251" s="42">
        <f>SUM(E192:E250)</f>
        <v>36.60000000000001</v>
      </c>
      <c r="F251" s="42">
        <f>SUM(F192:F250)</f>
        <v>192.66</v>
      </c>
      <c r="G251" s="42">
        <f>SUM(G192:G250)</f>
        <v>330.45</v>
      </c>
      <c r="H251" s="42">
        <f>SUM(H192:H250)</f>
        <v>188.56</v>
      </c>
      <c r="I251" s="42">
        <f>SUM(I192:I250)</f>
        <v>267.75</v>
      </c>
      <c r="J251" s="42">
        <f>SUM(J192:J250)</f>
        <v>319.96000000000004</v>
      </c>
      <c r="K251" s="42">
        <f>SUM(K192:K250)</f>
        <v>300.71</v>
      </c>
      <c r="L251" s="42">
        <f>SUM(L192:L250)</f>
        <v>155.4</v>
      </c>
      <c r="M251" s="42">
        <f>SUM(M192:M250)</f>
        <v>403.40999999999997</v>
      </c>
      <c r="N251" s="42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4" t="inlineStr">
        <is>
          <t>шт./тыс.пог.м</t>
        </is>
      </c>
      <c r="D255" s="46" t="n">
        <v>1.07</v>
      </c>
      <c r="E255" s="44" t="n">
        <v>1.6</v>
      </c>
    </row>
    <row r="256">
      <c r="B256" s="22" t="inlineStr">
        <is>
          <t>Штанги буровые / адаптеры</t>
        </is>
      </c>
      <c r="C256" s="24" t="inlineStr">
        <is>
          <t>шт./тыс.пог.м</t>
        </is>
      </c>
      <c r="D256" s="46" t="n">
        <v>1</v>
      </c>
      <c r="E256" s="44" t="n">
        <v>4</v>
      </c>
    </row>
    <row r="257">
      <c r="B257" s="22" t="inlineStr">
        <is>
          <t>Прочие расходники</t>
        </is>
      </c>
      <c r="C257" s="24" t="inlineStr">
        <is>
          <t>руб/пог.м</t>
        </is>
      </c>
      <c r="D257" s="44" t="n">
        <v>0</v>
      </c>
    </row>
    <row r="259">
      <c r="B259" s="47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2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37" t="str">
        <f>'Ввод данных'!E7</f>
        <v>Sunward
SWDRT250SM</v>
      </c>
    </row>
    <row r="5">
      <c r="B5" s="9" t="inlineStr">
        <is>
          <t>Валюта затрат ТОиР:</t>
        </is>
      </c>
      <c r="D5" s="38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E40</f>
        <v>636.3723333333335</v>
      </c>
      <c r="F8" s="40">
        <f>F40</f>
        <v>636.3723333333335</v>
      </c>
      <c r="G8" s="40">
        <f>G40</f>
        <v>636.3723333333335</v>
      </c>
      <c r="H8" s="40">
        <f>H40</f>
        <v>636.3723333333335</v>
      </c>
      <c r="I8" s="40">
        <f>I40</f>
        <v>636.3723333333335</v>
      </c>
      <c r="J8" s="40">
        <f>J40</f>
        <v>636.3723333333335</v>
      </c>
      <c r="K8" s="40">
        <f>K40</f>
        <v>636.3723333333335</v>
      </c>
      <c r="L8" s="40">
        <f>L40</f>
        <v>636.3723333333335</v>
      </c>
      <c r="M8" s="40">
        <f>M40</f>
        <v>636.3723333333335</v>
      </c>
      <c r="N8" s="40">
        <f>N40</f>
        <v>636.3723333333335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425.645</v>
      </c>
      <c r="F9" s="32" t="n">
        <v>690.645</v>
      </c>
      <c r="G9" s="32" t="n">
        <v>870.645</v>
      </c>
      <c r="H9" s="32" t="n">
        <v>605.645</v>
      </c>
      <c r="I9" s="32" t="n">
        <v>690.645</v>
      </c>
      <c r="J9" s="32" t="n">
        <v>890.645</v>
      </c>
      <c r="K9" s="32" t="n">
        <v>720.645</v>
      </c>
      <c r="L9" s="32" t="n">
        <v>690.645</v>
      </c>
      <c r="M9" s="32" t="n">
        <v>830.645</v>
      </c>
      <c r="N9" s="32" t="n">
        <v>790.645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('Параметры'!C27-E8-E9)/'Параметры'!C28*20/60</f>
        <v>213.83285185185184</v>
      </c>
      <c r="F10" s="41">
        <f>('Параметры'!C27-F8-F9)/'Параметры'!C28*20/60</f>
        <v>206.47174074074076</v>
      </c>
      <c r="G10" s="41">
        <f>('Параметры'!C27-G8-G9)/'Параметры'!C28*20/60</f>
        <v>201.47174074074076</v>
      </c>
      <c r="H10" s="41">
        <f>('Параметры'!C27-H8-H9)/'Параметры'!C28*20/60</f>
        <v>208.83285185185184</v>
      </c>
      <c r="I10" s="41">
        <f>('Параметры'!C27-I8-I9)/'Параметры'!C28*20/60</f>
        <v>206.47174074074076</v>
      </c>
      <c r="J10" s="41">
        <f>('Параметры'!C27-J8-J9)/'Параметры'!C28*20/60</f>
        <v>200.91618518518516</v>
      </c>
      <c r="K10" s="41">
        <f>('Параметры'!C27-K8-K9)/'Параметры'!C28*20/60</f>
        <v>205.63840740740744</v>
      </c>
      <c r="L10" s="41">
        <f>('Параметры'!C27-L8-L9)/'Параметры'!C28*20/60</f>
        <v>206.47174074074076</v>
      </c>
      <c r="M10" s="41">
        <f>('Параметры'!C27-M8-M9)/'Параметры'!C28*20/60</f>
        <v>202.58285185185184</v>
      </c>
      <c r="N10" s="41">
        <f>('Параметры'!C27-N8-N9)/'Параметры'!C28*20/60</f>
        <v>203.69396296296296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0.8948</v>
      </c>
      <c r="F11" s="33" t="n">
        <v>0.8653999999999999</v>
      </c>
      <c r="G11" s="33" t="n">
        <v>0.8454</v>
      </c>
      <c r="H11" s="33" t="n">
        <v>0.8748</v>
      </c>
      <c r="I11" s="33" t="n">
        <v>0.8653999999999999</v>
      </c>
      <c r="J11" s="33" t="n">
        <v>0.8431999999999999</v>
      </c>
      <c r="K11" s="33" t="n">
        <v>0.8621</v>
      </c>
      <c r="L11" s="33" t="n">
        <v>0.8653999999999999</v>
      </c>
      <c r="M11" s="33" t="n">
        <v>0.8498</v>
      </c>
      <c r="N11" s="33" t="n">
        <v>0.8542999999999999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E85</f>
        <v>136.07378843333333</v>
      </c>
      <c r="F12" s="42">
        <f>F85</f>
        <v>136.07378843333333</v>
      </c>
      <c r="G12" s="42">
        <f>G85</f>
        <v>136.07378843333333</v>
      </c>
      <c r="H12" s="42">
        <f>H85</f>
        <v>136.07378843333333</v>
      </c>
      <c r="I12" s="42">
        <f>I85</f>
        <v>136.07378843333333</v>
      </c>
      <c r="J12" s="42">
        <f>J85</f>
        <v>136.07378843333333</v>
      </c>
      <c r="K12" s="42">
        <f>K85</f>
        <v>136.07378843333333</v>
      </c>
      <c r="L12" s="42">
        <f>L85</f>
        <v>136.07378843333333</v>
      </c>
      <c r="M12" s="42">
        <f>M85</f>
        <v>136.07378843333333</v>
      </c>
      <c r="N12" s="42">
        <f>N85</f>
        <v>136.07378843333333</v>
      </c>
    </row>
    <row r="13">
      <c r="B13" s="39" t="inlineStr">
        <is>
          <t>Затраты на ЗЧ текущих ремонтов (по ресурсу)</t>
        </is>
      </c>
      <c r="C13" s="24" t="inlineStr">
        <is>
          <t>тыс.вал/г</t>
        </is>
      </c>
      <c r="E13" s="42">
        <f>E105</f>
        <v>4.506819999999999</v>
      </c>
      <c r="F13" s="42">
        <f>F105</f>
        <v>60.109840000000005</v>
      </c>
      <c r="G13" s="42">
        <f>G105</f>
        <v>145.1624</v>
      </c>
      <c r="H13" s="42">
        <f>H105</f>
        <v>60.109840000000005</v>
      </c>
      <c r="I13" s="42">
        <f>I105</f>
        <v>144.82518</v>
      </c>
      <c r="J13" s="42">
        <f>J105</f>
        <v>67.22701</v>
      </c>
      <c r="K13" s="42">
        <f>K105</f>
        <v>145.21432</v>
      </c>
      <c r="L13" s="42">
        <f>L105</f>
        <v>60.057919999999996</v>
      </c>
      <c r="M13" s="42">
        <f>M105</f>
        <v>111.9831</v>
      </c>
      <c r="N13" s="42">
        <f>N105</f>
        <v>105.58931</v>
      </c>
    </row>
    <row r="14">
      <c r="B14" s="39" t="inlineStr">
        <is>
          <t>Затраты на ЗЧ капремонтов (по ресурсу)</t>
        </is>
      </c>
      <c r="C14" s="24" t="inlineStr">
        <is>
          <t>тыс.вал/г</t>
        </is>
      </c>
      <c r="E14" s="42">
        <f>E188</f>
        <v>7.382379999999999</v>
      </c>
      <c r="F14" s="42">
        <f>F188</f>
        <v>204.26495</v>
      </c>
      <c r="G14" s="42">
        <f>G188</f>
        <v>438.81584</v>
      </c>
      <c r="H14" s="42">
        <f>H188</f>
        <v>434.86339000000004</v>
      </c>
      <c r="I14" s="42">
        <f>I188</f>
        <v>610.36746</v>
      </c>
      <c r="J14" s="42">
        <f>J188</f>
        <v>366.36175000000003</v>
      </c>
      <c r="K14" s="42">
        <f>K188</f>
        <v>590.25823</v>
      </c>
      <c r="L14" s="42">
        <f>L188</f>
        <v>224.66392</v>
      </c>
      <c r="M14" s="42">
        <f>M188</f>
        <v>774.55654</v>
      </c>
      <c r="N14" s="42">
        <f>N188</f>
        <v>283.30237000000005</v>
      </c>
    </row>
    <row r="15">
      <c r="B15" s="39" t="inlineStr">
        <is>
          <t>Трудозатраты ТО (авто)</t>
        </is>
      </c>
      <c r="C15" s="24" t="inlineStr">
        <is>
          <t>ч-час/г</t>
        </is>
      </c>
      <c r="E15" s="40">
        <f>E47</f>
        <v>636.3723333333335</v>
      </c>
      <c r="F15" s="40">
        <f>F47</f>
        <v>636.3723333333335</v>
      </c>
      <c r="G15" s="40">
        <f>G47</f>
        <v>636.3723333333335</v>
      </c>
      <c r="H15" s="40">
        <f>H47</f>
        <v>636.3723333333335</v>
      </c>
      <c r="I15" s="40">
        <f>I47</f>
        <v>636.3723333333335</v>
      </c>
      <c r="J15" s="40">
        <f>J47</f>
        <v>636.3723333333335</v>
      </c>
      <c r="K15" s="40">
        <f>K47</f>
        <v>636.3723333333335</v>
      </c>
      <c r="L15" s="40">
        <f>L47</f>
        <v>636.3723333333335</v>
      </c>
      <c r="M15" s="40">
        <f>M47</f>
        <v>636.3723333333335</v>
      </c>
      <c r="N15" s="40">
        <f>N47</f>
        <v>636.3723333333335</v>
      </c>
    </row>
    <row r="16">
      <c r="B16" s="39" t="inlineStr">
        <is>
          <t>Трудозатраты текущих ремонтов (авто)</t>
        </is>
      </c>
      <c r="C16" s="24" t="inlineStr">
        <is>
          <t>ч-час/г</t>
        </is>
      </c>
      <c r="E16" s="40">
        <f>E125</f>
        <v>48.4</v>
      </c>
      <c r="F16" s="40">
        <f>F125</f>
        <v>174.3</v>
      </c>
      <c r="G16" s="40">
        <f>G125</f>
        <v>228.3</v>
      </c>
      <c r="H16" s="40">
        <f>H125</f>
        <v>174.3</v>
      </c>
      <c r="I16" s="40">
        <f>I125</f>
        <v>220.4</v>
      </c>
      <c r="J16" s="40">
        <f>J125</f>
        <v>255.8</v>
      </c>
      <c r="K16" s="40">
        <f>K125</f>
        <v>226.3</v>
      </c>
      <c r="L16" s="40">
        <f>L125</f>
        <v>176.3</v>
      </c>
      <c r="M16" s="40">
        <f>M125</f>
        <v>214.4</v>
      </c>
      <c r="N16" s="40">
        <f>N125</f>
        <v>365.3</v>
      </c>
    </row>
    <row r="17">
      <c r="B17" s="39" t="inlineStr">
        <is>
          <t>Трудозатраты капремонтов (авто)</t>
        </is>
      </c>
      <c r="C17" s="24" t="inlineStr">
        <is>
          <t>ч-час/г</t>
        </is>
      </c>
      <c r="E17" s="40">
        <f>E251</f>
        <v>36.60000000000001</v>
      </c>
      <c r="F17" s="40">
        <f>F251</f>
        <v>192.66</v>
      </c>
      <c r="G17" s="40">
        <f>G251</f>
        <v>330.45</v>
      </c>
      <c r="H17" s="40">
        <f>H251</f>
        <v>188.56</v>
      </c>
      <c r="I17" s="40">
        <f>I251</f>
        <v>267.75</v>
      </c>
      <c r="J17" s="40">
        <f>J251</f>
        <v>319.96000000000004</v>
      </c>
      <c r="K17" s="40">
        <f>K251</f>
        <v>300.71</v>
      </c>
      <c r="L17" s="40">
        <f>L251</f>
        <v>155.4</v>
      </c>
      <c r="M17" s="40">
        <f>M251</f>
        <v>403.40999999999997</v>
      </c>
      <c r="N17" s="40">
        <f>N251</f>
        <v>102.4</v>
      </c>
    </row>
    <row r="18">
      <c r="B18" s="39" t="inlineStr">
        <is>
          <t>Сервис (трудозатраты ТО+ТР+КР)</t>
        </is>
      </c>
      <c r="C18" s="24" t="inlineStr">
        <is>
          <t>тыс.вал/г</t>
        </is>
      </c>
      <c r="E18" s="42">
        <f>(E15+E16+E17)*$E$23/1000</f>
        <v>41.76292665221791</v>
      </c>
      <c r="F18" s="42">
        <f>(F15+F16+F17)*$E$23/1000</f>
        <v>58.08663946283677</v>
      </c>
      <c r="G18" s="42">
        <f>(G15+G16+G17)*$E$23/1000</f>
        <v>69.19007569474411</v>
      </c>
      <c r="H18" s="42">
        <f>(H15+H16+H17)*$E$23/1000</f>
        <v>57.84927521782494</v>
      </c>
      <c r="I18" s="42">
        <f>(I15+I16+I17)*$E$23/1000</f>
        <v>65.10277918307688</v>
      </c>
      <c r="J18" s="42">
        <f>(J15+J16+J17)*$E$23/1000</f>
        <v>70.17484784295176</v>
      </c>
      <c r="K18" s="42">
        <f>(K15+K16+K17)*$E$23/1000</f>
        <v>67.35252907604273</v>
      </c>
      <c r="L18" s="42">
        <f>(L15+L16+L17)*$E$23/1000</f>
        <v>56.04530695573498</v>
      </c>
      <c r="M18" s="42">
        <f>(M15+M16+M17)*$E$23/1000</f>
        <v>72.60927869728047</v>
      </c>
      <c r="N18" s="42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4" t="inlineStr">
        <is>
          <t>коэф.</t>
        </is>
      </c>
      <c r="E19" s="27" t="n">
        <v>0.8225</v>
      </c>
    </row>
    <row r="20">
      <c r="B20" s="39" t="inlineStr">
        <is>
          <t>ИТОГО ТОиР → «Данные по годам»</t>
        </is>
      </c>
      <c r="C20" s="24" t="inlineStr">
        <is>
          <t>тыс.вал/г</t>
        </is>
      </c>
      <c r="E20" s="42">
        <f>(E12+E13+E14+E18)*$E$19</f>
        <v>156.0495651578659</v>
      </c>
      <c r="F20" s="42">
        <f>(F12+F13+F14+F18)*$E$19</f>
        <v>377.14521671959994</v>
      </c>
      <c r="G20" s="42">
        <f>(G12+G13+G14+G18)*$E$19</f>
        <v>649.1516306453437</v>
      </c>
      <c r="H20" s="42">
        <f>(H12+H13+H14+H18)*$E$19</f>
        <v>566.6172015280778</v>
      </c>
      <c r="I20" s="42">
        <f>(I12+I13+I14+I18)*$E$19</f>
        <v>786.6136732644975</v>
      </c>
      <c r="J20" s="42">
        <f>(J12+J13+J14+J18)*$E$19</f>
        <v>526.2662584372445</v>
      </c>
      <c r="K20" s="42">
        <f>(K12+K13+K14+K18)*$E$19</f>
        <v>772.2443185264619</v>
      </c>
      <c r="L20" s="42">
        <f>(L12+L13+L14+L18)*$E$19</f>
        <v>392.2016693575087</v>
      </c>
      <c r="M20" s="42">
        <f>(M12+M13+M14+M18)*$E$19</f>
        <v>900.8206766149299</v>
      </c>
      <c r="N20" s="42">
        <f>(N12+N13+N14+N18)*$E$19</f>
        <v>484.3573540860512</v>
      </c>
    </row>
    <row r="21">
      <c r="B21" s="22" t="inlineStr">
        <is>
          <t>Удельный расход ДТ / энергии</t>
        </is>
      </c>
      <c r="C21" s="24" t="inlineStr">
        <is>
          <t>кг(кВт)/час</t>
        </is>
      </c>
      <c r="E21" s="34" t="n">
        <v>38.7</v>
      </c>
      <c r="F21" s="34" t="n">
        <v>38.7</v>
      </c>
      <c r="G21" s="34" t="n">
        <v>38.7</v>
      </c>
      <c r="H21" s="34" t="n">
        <v>38.7</v>
      </c>
      <c r="I21" s="34" t="n">
        <v>38.7</v>
      </c>
      <c r="J21" s="34" t="n">
        <v>38.7</v>
      </c>
      <c r="K21" s="34" t="n">
        <v>38.7</v>
      </c>
      <c r="L21" s="34" t="n">
        <v>38.7</v>
      </c>
      <c r="M21" s="34" t="n">
        <v>38.7</v>
      </c>
      <c r="N21" s="34" t="n">
        <v>38.7</v>
      </c>
    </row>
    <row r="23">
      <c r="B23" s="22" t="inlineStr">
        <is>
          <t>Ставка сервиса</t>
        </is>
      </c>
      <c r="C23" s="24" t="inlineStr">
        <is>
          <t>вал/ч·час</t>
        </is>
      </c>
      <c r="E23" s="27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2" t="n">
        <v>7000</v>
      </c>
      <c r="F25" s="32" t="n">
        <v>7000</v>
      </c>
      <c r="G25" s="32" t="n">
        <v>7000</v>
      </c>
      <c r="H25" s="32" t="n">
        <v>7000</v>
      </c>
      <c r="I25" s="32" t="n">
        <v>7000</v>
      </c>
      <c r="J25" s="32" t="n">
        <v>7000</v>
      </c>
      <c r="K25" s="32" t="n">
        <v>7000</v>
      </c>
      <c r="L25" s="32" t="n">
        <v>7000</v>
      </c>
      <c r="M25" s="32" t="n">
        <v>7000</v>
      </c>
      <c r="N25" s="32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3" t="n">
        <v>250</v>
      </c>
      <c r="D27" s="44" t="n">
        <v>10.9</v>
      </c>
      <c r="E27" s="43" t="n">
        <v>1</v>
      </c>
    </row>
    <row r="28">
      <c r="B28" s="22" t="inlineStr">
        <is>
          <t>ТО-2</t>
        </is>
      </c>
      <c r="C28" s="43" t="n">
        <v>500</v>
      </c>
      <c r="D28" s="44" t="n">
        <v>13.5</v>
      </c>
      <c r="E28" s="43" t="n">
        <v>1</v>
      </c>
    </row>
    <row r="29">
      <c r="B29" s="22" t="inlineStr">
        <is>
          <t>ТО-3</t>
        </is>
      </c>
      <c r="C29" s="43" t="n">
        <v>1000</v>
      </c>
      <c r="D29" s="44" t="n">
        <v>12.43</v>
      </c>
      <c r="E29" s="43" t="n">
        <v>1</v>
      </c>
    </row>
    <row r="30">
      <c r="B30" s="22" t="inlineStr">
        <is>
          <t>ТО-4</t>
        </is>
      </c>
      <c r="C30" s="43" t="n">
        <v>2000</v>
      </c>
      <c r="D30" s="44" t="n">
        <v>5.67</v>
      </c>
      <c r="E30" s="43" t="n">
        <v>1</v>
      </c>
    </row>
    <row r="31">
      <c r="B31" s="22" t="inlineStr">
        <is>
          <t>ТО-5</t>
        </is>
      </c>
      <c r="C31" s="43" t="n">
        <v>3000</v>
      </c>
      <c r="D31" s="44" t="n">
        <v>10.06</v>
      </c>
      <c r="E31" s="43" t="n">
        <v>1</v>
      </c>
    </row>
    <row r="32">
      <c r="B32" s="22" t="inlineStr">
        <is>
          <t>ТО-6</t>
        </is>
      </c>
      <c r="C32" s="43" t="n">
        <v>5000</v>
      </c>
      <c r="D32" s="44" t="n">
        <v>8.460000000000001</v>
      </c>
      <c r="E32" s="43" t="n">
        <v>1</v>
      </c>
    </row>
    <row r="34">
      <c r="B34" s="39" t="inlineStr">
        <is>
          <t>ТО-1: простои, ч/год</t>
        </is>
      </c>
      <c r="C34" s="24" t="inlineStr">
        <is>
          <t>ч</t>
        </is>
      </c>
      <c r="E34" s="42">
        <f>E$25/$C27*$D27</f>
        <v>305.2</v>
      </c>
      <c r="F34" s="42">
        <f>F$25/$C27*$D27</f>
        <v>305.2</v>
      </c>
      <c r="G34" s="42">
        <f>G$25/$C27*$D27</f>
        <v>305.2</v>
      </c>
      <c r="H34" s="42">
        <f>H$25/$C27*$D27</f>
        <v>305.2</v>
      </c>
      <c r="I34" s="42">
        <f>I$25/$C27*$D27</f>
        <v>305.2</v>
      </c>
      <c r="J34" s="42">
        <f>J$25/$C27*$D27</f>
        <v>305.2</v>
      </c>
      <c r="K34" s="42">
        <f>K$25/$C27*$D27</f>
        <v>305.2</v>
      </c>
      <c r="L34" s="42">
        <f>L$25/$C27*$D27</f>
        <v>305.2</v>
      </c>
      <c r="M34" s="42">
        <f>M$25/$C27*$D27</f>
        <v>305.2</v>
      </c>
      <c r="N34" s="42">
        <f>N$25/$C27*$D27</f>
        <v>305.2</v>
      </c>
    </row>
    <row r="35">
      <c r="B35" s="39" t="inlineStr">
        <is>
          <t>ТО-2: простои, ч/год</t>
        </is>
      </c>
      <c r="C35" s="24" t="inlineStr">
        <is>
          <t>ч</t>
        </is>
      </c>
      <c r="E35" s="42">
        <f>E$25/$C28*$D28</f>
        <v>189.0</v>
      </c>
      <c r="F35" s="42">
        <f>F$25/$C28*$D28</f>
        <v>189.0</v>
      </c>
      <c r="G35" s="42">
        <f>G$25/$C28*$D28</f>
        <v>189.0</v>
      </c>
      <c r="H35" s="42">
        <f>H$25/$C28*$D28</f>
        <v>189.0</v>
      </c>
      <c r="I35" s="42">
        <f>I$25/$C28*$D28</f>
        <v>189.0</v>
      </c>
      <c r="J35" s="42">
        <f>J$25/$C28*$D28</f>
        <v>189.0</v>
      </c>
      <c r="K35" s="42">
        <f>K$25/$C28*$D28</f>
        <v>189.0</v>
      </c>
      <c r="L35" s="42">
        <f>L$25/$C28*$D28</f>
        <v>189.0</v>
      </c>
      <c r="M35" s="42">
        <f>M$25/$C28*$D28</f>
        <v>189.0</v>
      </c>
      <c r="N35" s="42">
        <f>N$25/$C28*$D28</f>
        <v>189.0</v>
      </c>
    </row>
    <row r="36">
      <c r="B36" s="39" t="inlineStr">
        <is>
          <t>ТО-3: простои, ч/год</t>
        </is>
      </c>
      <c r="C36" s="24" t="inlineStr">
        <is>
          <t>ч</t>
        </is>
      </c>
      <c r="E36" s="42">
        <f>E$25/$C29*$D29</f>
        <v>87.00999999999999</v>
      </c>
      <c r="F36" s="42">
        <f>F$25/$C29*$D29</f>
        <v>87.00999999999999</v>
      </c>
      <c r="G36" s="42">
        <f>G$25/$C29*$D29</f>
        <v>87.00999999999999</v>
      </c>
      <c r="H36" s="42">
        <f>H$25/$C29*$D29</f>
        <v>87.00999999999999</v>
      </c>
      <c r="I36" s="42">
        <f>I$25/$C29*$D29</f>
        <v>87.00999999999999</v>
      </c>
      <c r="J36" s="42">
        <f>J$25/$C29*$D29</f>
        <v>87.00999999999999</v>
      </c>
      <c r="K36" s="42">
        <f>K$25/$C29*$D29</f>
        <v>87.00999999999999</v>
      </c>
      <c r="L36" s="42">
        <f>L$25/$C29*$D29</f>
        <v>87.00999999999999</v>
      </c>
      <c r="M36" s="42">
        <f>M$25/$C29*$D29</f>
        <v>87.00999999999999</v>
      </c>
      <c r="N36" s="42">
        <f>N$25/$C29*$D29</f>
        <v>87.00999999999999</v>
      </c>
    </row>
    <row r="37">
      <c r="B37" s="39" t="inlineStr">
        <is>
          <t>ТО-4: простои, ч/год</t>
        </is>
      </c>
      <c r="C37" s="24" t="inlineStr">
        <is>
          <t>ч</t>
        </is>
      </c>
      <c r="E37" s="42">
        <f>E$25/$C30*$D30</f>
        <v>19.845</v>
      </c>
      <c r="F37" s="42">
        <f>F$25/$C30*$D30</f>
        <v>19.845</v>
      </c>
      <c r="G37" s="42">
        <f>G$25/$C30*$D30</f>
        <v>19.845</v>
      </c>
      <c r="H37" s="42">
        <f>H$25/$C30*$D30</f>
        <v>19.845</v>
      </c>
      <c r="I37" s="42">
        <f>I$25/$C30*$D30</f>
        <v>19.845</v>
      </c>
      <c r="J37" s="42">
        <f>J$25/$C30*$D30</f>
        <v>19.845</v>
      </c>
      <c r="K37" s="42">
        <f>K$25/$C30*$D30</f>
        <v>19.845</v>
      </c>
      <c r="L37" s="42">
        <f>L$25/$C30*$D30</f>
        <v>19.845</v>
      </c>
      <c r="M37" s="42">
        <f>M$25/$C30*$D30</f>
        <v>19.845</v>
      </c>
      <c r="N37" s="42">
        <f>N$25/$C30*$D30</f>
        <v>19.845</v>
      </c>
    </row>
    <row r="38">
      <c r="B38" s="39" t="inlineStr">
        <is>
          <t>ТО-5: простои, ч/год</t>
        </is>
      </c>
      <c r="C38" s="24" t="inlineStr">
        <is>
          <t>ч</t>
        </is>
      </c>
      <c r="E38" s="42">
        <f>E$25/$C31*$D31</f>
        <v>23.473333333333336</v>
      </c>
      <c r="F38" s="42">
        <f>F$25/$C31*$D31</f>
        <v>23.473333333333336</v>
      </c>
      <c r="G38" s="42">
        <f>G$25/$C31*$D31</f>
        <v>23.473333333333336</v>
      </c>
      <c r="H38" s="42">
        <f>H$25/$C31*$D31</f>
        <v>23.473333333333336</v>
      </c>
      <c r="I38" s="42">
        <f>I$25/$C31*$D31</f>
        <v>23.473333333333336</v>
      </c>
      <c r="J38" s="42">
        <f>J$25/$C31*$D31</f>
        <v>23.473333333333336</v>
      </c>
      <c r="K38" s="42">
        <f>K$25/$C31*$D31</f>
        <v>23.473333333333336</v>
      </c>
      <c r="L38" s="42">
        <f>L$25/$C31*$D31</f>
        <v>23.473333333333336</v>
      </c>
      <c r="M38" s="42">
        <f>M$25/$C31*$D31</f>
        <v>23.473333333333336</v>
      </c>
      <c r="N38" s="42">
        <f>N$25/$C31*$D31</f>
        <v>23.473333333333336</v>
      </c>
    </row>
    <row r="39">
      <c r="B39" s="39" t="inlineStr">
        <is>
          <t>ТО-6: простои, ч/год</t>
        </is>
      </c>
      <c r="C39" s="24" t="inlineStr">
        <is>
          <t>ч</t>
        </is>
      </c>
      <c r="E39" s="42">
        <f>E$25/$C32*$D32</f>
        <v>11.844000000000001</v>
      </c>
      <c r="F39" s="42">
        <f>F$25/$C32*$D32</f>
        <v>11.844000000000001</v>
      </c>
      <c r="G39" s="42">
        <f>G$25/$C32*$D32</f>
        <v>11.844000000000001</v>
      </c>
      <c r="H39" s="42">
        <f>H$25/$C32*$D32</f>
        <v>11.844000000000001</v>
      </c>
      <c r="I39" s="42">
        <f>I$25/$C32*$D32</f>
        <v>11.844000000000001</v>
      </c>
      <c r="J39" s="42">
        <f>J$25/$C32*$D32</f>
        <v>11.844000000000001</v>
      </c>
      <c r="K39" s="42">
        <f>K$25/$C32*$D32</f>
        <v>11.844000000000001</v>
      </c>
      <c r="L39" s="42">
        <f>L$25/$C32*$D32</f>
        <v>11.844000000000001</v>
      </c>
      <c r="M39" s="42">
        <f>M$25/$C32*$D32</f>
        <v>11.844000000000001</v>
      </c>
      <c r="N39" s="42">
        <f>N$25/$C32*$D32</f>
        <v>11.844000000000001</v>
      </c>
    </row>
    <row r="40">
      <c r="B40" s="39" t="inlineStr">
        <is>
          <t>Итого простои ТО</t>
        </is>
      </c>
      <c r="E40" s="42">
        <f>SUM(E34:E39)</f>
        <v>636.3723333333335</v>
      </c>
      <c r="F40" s="42">
        <f>SUM(F34:F39)</f>
        <v>636.3723333333335</v>
      </c>
      <c r="G40" s="42">
        <f>SUM(G34:G39)</f>
        <v>636.3723333333335</v>
      </c>
      <c r="H40" s="42">
        <f>SUM(H34:H39)</f>
        <v>636.3723333333335</v>
      </c>
      <c r="I40" s="42">
        <f>SUM(I34:I39)</f>
        <v>636.3723333333335</v>
      </c>
      <c r="J40" s="42">
        <f>SUM(J34:J39)</f>
        <v>636.3723333333335</v>
      </c>
      <c r="K40" s="42">
        <f>SUM(K34:K39)</f>
        <v>636.3723333333335</v>
      </c>
      <c r="L40" s="42">
        <f>SUM(L34:L39)</f>
        <v>636.3723333333335</v>
      </c>
      <c r="M40" s="42">
        <f>SUM(M34:M39)</f>
        <v>636.3723333333335</v>
      </c>
      <c r="N40" s="42">
        <f>SUM(N34:N39)</f>
        <v>636.3723333333335</v>
      </c>
    </row>
    <row r="41">
      <c r="B41" s="39" t="inlineStr">
        <is>
          <t>ТО-1: чел-часы/год</t>
        </is>
      </c>
      <c r="C41" s="24" t="inlineStr">
        <is>
          <t>ч-час</t>
        </is>
      </c>
      <c r="E41" s="42">
        <f>E34*$E27</f>
        <v>305.2</v>
      </c>
      <c r="F41" s="42">
        <f>F34*$E27</f>
        <v>305.2</v>
      </c>
      <c r="G41" s="42">
        <f>G34*$E27</f>
        <v>305.2</v>
      </c>
      <c r="H41" s="42">
        <f>H34*$E27</f>
        <v>305.2</v>
      </c>
      <c r="I41" s="42">
        <f>I34*$E27</f>
        <v>305.2</v>
      </c>
      <c r="J41" s="42">
        <f>J34*$E27</f>
        <v>305.2</v>
      </c>
      <c r="K41" s="42">
        <f>K34*$E27</f>
        <v>305.2</v>
      </c>
      <c r="L41" s="42">
        <f>L34*$E27</f>
        <v>305.2</v>
      </c>
      <c r="M41" s="42">
        <f>M34*$E27</f>
        <v>305.2</v>
      </c>
      <c r="N41" s="42">
        <f>N34*$E27</f>
        <v>305.2</v>
      </c>
    </row>
    <row r="42">
      <c r="B42" s="39" t="inlineStr">
        <is>
          <t>ТО-2: чел-часы/год</t>
        </is>
      </c>
      <c r="C42" s="24" t="inlineStr">
        <is>
          <t>ч-час</t>
        </is>
      </c>
      <c r="E42" s="42">
        <f>E35*$E28</f>
        <v>189.0</v>
      </c>
      <c r="F42" s="42">
        <f>F35*$E28</f>
        <v>189.0</v>
      </c>
      <c r="G42" s="42">
        <f>G35*$E28</f>
        <v>189.0</v>
      </c>
      <c r="H42" s="42">
        <f>H35*$E28</f>
        <v>189.0</v>
      </c>
      <c r="I42" s="42">
        <f>I35*$E28</f>
        <v>189.0</v>
      </c>
      <c r="J42" s="42">
        <f>J35*$E28</f>
        <v>189.0</v>
      </c>
      <c r="K42" s="42">
        <f>K35*$E28</f>
        <v>189.0</v>
      </c>
      <c r="L42" s="42">
        <f>L35*$E28</f>
        <v>189.0</v>
      </c>
      <c r="M42" s="42">
        <f>M35*$E28</f>
        <v>189.0</v>
      </c>
      <c r="N42" s="42">
        <f>N35*$E28</f>
        <v>189.0</v>
      </c>
    </row>
    <row r="43">
      <c r="B43" s="39" t="inlineStr">
        <is>
          <t>ТО-3: чел-часы/год</t>
        </is>
      </c>
      <c r="C43" s="24" t="inlineStr">
        <is>
          <t>ч-час</t>
        </is>
      </c>
      <c r="E43" s="42">
        <f>E36*$E29</f>
        <v>87.00999999999999</v>
      </c>
      <c r="F43" s="42">
        <f>F36*$E29</f>
        <v>87.00999999999999</v>
      </c>
      <c r="G43" s="42">
        <f>G36*$E29</f>
        <v>87.00999999999999</v>
      </c>
      <c r="H43" s="42">
        <f>H36*$E29</f>
        <v>87.00999999999999</v>
      </c>
      <c r="I43" s="42">
        <f>I36*$E29</f>
        <v>87.00999999999999</v>
      </c>
      <c r="J43" s="42">
        <f>J36*$E29</f>
        <v>87.00999999999999</v>
      </c>
      <c r="K43" s="42">
        <f>K36*$E29</f>
        <v>87.00999999999999</v>
      </c>
      <c r="L43" s="42">
        <f>L36*$E29</f>
        <v>87.00999999999999</v>
      </c>
      <c r="M43" s="42">
        <f>M36*$E29</f>
        <v>87.00999999999999</v>
      </c>
      <c r="N43" s="42">
        <f>N36*$E29</f>
        <v>87.00999999999999</v>
      </c>
    </row>
    <row r="44">
      <c r="B44" s="39" t="inlineStr">
        <is>
          <t>ТО-4: чел-часы/год</t>
        </is>
      </c>
      <c r="C44" s="24" t="inlineStr">
        <is>
          <t>ч-час</t>
        </is>
      </c>
      <c r="E44" s="42">
        <f>E37*$E30</f>
        <v>19.845</v>
      </c>
      <c r="F44" s="42">
        <f>F37*$E30</f>
        <v>19.845</v>
      </c>
      <c r="G44" s="42">
        <f>G37*$E30</f>
        <v>19.845</v>
      </c>
      <c r="H44" s="42">
        <f>H37*$E30</f>
        <v>19.845</v>
      </c>
      <c r="I44" s="42">
        <f>I37*$E30</f>
        <v>19.845</v>
      </c>
      <c r="J44" s="42">
        <f>J37*$E30</f>
        <v>19.845</v>
      </c>
      <c r="K44" s="42">
        <f>K37*$E30</f>
        <v>19.845</v>
      </c>
      <c r="L44" s="42">
        <f>L37*$E30</f>
        <v>19.845</v>
      </c>
      <c r="M44" s="42">
        <f>M37*$E30</f>
        <v>19.845</v>
      </c>
      <c r="N44" s="42">
        <f>N37*$E30</f>
        <v>19.845</v>
      </c>
    </row>
    <row r="45">
      <c r="B45" s="39" t="inlineStr">
        <is>
          <t>ТО-5: чел-часы/год</t>
        </is>
      </c>
      <c r="C45" s="24" t="inlineStr">
        <is>
          <t>ч-час</t>
        </is>
      </c>
      <c r="E45" s="42">
        <f>E38*$E31</f>
        <v>23.473333333333336</v>
      </c>
      <c r="F45" s="42">
        <f>F38*$E31</f>
        <v>23.473333333333336</v>
      </c>
      <c r="G45" s="42">
        <f>G38*$E31</f>
        <v>23.473333333333336</v>
      </c>
      <c r="H45" s="42">
        <f>H38*$E31</f>
        <v>23.473333333333336</v>
      </c>
      <c r="I45" s="42">
        <f>I38*$E31</f>
        <v>23.473333333333336</v>
      </c>
      <c r="J45" s="42">
        <f>J38*$E31</f>
        <v>23.473333333333336</v>
      </c>
      <c r="K45" s="42">
        <f>K38*$E31</f>
        <v>23.473333333333336</v>
      </c>
      <c r="L45" s="42">
        <f>L38*$E31</f>
        <v>23.473333333333336</v>
      </c>
      <c r="M45" s="42">
        <f>M38*$E31</f>
        <v>23.473333333333336</v>
      </c>
      <c r="N45" s="42">
        <f>N38*$E31</f>
        <v>23.473333333333336</v>
      </c>
    </row>
    <row r="46">
      <c r="B46" s="39" t="inlineStr">
        <is>
          <t>ТО-6: чел-часы/год</t>
        </is>
      </c>
      <c r="C46" s="24" t="inlineStr">
        <is>
          <t>ч-час</t>
        </is>
      </c>
      <c r="E46" s="42">
        <f>E39*$E32</f>
        <v>11.844000000000001</v>
      </c>
      <c r="F46" s="42">
        <f>F39*$E32</f>
        <v>11.844000000000001</v>
      </c>
      <c r="G46" s="42">
        <f>G39*$E32</f>
        <v>11.844000000000001</v>
      </c>
      <c r="H46" s="42">
        <f>H39*$E32</f>
        <v>11.844000000000001</v>
      </c>
      <c r="I46" s="42">
        <f>I39*$E32</f>
        <v>11.844000000000001</v>
      </c>
      <c r="J46" s="42">
        <f>J39*$E32</f>
        <v>11.844000000000001</v>
      </c>
      <c r="K46" s="42">
        <f>K39*$E32</f>
        <v>11.844000000000001</v>
      </c>
      <c r="L46" s="42">
        <f>L39*$E32</f>
        <v>11.844000000000001</v>
      </c>
      <c r="M46" s="42">
        <f>M39*$E32</f>
        <v>11.844000000000001</v>
      </c>
      <c r="N46" s="42">
        <f>N39*$E32</f>
        <v>11.844000000000001</v>
      </c>
    </row>
    <row r="47">
      <c r="B47" s="39" t="inlineStr">
        <is>
          <t>Итого чел-часы ТО</t>
        </is>
      </c>
      <c r="E47" s="42">
        <f>SUM(E41:E46)</f>
        <v>636.3723333333335</v>
      </c>
      <c r="F47" s="42">
        <f>SUM(F41:F46)</f>
        <v>636.3723333333335</v>
      </c>
      <c r="G47" s="42">
        <f>SUM(G41:G46)</f>
        <v>636.3723333333335</v>
      </c>
      <c r="H47" s="42">
        <f>SUM(H41:H46)</f>
        <v>636.3723333333335</v>
      </c>
      <c r="I47" s="42">
        <f>SUM(I41:I46)</f>
        <v>636.3723333333335</v>
      </c>
      <c r="J47" s="42">
        <f>SUM(J41:J46)</f>
        <v>636.3723333333335</v>
      </c>
      <c r="K47" s="42">
        <f>SUM(K41:K46)</f>
        <v>636.3723333333335</v>
      </c>
      <c r="L47" s="42">
        <f>SUM(L41:L46)</f>
        <v>636.3723333333335</v>
      </c>
      <c r="M47" s="42">
        <f>SUM(M41:M46)</f>
        <v>636.3723333333335</v>
      </c>
      <c r="N47" s="42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44" t="n">
        <v>6.77</v>
      </c>
      <c r="D51" s="44" t="n">
        <v>70</v>
      </c>
      <c r="E51" s="42">
        <f>E$25/INDEX($C$27:$C$32,$P51)*D51*C51/1000</f>
        <v>13.2692</v>
      </c>
      <c r="F51" s="42">
        <f>F$25/INDEX($C$27:$C$32,$P51)*D51*C51/1000</f>
        <v>13.2692</v>
      </c>
      <c r="G51" s="42">
        <f>G$25/INDEX($C$27:$C$32,$P51)*D51*C51/1000</f>
        <v>13.2692</v>
      </c>
      <c r="H51" s="42">
        <f>H$25/INDEX($C$27:$C$32,$P51)*D51*C51/1000</f>
        <v>13.2692</v>
      </c>
      <c r="I51" s="42">
        <f>I$25/INDEX($C$27:$C$32,$P51)*D51*C51/1000</f>
        <v>13.2692</v>
      </c>
      <c r="J51" s="42">
        <f>J$25/INDEX($C$27:$C$32,$P51)*D51*C51/1000</f>
        <v>13.2692</v>
      </c>
      <c r="K51" s="42">
        <f>K$25/INDEX($C$27:$C$32,$P51)*D51*C51/1000</f>
        <v>13.2692</v>
      </c>
      <c r="L51" s="42">
        <f>L$25/INDEX($C$27:$C$32,$P51)*D51*C51/1000</f>
        <v>13.2692</v>
      </c>
      <c r="M51" s="42">
        <f>M$25/INDEX($C$27:$C$32,$P51)*D51*C51/1000</f>
        <v>13.2692</v>
      </c>
      <c r="N51" s="42">
        <f>N$25/INDEX($C$27:$C$32,$P51)*D51*C51/1000</f>
        <v>13.2692</v>
      </c>
      <c r="P51" s="43" t="n">
        <v>1</v>
      </c>
    </row>
    <row r="52">
      <c r="B52" s="22" t="inlineStr">
        <is>
          <t>Масляный фильтр двигателя</t>
        </is>
      </c>
      <c r="C52" s="44" t="n">
        <v>75.788</v>
      </c>
      <c r="D52" s="44" t="n">
        <v>2</v>
      </c>
      <c r="E52" s="42">
        <f>E$25/INDEX($C$27:$C$32,$P52)*D52*C52/1000</f>
        <v>4.244128</v>
      </c>
      <c r="F52" s="42">
        <f>F$25/INDEX($C$27:$C$32,$P52)*D52*C52/1000</f>
        <v>4.244128</v>
      </c>
      <c r="G52" s="42">
        <f>G$25/INDEX($C$27:$C$32,$P52)*D52*C52/1000</f>
        <v>4.244128</v>
      </c>
      <c r="H52" s="42">
        <f>H$25/INDEX($C$27:$C$32,$P52)*D52*C52/1000</f>
        <v>4.244128</v>
      </c>
      <c r="I52" s="42">
        <f>I$25/INDEX($C$27:$C$32,$P52)*D52*C52/1000</f>
        <v>4.244128</v>
      </c>
      <c r="J52" s="42">
        <f>J$25/INDEX($C$27:$C$32,$P52)*D52*C52/1000</f>
        <v>4.244128</v>
      </c>
      <c r="K52" s="42">
        <f>K$25/INDEX($C$27:$C$32,$P52)*D52*C52/1000</f>
        <v>4.244128</v>
      </c>
      <c r="L52" s="42">
        <f>L$25/INDEX($C$27:$C$32,$P52)*D52*C52/1000</f>
        <v>4.244128</v>
      </c>
      <c r="M52" s="42">
        <f>M$25/INDEX($C$27:$C$32,$P52)*D52*C52/1000</f>
        <v>4.244128</v>
      </c>
      <c r="N52" s="42">
        <f>N$25/INDEX($C$27:$C$32,$P52)*D52*C52/1000</f>
        <v>4.244128</v>
      </c>
      <c r="P52" s="43" t="n">
        <v>1</v>
      </c>
    </row>
    <row r="53">
      <c r="B53" s="22" t="inlineStr">
        <is>
          <t>Охлаждающая жидкость</t>
        </is>
      </c>
      <c r="C53" s="44" t="n">
        <v>4.368</v>
      </c>
      <c r="D53" s="44" t="n">
        <v>3</v>
      </c>
      <c r="E53" s="42">
        <f>E$25/INDEX($C$27:$C$32,$P53)*D53*C53/1000</f>
        <v>0.366912</v>
      </c>
      <c r="F53" s="42">
        <f>F$25/INDEX($C$27:$C$32,$P53)*D53*C53/1000</f>
        <v>0.366912</v>
      </c>
      <c r="G53" s="42">
        <f>G$25/INDEX($C$27:$C$32,$P53)*D53*C53/1000</f>
        <v>0.366912</v>
      </c>
      <c r="H53" s="42">
        <f>H$25/INDEX($C$27:$C$32,$P53)*D53*C53/1000</f>
        <v>0.366912</v>
      </c>
      <c r="I53" s="42">
        <f>I$25/INDEX($C$27:$C$32,$P53)*D53*C53/1000</f>
        <v>0.366912</v>
      </c>
      <c r="J53" s="42">
        <f>J$25/INDEX($C$27:$C$32,$P53)*D53*C53/1000</f>
        <v>0.366912</v>
      </c>
      <c r="K53" s="42">
        <f>K$25/INDEX($C$27:$C$32,$P53)*D53*C53/1000</f>
        <v>0.366912</v>
      </c>
      <c r="L53" s="42">
        <f>L$25/INDEX($C$27:$C$32,$P53)*D53*C53/1000</f>
        <v>0.366912</v>
      </c>
      <c r="M53" s="42">
        <f>M$25/INDEX($C$27:$C$32,$P53)*D53*C53/1000</f>
        <v>0.366912</v>
      </c>
      <c r="N53" s="42">
        <f>N$25/INDEX($C$27:$C$32,$P53)*D53*C53/1000</f>
        <v>0.366912</v>
      </c>
      <c r="P53" s="43" t="n">
        <v>1</v>
      </c>
    </row>
    <row r="54">
      <c r="B54" s="22" t="inlineStr">
        <is>
          <t>Воздушный фильтр первичный</t>
        </is>
      </c>
      <c r="C54" s="44" t="n">
        <v>51.588</v>
      </c>
      <c r="D54" s="44" t="n">
        <v>3</v>
      </c>
      <c r="E54" s="42">
        <f>E$25/INDEX($C$27:$C$32,$P54)*D54*C54/1000</f>
        <v>4.333392</v>
      </c>
      <c r="F54" s="42">
        <f>F$25/INDEX($C$27:$C$32,$P54)*D54*C54/1000</f>
        <v>4.333392</v>
      </c>
      <c r="G54" s="42">
        <f>G$25/INDEX($C$27:$C$32,$P54)*D54*C54/1000</f>
        <v>4.333392</v>
      </c>
      <c r="H54" s="42">
        <f>H$25/INDEX($C$27:$C$32,$P54)*D54*C54/1000</f>
        <v>4.333392</v>
      </c>
      <c r="I54" s="42">
        <f>I$25/INDEX($C$27:$C$32,$P54)*D54*C54/1000</f>
        <v>4.333392</v>
      </c>
      <c r="J54" s="42">
        <f>J$25/INDEX($C$27:$C$32,$P54)*D54*C54/1000</f>
        <v>4.333392</v>
      </c>
      <c r="K54" s="42">
        <f>K$25/INDEX($C$27:$C$32,$P54)*D54*C54/1000</f>
        <v>4.333392</v>
      </c>
      <c r="L54" s="42">
        <f>L$25/INDEX($C$27:$C$32,$P54)*D54*C54/1000</f>
        <v>4.333392</v>
      </c>
      <c r="M54" s="42">
        <f>M$25/INDEX($C$27:$C$32,$P54)*D54*C54/1000</f>
        <v>4.333392</v>
      </c>
      <c r="N54" s="42">
        <f>N$25/INDEX($C$27:$C$32,$P54)*D54*C54/1000</f>
        <v>4.333392</v>
      </c>
      <c r="P54" s="43" t="n">
        <v>1</v>
      </c>
    </row>
    <row r="55">
      <c r="B55" s="22" t="inlineStr">
        <is>
          <t>Воздушный фильтр вторичный</t>
        </is>
      </c>
      <c r="C55" s="44" t="n">
        <v>37.65</v>
      </c>
      <c r="D55" s="44" t="n">
        <v>3</v>
      </c>
      <c r="E55" s="42">
        <f>E$25/INDEX($C$27:$C$32,$P55)*D55*C55/1000</f>
        <v>3.1626</v>
      </c>
      <c r="F55" s="42">
        <f>F$25/INDEX($C$27:$C$32,$P55)*D55*C55/1000</f>
        <v>3.1626</v>
      </c>
      <c r="G55" s="42">
        <f>G$25/INDEX($C$27:$C$32,$P55)*D55*C55/1000</f>
        <v>3.1626</v>
      </c>
      <c r="H55" s="42">
        <f>H$25/INDEX($C$27:$C$32,$P55)*D55*C55/1000</f>
        <v>3.1626</v>
      </c>
      <c r="I55" s="42">
        <f>I$25/INDEX($C$27:$C$32,$P55)*D55*C55/1000</f>
        <v>3.1626</v>
      </c>
      <c r="J55" s="42">
        <f>J$25/INDEX($C$27:$C$32,$P55)*D55*C55/1000</f>
        <v>3.1626</v>
      </c>
      <c r="K55" s="42">
        <f>K$25/INDEX($C$27:$C$32,$P55)*D55*C55/1000</f>
        <v>3.1626</v>
      </c>
      <c r="L55" s="42">
        <f>L$25/INDEX($C$27:$C$32,$P55)*D55*C55/1000</f>
        <v>3.1626</v>
      </c>
      <c r="M55" s="42">
        <f>M$25/INDEX($C$27:$C$32,$P55)*D55*C55/1000</f>
        <v>3.1626</v>
      </c>
      <c r="N55" s="42">
        <f>N$25/INDEX($C$27:$C$32,$P55)*D55*C55/1000</f>
        <v>3.1626</v>
      </c>
      <c r="P55" s="43" t="n">
        <v>1</v>
      </c>
    </row>
    <row r="56">
      <c r="B56" s="22" t="inlineStr">
        <is>
          <t>Фильтр системы охл. ДВС</t>
        </is>
      </c>
      <c r="C56" s="44" t="n">
        <v>27.113</v>
      </c>
      <c r="D56" s="44" t="n">
        <v>2</v>
      </c>
      <c r="E56" s="42">
        <f>E$25/INDEX($C$27:$C$32,$P56)*D56*C56/1000</f>
        <v>1.518328</v>
      </c>
      <c r="F56" s="42">
        <f>F$25/INDEX($C$27:$C$32,$P56)*D56*C56/1000</f>
        <v>1.518328</v>
      </c>
      <c r="G56" s="42">
        <f>G$25/INDEX($C$27:$C$32,$P56)*D56*C56/1000</f>
        <v>1.518328</v>
      </c>
      <c r="H56" s="42">
        <f>H$25/INDEX($C$27:$C$32,$P56)*D56*C56/1000</f>
        <v>1.518328</v>
      </c>
      <c r="I56" s="42">
        <f>I$25/INDEX($C$27:$C$32,$P56)*D56*C56/1000</f>
        <v>1.518328</v>
      </c>
      <c r="J56" s="42">
        <f>J$25/INDEX($C$27:$C$32,$P56)*D56*C56/1000</f>
        <v>1.518328</v>
      </c>
      <c r="K56" s="42">
        <f>K$25/INDEX($C$27:$C$32,$P56)*D56*C56/1000</f>
        <v>1.518328</v>
      </c>
      <c r="L56" s="42">
        <f>L$25/INDEX($C$27:$C$32,$P56)*D56*C56/1000</f>
        <v>1.518328</v>
      </c>
      <c r="M56" s="42">
        <f>M$25/INDEX($C$27:$C$32,$P56)*D56*C56/1000</f>
        <v>1.518328</v>
      </c>
      <c r="N56" s="42">
        <f>N$25/INDEX($C$27:$C$32,$P56)*D56*C56/1000</f>
        <v>1.518328</v>
      </c>
      <c r="P56" s="43" t="n">
        <v>1</v>
      </c>
    </row>
    <row r="57">
      <c r="B57" s="22" t="inlineStr">
        <is>
          <t>Топливный фильтр первичный</t>
        </is>
      </c>
      <c r="C57" s="44" t="n">
        <v>65.66200000000001</v>
      </c>
      <c r="D57" s="44" t="n">
        <v>1</v>
      </c>
      <c r="E57" s="42">
        <f>E$25/INDEX($C$27:$C$32,$P57)*D57*C57/1000</f>
        <v>1.838536</v>
      </c>
      <c r="F57" s="42">
        <f>F$25/INDEX($C$27:$C$32,$P57)*D57*C57/1000</f>
        <v>1.838536</v>
      </c>
      <c r="G57" s="42">
        <f>G$25/INDEX($C$27:$C$32,$P57)*D57*C57/1000</f>
        <v>1.838536</v>
      </c>
      <c r="H57" s="42">
        <f>H$25/INDEX($C$27:$C$32,$P57)*D57*C57/1000</f>
        <v>1.838536</v>
      </c>
      <c r="I57" s="42">
        <f>I$25/INDEX($C$27:$C$32,$P57)*D57*C57/1000</f>
        <v>1.838536</v>
      </c>
      <c r="J57" s="42">
        <f>J$25/INDEX($C$27:$C$32,$P57)*D57*C57/1000</f>
        <v>1.838536</v>
      </c>
      <c r="K57" s="42">
        <f>K$25/INDEX($C$27:$C$32,$P57)*D57*C57/1000</f>
        <v>1.838536</v>
      </c>
      <c r="L57" s="42">
        <f>L$25/INDEX($C$27:$C$32,$P57)*D57*C57/1000</f>
        <v>1.838536</v>
      </c>
      <c r="M57" s="42">
        <f>M$25/INDEX($C$27:$C$32,$P57)*D57*C57/1000</f>
        <v>1.838536</v>
      </c>
      <c r="N57" s="42">
        <f>N$25/INDEX($C$27:$C$32,$P57)*D57*C57/1000</f>
        <v>1.838536</v>
      </c>
      <c r="P57" s="43" t="n">
        <v>1</v>
      </c>
    </row>
    <row r="58">
      <c r="B58" s="22" t="inlineStr">
        <is>
          <t>Топливный фильтр вторичный</t>
        </is>
      </c>
      <c r="C58" s="44" t="n">
        <v>127.662</v>
      </c>
      <c r="D58" s="44" t="n">
        <v>1</v>
      </c>
      <c r="E58" s="42">
        <f>E$25/INDEX($C$27:$C$32,$P58)*D58*C58/1000</f>
        <v>3.574536</v>
      </c>
      <c r="F58" s="42">
        <f>F$25/INDEX($C$27:$C$32,$P58)*D58*C58/1000</f>
        <v>3.574536</v>
      </c>
      <c r="G58" s="42">
        <f>G$25/INDEX($C$27:$C$32,$P58)*D58*C58/1000</f>
        <v>3.574536</v>
      </c>
      <c r="H58" s="42">
        <f>H$25/INDEX($C$27:$C$32,$P58)*D58*C58/1000</f>
        <v>3.574536</v>
      </c>
      <c r="I58" s="42">
        <f>I$25/INDEX($C$27:$C$32,$P58)*D58*C58/1000</f>
        <v>3.574536</v>
      </c>
      <c r="J58" s="42">
        <f>J$25/INDEX($C$27:$C$32,$P58)*D58*C58/1000</f>
        <v>3.574536</v>
      </c>
      <c r="K58" s="42">
        <f>K$25/INDEX($C$27:$C$32,$P58)*D58*C58/1000</f>
        <v>3.574536</v>
      </c>
      <c r="L58" s="42">
        <f>L$25/INDEX($C$27:$C$32,$P58)*D58*C58/1000</f>
        <v>3.574536</v>
      </c>
      <c r="M58" s="42">
        <f>M$25/INDEX($C$27:$C$32,$P58)*D58*C58/1000</f>
        <v>3.574536</v>
      </c>
      <c r="N58" s="42">
        <f>N$25/INDEX($C$27:$C$32,$P58)*D58*C58/1000</f>
        <v>3.574536</v>
      </c>
      <c r="P58" s="43" t="n">
        <v>1</v>
      </c>
    </row>
    <row r="59">
      <c r="B59" s="22" t="inlineStr">
        <is>
          <t>Влагоотделитель</t>
        </is>
      </c>
      <c r="C59" s="44" t="n">
        <v>14.612</v>
      </c>
      <c r="D59" s="44" t="n">
        <v>2</v>
      </c>
      <c r="E59" s="42">
        <f>E$25/INDEX($C$27:$C$32,$P59)*D59*C59/1000</f>
        <v>0.818272</v>
      </c>
      <c r="F59" s="42">
        <f>F$25/INDEX($C$27:$C$32,$P59)*D59*C59/1000</f>
        <v>0.818272</v>
      </c>
      <c r="G59" s="42">
        <f>G$25/INDEX($C$27:$C$32,$P59)*D59*C59/1000</f>
        <v>0.818272</v>
      </c>
      <c r="H59" s="42">
        <f>H$25/INDEX($C$27:$C$32,$P59)*D59*C59/1000</f>
        <v>0.818272</v>
      </c>
      <c r="I59" s="42">
        <f>I$25/INDEX($C$27:$C$32,$P59)*D59*C59/1000</f>
        <v>0.818272</v>
      </c>
      <c r="J59" s="42">
        <f>J$25/INDEX($C$27:$C$32,$P59)*D59*C59/1000</f>
        <v>0.818272</v>
      </c>
      <c r="K59" s="42">
        <f>K$25/INDEX($C$27:$C$32,$P59)*D59*C59/1000</f>
        <v>0.818272</v>
      </c>
      <c r="L59" s="42">
        <f>L$25/INDEX($C$27:$C$32,$P59)*D59*C59/1000</f>
        <v>0.818272</v>
      </c>
      <c r="M59" s="42">
        <f>M$25/INDEX($C$27:$C$32,$P59)*D59*C59/1000</f>
        <v>0.818272</v>
      </c>
      <c r="N59" s="42">
        <f>N$25/INDEX($C$27:$C$32,$P59)*D59*C59/1000</f>
        <v>0.818272</v>
      </c>
      <c r="P59" s="43" t="n">
        <v>1</v>
      </c>
    </row>
    <row r="60">
      <c r="B60" s="22" t="inlineStr">
        <is>
          <t>Консистентная смазка</t>
        </is>
      </c>
      <c r="C60" s="44" t="n">
        <v>10.752</v>
      </c>
      <c r="D60" s="44" t="n">
        <v>2</v>
      </c>
      <c r="E60" s="42">
        <f>E$25/INDEX($C$27:$C$32,$P60)*D60*C60/1000</f>
        <v>0.6021120000000001</v>
      </c>
      <c r="F60" s="42">
        <f>F$25/INDEX($C$27:$C$32,$P60)*D60*C60/1000</f>
        <v>0.6021120000000001</v>
      </c>
      <c r="G60" s="42">
        <f>G$25/INDEX($C$27:$C$32,$P60)*D60*C60/1000</f>
        <v>0.6021120000000001</v>
      </c>
      <c r="H60" s="42">
        <f>H$25/INDEX($C$27:$C$32,$P60)*D60*C60/1000</f>
        <v>0.6021120000000001</v>
      </c>
      <c r="I60" s="42">
        <f>I$25/INDEX($C$27:$C$32,$P60)*D60*C60/1000</f>
        <v>0.6021120000000001</v>
      </c>
      <c r="J60" s="42">
        <f>J$25/INDEX($C$27:$C$32,$P60)*D60*C60/1000</f>
        <v>0.6021120000000001</v>
      </c>
      <c r="K60" s="42">
        <f>K$25/INDEX($C$27:$C$32,$P60)*D60*C60/1000</f>
        <v>0.6021120000000001</v>
      </c>
      <c r="L60" s="42">
        <f>L$25/INDEX($C$27:$C$32,$P60)*D60*C60/1000</f>
        <v>0.6021120000000001</v>
      </c>
      <c r="M60" s="42">
        <f>M$25/INDEX($C$27:$C$32,$P60)*D60*C60/1000</f>
        <v>0.6021120000000001</v>
      </c>
      <c r="N60" s="42">
        <f>N$25/INDEX($C$27:$C$32,$P60)*D60*C60/1000</f>
        <v>0.6021120000000001</v>
      </c>
      <c r="P60" s="43" t="n">
        <v>1</v>
      </c>
    </row>
    <row r="61">
      <c r="B61" s="22" t="inlineStr">
        <is>
          <t>Сапун гидробака</t>
        </is>
      </c>
      <c r="C61" s="44" t="n">
        <v>18.025</v>
      </c>
      <c r="D61" s="44" t="n">
        <v>2</v>
      </c>
      <c r="E61" s="42">
        <f>E$25/INDEX($C$27:$C$32,$P61)*D61*C61/1000</f>
        <v>0.5046999999999999</v>
      </c>
      <c r="F61" s="42">
        <f>F$25/INDEX($C$27:$C$32,$P61)*D61*C61/1000</f>
        <v>0.5046999999999999</v>
      </c>
      <c r="G61" s="42">
        <f>G$25/INDEX($C$27:$C$32,$P61)*D61*C61/1000</f>
        <v>0.5046999999999999</v>
      </c>
      <c r="H61" s="42">
        <f>H$25/INDEX($C$27:$C$32,$P61)*D61*C61/1000</f>
        <v>0.5046999999999999</v>
      </c>
      <c r="I61" s="42">
        <f>I$25/INDEX($C$27:$C$32,$P61)*D61*C61/1000</f>
        <v>0.5046999999999999</v>
      </c>
      <c r="J61" s="42">
        <f>J$25/INDEX($C$27:$C$32,$P61)*D61*C61/1000</f>
        <v>0.5046999999999999</v>
      </c>
      <c r="K61" s="42">
        <f>K$25/INDEX($C$27:$C$32,$P61)*D61*C61/1000</f>
        <v>0.5046999999999999</v>
      </c>
      <c r="L61" s="42">
        <f>L$25/INDEX($C$27:$C$32,$P61)*D61*C61/1000</f>
        <v>0.5046999999999999</v>
      </c>
      <c r="M61" s="42">
        <f>M$25/INDEX($C$27:$C$32,$P61)*D61*C61/1000</f>
        <v>0.5046999999999999</v>
      </c>
      <c r="N61" s="42">
        <f>N$25/INDEX($C$27:$C$32,$P61)*D61*C61/1000</f>
        <v>0.5046999999999999</v>
      </c>
      <c r="P61" s="43" t="n">
        <v>2</v>
      </c>
    </row>
    <row r="62">
      <c r="B62" s="22" t="inlineStr">
        <is>
          <t>Фильтра системы пылеподавления</t>
        </is>
      </c>
      <c r="C62" s="44" t="n">
        <v>58.9</v>
      </c>
      <c r="D62" s="44" t="n">
        <v>9</v>
      </c>
      <c r="E62" s="42">
        <f>E$25/INDEX($C$27:$C$32,$P62)*D62*C62/1000</f>
        <v>7.421399999999999</v>
      </c>
      <c r="F62" s="42">
        <f>F$25/INDEX($C$27:$C$32,$P62)*D62*C62/1000</f>
        <v>7.421399999999999</v>
      </c>
      <c r="G62" s="42">
        <f>G$25/INDEX($C$27:$C$32,$P62)*D62*C62/1000</f>
        <v>7.421399999999999</v>
      </c>
      <c r="H62" s="42">
        <f>H$25/INDEX($C$27:$C$32,$P62)*D62*C62/1000</f>
        <v>7.421399999999999</v>
      </c>
      <c r="I62" s="42">
        <f>I$25/INDEX($C$27:$C$32,$P62)*D62*C62/1000</f>
        <v>7.421399999999999</v>
      </c>
      <c r="J62" s="42">
        <f>J$25/INDEX($C$27:$C$32,$P62)*D62*C62/1000</f>
        <v>7.421399999999999</v>
      </c>
      <c r="K62" s="42">
        <f>K$25/INDEX($C$27:$C$32,$P62)*D62*C62/1000</f>
        <v>7.421399999999999</v>
      </c>
      <c r="L62" s="42">
        <f>L$25/INDEX($C$27:$C$32,$P62)*D62*C62/1000</f>
        <v>7.421399999999999</v>
      </c>
      <c r="M62" s="42">
        <f>M$25/INDEX($C$27:$C$32,$P62)*D62*C62/1000</f>
        <v>7.421399999999999</v>
      </c>
      <c r="N62" s="42">
        <f>N$25/INDEX($C$27:$C$32,$P62)*D62*C62/1000</f>
        <v>7.421399999999999</v>
      </c>
      <c r="P62" s="43" t="n">
        <v>2</v>
      </c>
    </row>
    <row r="63">
      <c r="B63" s="22" t="inlineStr">
        <is>
          <t>Воздушный фильтр подогревателя</t>
        </is>
      </c>
      <c r="C63" s="44" t="n">
        <v>60.512</v>
      </c>
      <c r="D63" s="44" t="n">
        <v>1</v>
      </c>
      <c r="E63" s="42">
        <f>E$25/INDEX($C$27:$C$32,$P63)*D63*C63/1000</f>
        <v>0.847168</v>
      </c>
      <c r="F63" s="42">
        <f>F$25/INDEX($C$27:$C$32,$P63)*D63*C63/1000</f>
        <v>0.847168</v>
      </c>
      <c r="G63" s="42">
        <f>G$25/INDEX($C$27:$C$32,$P63)*D63*C63/1000</f>
        <v>0.847168</v>
      </c>
      <c r="H63" s="42">
        <f>H$25/INDEX($C$27:$C$32,$P63)*D63*C63/1000</f>
        <v>0.847168</v>
      </c>
      <c r="I63" s="42">
        <f>I$25/INDEX($C$27:$C$32,$P63)*D63*C63/1000</f>
        <v>0.847168</v>
      </c>
      <c r="J63" s="42">
        <f>J$25/INDEX($C$27:$C$32,$P63)*D63*C63/1000</f>
        <v>0.847168</v>
      </c>
      <c r="K63" s="42">
        <f>K$25/INDEX($C$27:$C$32,$P63)*D63*C63/1000</f>
        <v>0.847168</v>
      </c>
      <c r="L63" s="42">
        <f>L$25/INDEX($C$27:$C$32,$P63)*D63*C63/1000</f>
        <v>0.847168</v>
      </c>
      <c r="M63" s="42">
        <f>M$25/INDEX($C$27:$C$32,$P63)*D63*C63/1000</f>
        <v>0.847168</v>
      </c>
      <c r="N63" s="42">
        <f>N$25/INDEX($C$27:$C$32,$P63)*D63*C63/1000</f>
        <v>0.847168</v>
      </c>
      <c r="P63" s="43" t="n">
        <v>2</v>
      </c>
    </row>
    <row r="64">
      <c r="B64" s="22" t="inlineStr">
        <is>
          <t>Топливный фильтр подогревателя</t>
        </is>
      </c>
      <c r="C64" s="44" t="n">
        <v>29.512</v>
      </c>
      <c r="D64" s="44" t="n">
        <v>1</v>
      </c>
      <c r="E64" s="42">
        <f>E$25/INDEX($C$27:$C$32,$P64)*D64*C64/1000</f>
        <v>0.413168</v>
      </c>
      <c r="F64" s="42">
        <f>F$25/INDEX($C$27:$C$32,$P64)*D64*C64/1000</f>
        <v>0.413168</v>
      </c>
      <c r="G64" s="42">
        <f>G$25/INDEX($C$27:$C$32,$P64)*D64*C64/1000</f>
        <v>0.413168</v>
      </c>
      <c r="H64" s="42">
        <f>H$25/INDEX($C$27:$C$32,$P64)*D64*C64/1000</f>
        <v>0.413168</v>
      </c>
      <c r="I64" s="42">
        <f>I$25/INDEX($C$27:$C$32,$P64)*D64*C64/1000</f>
        <v>0.413168</v>
      </c>
      <c r="J64" s="42">
        <f>J$25/INDEX($C$27:$C$32,$P64)*D64*C64/1000</f>
        <v>0.413168</v>
      </c>
      <c r="K64" s="42">
        <f>K$25/INDEX($C$27:$C$32,$P64)*D64*C64/1000</f>
        <v>0.413168</v>
      </c>
      <c r="L64" s="42">
        <f>L$25/INDEX($C$27:$C$32,$P64)*D64*C64/1000</f>
        <v>0.413168</v>
      </c>
      <c r="M64" s="42">
        <f>M$25/INDEX($C$27:$C$32,$P64)*D64*C64/1000</f>
        <v>0.413168</v>
      </c>
      <c r="N64" s="42">
        <f>N$25/INDEX($C$27:$C$32,$P64)*D64*C64/1000</f>
        <v>0.413168</v>
      </c>
      <c r="P64" s="43" t="n">
        <v>2</v>
      </c>
    </row>
    <row r="65">
      <c r="B65" s="22" t="inlineStr">
        <is>
          <t>Сапун топливного бака</t>
        </is>
      </c>
      <c r="C65" s="44" t="n">
        <v>81.538</v>
      </c>
      <c r="D65" s="44" t="n">
        <v>1</v>
      </c>
      <c r="E65" s="42">
        <f>E$25/INDEX($C$27:$C$32,$P65)*D65*C65/1000</f>
        <v>1.141532</v>
      </c>
      <c r="F65" s="42">
        <f>F$25/INDEX($C$27:$C$32,$P65)*D65*C65/1000</f>
        <v>1.141532</v>
      </c>
      <c r="G65" s="42">
        <f>G$25/INDEX($C$27:$C$32,$P65)*D65*C65/1000</f>
        <v>1.141532</v>
      </c>
      <c r="H65" s="42">
        <f>H$25/INDEX($C$27:$C$32,$P65)*D65*C65/1000</f>
        <v>1.141532</v>
      </c>
      <c r="I65" s="42">
        <f>I$25/INDEX($C$27:$C$32,$P65)*D65*C65/1000</f>
        <v>1.141532</v>
      </c>
      <c r="J65" s="42">
        <f>J$25/INDEX($C$27:$C$32,$P65)*D65*C65/1000</f>
        <v>1.141532</v>
      </c>
      <c r="K65" s="42">
        <f>K$25/INDEX($C$27:$C$32,$P65)*D65*C65/1000</f>
        <v>1.141532</v>
      </c>
      <c r="L65" s="42">
        <f>L$25/INDEX($C$27:$C$32,$P65)*D65*C65/1000</f>
        <v>1.141532</v>
      </c>
      <c r="M65" s="42">
        <f>M$25/INDEX($C$27:$C$32,$P65)*D65*C65/1000</f>
        <v>1.141532</v>
      </c>
      <c r="N65" s="42">
        <f>N$25/INDEX($C$27:$C$32,$P65)*D65*C65/1000</f>
        <v>1.141532</v>
      </c>
      <c r="P65" s="43" t="n">
        <v>2</v>
      </c>
    </row>
    <row r="66">
      <c r="B66" s="22" t="inlineStr">
        <is>
          <t>Масляные фильтра компрессора</t>
        </is>
      </c>
      <c r="C66" s="44" t="n">
        <v>68.09999999999999</v>
      </c>
      <c r="D66" s="44" t="n">
        <v>2</v>
      </c>
      <c r="E66" s="42">
        <f>E$25/INDEX($C$27:$C$32,$P66)*D66*C66/1000</f>
        <v>1.9067999999999998</v>
      </c>
      <c r="F66" s="42">
        <f>F$25/INDEX($C$27:$C$32,$P66)*D66*C66/1000</f>
        <v>1.9067999999999998</v>
      </c>
      <c r="G66" s="42">
        <f>G$25/INDEX($C$27:$C$32,$P66)*D66*C66/1000</f>
        <v>1.9067999999999998</v>
      </c>
      <c r="H66" s="42">
        <f>H$25/INDEX($C$27:$C$32,$P66)*D66*C66/1000</f>
        <v>1.9067999999999998</v>
      </c>
      <c r="I66" s="42">
        <f>I$25/INDEX($C$27:$C$32,$P66)*D66*C66/1000</f>
        <v>1.9067999999999998</v>
      </c>
      <c r="J66" s="42">
        <f>J$25/INDEX($C$27:$C$32,$P66)*D66*C66/1000</f>
        <v>1.9067999999999998</v>
      </c>
      <c r="K66" s="42">
        <f>K$25/INDEX($C$27:$C$32,$P66)*D66*C66/1000</f>
        <v>1.9067999999999998</v>
      </c>
      <c r="L66" s="42">
        <f>L$25/INDEX($C$27:$C$32,$P66)*D66*C66/1000</f>
        <v>1.9067999999999998</v>
      </c>
      <c r="M66" s="42">
        <f>M$25/INDEX($C$27:$C$32,$P66)*D66*C66/1000</f>
        <v>1.9067999999999998</v>
      </c>
      <c r="N66" s="42">
        <f>N$25/INDEX($C$27:$C$32,$P66)*D66*C66/1000</f>
        <v>1.9067999999999998</v>
      </c>
      <c r="P66" s="43" t="n">
        <v>2</v>
      </c>
    </row>
    <row r="67">
      <c r="B67" s="22" t="inlineStr">
        <is>
          <t>Консистентная смазка</t>
        </is>
      </c>
      <c r="C67" s="44" t="n">
        <v>10.752</v>
      </c>
      <c r="D67" s="44" t="n">
        <v>1</v>
      </c>
      <c r="E67" s="42">
        <f>E$25/INDEX($C$27:$C$32,$P67)*D67*C67/1000</f>
        <v>0.15052800000000002</v>
      </c>
      <c r="F67" s="42">
        <f>F$25/INDEX($C$27:$C$32,$P67)*D67*C67/1000</f>
        <v>0.15052800000000002</v>
      </c>
      <c r="G67" s="42">
        <f>G$25/INDEX($C$27:$C$32,$P67)*D67*C67/1000</f>
        <v>0.15052800000000002</v>
      </c>
      <c r="H67" s="42">
        <f>H$25/INDEX($C$27:$C$32,$P67)*D67*C67/1000</f>
        <v>0.15052800000000002</v>
      </c>
      <c r="I67" s="42">
        <f>I$25/INDEX($C$27:$C$32,$P67)*D67*C67/1000</f>
        <v>0.15052800000000002</v>
      </c>
      <c r="J67" s="42">
        <f>J$25/INDEX($C$27:$C$32,$P67)*D67*C67/1000</f>
        <v>0.15052800000000002</v>
      </c>
      <c r="K67" s="42">
        <f>K$25/INDEX($C$27:$C$32,$P67)*D67*C67/1000</f>
        <v>0.15052800000000002</v>
      </c>
      <c r="L67" s="42">
        <f>L$25/INDEX($C$27:$C$32,$P67)*D67*C67/1000</f>
        <v>0.15052800000000002</v>
      </c>
      <c r="M67" s="42">
        <f>M$25/INDEX($C$27:$C$32,$P67)*D67*C67/1000</f>
        <v>0.15052800000000002</v>
      </c>
      <c r="N67" s="42">
        <f>N$25/INDEX($C$27:$C$32,$P67)*D67*C67/1000</f>
        <v>0.15052800000000002</v>
      </c>
      <c r="P67" s="43" t="n">
        <v>2</v>
      </c>
    </row>
    <row r="68">
      <c r="B68" s="22" t="inlineStr">
        <is>
          <t>Масло для редуктора главного насос</t>
        </is>
      </c>
      <c r="C68" s="44" t="n">
        <v>12.706</v>
      </c>
      <c r="D68" s="44" t="n">
        <v>4.2</v>
      </c>
      <c r="E68" s="42">
        <f>E$25/INDEX($C$27:$C$32,$P68)*D68*C68/1000</f>
        <v>0.3735564</v>
      </c>
      <c r="F68" s="42">
        <f>F$25/INDEX($C$27:$C$32,$P68)*D68*C68/1000</f>
        <v>0.3735564</v>
      </c>
      <c r="G68" s="42">
        <f>G$25/INDEX($C$27:$C$32,$P68)*D68*C68/1000</f>
        <v>0.3735564</v>
      </c>
      <c r="H68" s="42">
        <f>H$25/INDEX($C$27:$C$32,$P68)*D68*C68/1000</f>
        <v>0.3735564</v>
      </c>
      <c r="I68" s="42">
        <f>I$25/INDEX($C$27:$C$32,$P68)*D68*C68/1000</f>
        <v>0.3735564</v>
      </c>
      <c r="J68" s="42">
        <f>J$25/INDEX($C$27:$C$32,$P68)*D68*C68/1000</f>
        <v>0.3735564</v>
      </c>
      <c r="K68" s="42">
        <f>K$25/INDEX($C$27:$C$32,$P68)*D68*C68/1000</f>
        <v>0.3735564</v>
      </c>
      <c r="L68" s="42">
        <f>L$25/INDEX($C$27:$C$32,$P68)*D68*C68/1000</f>
        <v>0.3735564</v>
      </c>
      <c r="M68" s="42">
        <f>M$25/INDEX($C$27:$C$32,$P68)*D68*C68/1000</f>
        <v>0.3735564</v>
      </c>
      <c r="N68" s="42">
        <f>N$25/INDEX($C$27:$C$32,$P68)*D68*C68/1000</f>
        <v>0.3735564</v>
      </c>
      <c r="P68" s="43" t="n">
        <v>3</v>
      </c>
    </row>
    <row r="69">
      <c r="B69" s="22" t="inlineStr">
        <is>
          <t>Масло для редуктора вращателя</t>
        </is>
      </c>
      <c r="C69" s="44" t="n">
        <v>12.706</v>
      </c>
      <c r="D69" s="44" t="n">
        <v>42</v>
      </c>
      <c r="E69" s="42">
        <f>E$25/INDEX($C$27:$C$32,$P69)*D69*C69/1000</f>
        <v>3.7355639999999997</v>
      </c>
      <c r="F69" s="42">
        <f>F$25/INDEX($C$27:$C$32,$P69)*D69*C69/1000</f>
        <v>3.7355639999999997</v>
      </c>
      <c r="G69" s="42">
        <f>G$25/INDEX($C$27:$C$32,$P69)*D69*C69/1000</f>
        <v>3.7355639999999997</v>
      </c>
      <c r="H69" s="42">
        <f>H$25/INDEX($C$27:$C$32,$P69)*D69*C69/1000</f>
        <v>3.7355639999999997</v>
      </c>
      <c r="I69" s="42">
        <f>I$25/INDEX($C$27:$C$32,$P69)*D69*C69/1000</f>
        <v>3.7355639999999997</v>
      </c>
      <c r="J69" s="42">
        <f>J$25/INDEX($C$27:$C$32,$P69)*D69*C69/1000</f>
        <v>3.7355639999999997</v>
      </c>
      <c r="K69" s="42">
        <f>K$25/INDEX($C$27:$C$32,$P69)*D69*C69/1000</f>
        <v>3.7355639999999997</v>
      </c>
      <c r="L69" s="42">
        <f>L$25/INDEX($C$27:$C$32,$P69)*D69*C69/1000</f>
        <v>3.7355639999999997</v>
      </c>
      <c r="M69" s="42">
        <f>M$25/INDEX($C$27:$C$32,$P69)*D69*C69/1000</f>
        <v>3.7355639999999997</v>
      </c>
      <c r="N69" s="42">
        <f>N$25/INDEX($C$27:$C$32,$P69)*D69*C69/1000</f>
        <v>3.7355639999999997</v>
      </c>
      <c r="P69" s="43" t="n">
        <v>3</v>
      </c>
    </row>
    <row r="70">
      <c r="B70" s="22" t="inlineStr">
        <is>
          <t>Масло для редуктора привода карусе</t>
        </is>
      </c>
      <c r="C70" s="44" t="n">
        <v>12.706</v>
      </c>
      <c r="D70" s="44" t="n">
        <v>1.4</v>
      </c>
      <c r="E70" s="42">
        <f>E$25/INDEX($C$27:$C$32,$P70)*D70*C70/1000</f>
        <v>0.12451879999999999</v>
      </c>
      <c r="F70" s="42">
        <f>F$25/INDEX($C$27:$C$32,$P70)*D70*C70/1000</f>
        <v>0.12451879999999999</v>
      </c>
      <c r="G70" s="42">
        <f>G$25/INDEX($C$27:$C$32,$P70)*D70*C70/1000</f>
        <v>0.12451879999999999</v>
      </c>
      <c r="H70" s="42">
        <f>H$25/INDEX($C$27:$C$32,$P70)*D70*C70/1000</f>
        <v>0.12451879999999999</v>
      </c>
      <c r="I70" s="42">
        <f>I$25/INDEX($C$27:$C$32,$P70)*D70*C70/1000</f>
        <v>0.12451879999999999</v>
      </c>
      <c r="J70" s="42">
        <f>J$25/INDEX($C$27:$C$32,$P70)*D70*C70/1000</f>
        <v>0.12451879999999999</v>
      </c>
      <c r="K70" s="42">
        <f>K$25/INDEX($C$27:$C$32,$P70)*D70*C70/1000</f>
        <v>0.12451879999999999</v>
      </c>
      <c r="L70" s="42">
        <f>L$25/INDEX($C$27:$C$32,$P70)*D70*C70/1000</f>
        <v>0.12451879999999999</v>
      </c>
      <c r="M70" s="42">
        <f>M$25/INDEX($C$27:$C$32,$P70)*D70*C70/1000</f>
        <v>0.12451879999999999</v>
      </c>
      <c r="N70" s="42">
        <f>N$25/INDEX($C$27:$C$32,$P70)*D70*C70/1000</f>
        <v>0.12451879999999999</v>
      </c>
      <c r="P70" s="43" t="n">
        <v>3</v>
      </c>
    </row>
    <row r="71">
      <c r="B71" s="22" t="inlineStr">
        <is>
          <t>Компрессорное масло</t>
        </is>
      </c>
      <c r="C71" s="44" t="n">
        <v>23.349</v>
      </c>
      <c r="D71" s="44" t="n">
        <v>123</v>
      </c>
      <c r="E71" s="42">
        <f>E$25/INDEX($C$27:$C$32,$P71)*D71*C71/1000</f>
        <v>20.103489</v>
      </c>
      <c r="F71" s="42">
        <f>F$25/INDEX($C$27:$C$32,$P71)*D71*C71/1000</f>
        <v>20.103489</v>
      </c>
      <c r="G71" s="42">
        <f>G$25/INDEX($C$27:$C$32,$P71)*D71*C71/1000</f>
        <v>20.103489</v>
      </c>
      <c r="H71" s="42">
        <f>H$25/INDEX($C$27:$C$32,$P71)*D71*C71/1000</f>
        <v>20.103489</v>
      </c>
      <c r="I71" s="42">
        <f>I$25/INDEX($C$27:$C$32,$P71)*D71*C71/1000</f>
        <v>20.103489</v>
      </c>
      <c r="J71" s="42">
        <f>J$25/INDEX($C$27:$C$32,$P71)*D71*C71/1000</f>
        <v>20.103489</v>
      </c>
      <c r="K71" s="42">
        <f>K$25/INDEX($C$27:$C$32,$P71)*D71*C71/1000</f>
        <v>20.103489</v>
      </c>
      <c r="L71" s="42">
        <f>L$25/INDEX($C$27:$C$32,$P71)*D71*C71/1000</f>
        <v>20.103489</v>
      </c>
      <c r="M71" s="42">
        <f>M$25/INDEX($C$27:$C$32,$P71)*D71*C71/1000</f>
        <v>20.103489</v>
      </c>
      <c r="N71" s="42">
        <f>N$25/INDEX($C$27:$C$32,$P71)*D71*C71/1000</f>
        <v>20.103489</v>
      </c>
      <c r="P71" s="43" t="n">
        <v>3</v>
      </c>
    </row>
    <row r="72">
      <c r="B72" s="22" t="inlineStr">
        <is>
          <t>Гидравлический фильтр</t>
        </is>
      </c>
      <c r="C72" s="44" t="n">
        <v>48.312</v>
      </c>
      <c r="D72" s="44" t="n">
        <v>2</v>
      </c>
      <c r="E72" s="42">
        <f>E$25/INDEX($C$27:$C$32,$P72)*D72*C72/1000</f>
        <v>0.676368</v>
      </c>
      <c r="F72" s="42">
        <f>F$25/INDEX($C$27:$C$32,$P72)*D72*C72/1000</f>
        <v>0.676368</v>
      </c>
      <c r="G72" s="42">
        <f>G$25/INDEX($C$27:$C$32,$P72)*D72*C72/1000</f>
        <v>0.676368</v>
      </c>
      <c r="H72" s="42">
        <f>H$25/INDEX($C$27:$C$32,$P72)*D72*C72/1000</f>
        <v>0.676368</v>
      </c>
      <c r="I72" s="42">
        <f>I$25/INDEX($C$27:$C$32,$P72)*D72*C72/1000</f>
        <v>0.676368</v>
      </c>
      <c r="J72" s="42">
        <f>J$25/INDEX($C$27:$C$32,$P72)*D72*C72/1000</f>
        <v>0.676368</v>
      </c>
      <c r="K72" s="42">
        <f>K$25/INDEX($C$27:$C$32,$P72)*D72*C72/1000</f>
        <v>0.676368</v>
      </c>
      <c r="L72" s="42">
        <f>L$25/INDEX($C$27:$C$32,$P72)*D72*C72/1000</f>
        <v>0.676368</v>
      </c>
      <c r="M72" s="42">
        <f>M$25/INDEX($C$27:$C$32,$P72)*D72*C72/1000</f>
        <v>0.676368</v>
      </c>
      <c r="N72" s="42">
        <f>N$25/INDEX($C$27:$C$32,$P72)*D72*C72/1000</f>
        <v>0.676368</v>
      </c>
      <c r="P72" s="43" t="n">
        <v>3</v>
      </c>
    </row>
    <row r="73">
      <c r="B73" s="22" t="inlineStr">
        <is>
          <t>Гидравлический фильтр (обратка)</t>
        </is>
      </c>
      <c r="C73" s="44" t="n">
        <v>156.975</v>
      </c>
      <c r="D73" s="44" t="n">
        <v>1</v>
      </c>
      <c r="E73" s="42">
        <f>E$25/INDEX($C$27:$C$32,$P73)*D73*C73/1000</f>
        <v>1.098825</v>
      </c>
      <c r="F73" s="42">
        <f>F$25/INDEX($C$27:$C$32,$P73)*D73*C73/1000</f>
        <v>1.098825</v>
      </c>
      <c r="G73" s="42">
        <f>G$25/INDEX($C$27:$C$32,$P73)*D73*C73/1000</f>
        <v>1.098825</v>
      </c>
      <c r="H73" s="42">
        <f>H$25/INDEX($C$27:$C$32,$P73)*D73*C73/1000</f>
        <v>1.098825</v>
      </c>
      <c r="I73" s="42">
        <f>I$25/INDEX($C$27:$C$32,$P73)*D73*C73/1000</f>
        <v>1.098825</v>
      </c>
      <c r="J73" s="42">
        <f>J$25/INDEX($C$27:$C$32,$P73)*D73*C73/1000</f>
        <v>1.098825</v>
      </c>
      <c r="K73" s="42">
        <f>K$25/INDEX($C$27:$C$32,$P73)*D73*C73/1000</f>
        <v>1.098825</v>
      </c>
      <c r="L73" s="42">
        <f>L$25/INDEX($C$27:$C$32,$P73)*D73*C73/1000</f>
        <v>1.098825</v>
      </c>
      <c r="M73" s="42">
        <f>M$25/INDEX($C$27:$C$32,$P73)*D73*C73/1000</f>
        <v>1.098825</v>
      </c>
      <c r="N73" s="42">
        <f>N$25/INDEX($C$27:$C$32,$P73)*D73*C73/1000</f>
        <v>1.098825</v>
      </c>
      <c r="P73" s="43" t="n">
        <v>3</v>
      </c>
    </row>
    <row r="74">
      <c r="B74" s="22" t="inlineStr">
        <is>
          <t>Фильтр кабины</t>
        </is>
      </c>
      <c r="C74" s="44" t="n">
        <v>59.175</v>
      </c>
      <c r="D74" s="44" t="n">
        <v>1</v>
      </c>
      <c r="E74" s="42">
        <f>E$25/INDEX($C$27:$C$32,$P74)*D74*C74/1000</f>
        <v>0.41422499999999995</v>
      </c>
      <c r="F74" s="42">
        <f>F$25/INDEX($C$27:$C$32,$P74)*D74*C74/1000</f>
        <v>0.41422499999999995</v>
      </c>
      <c r="G74" s="42">
        <f>G$25/INDEX($C$27:$C$32,$P74)*D74*C74/1000</f>
        <v>0.41422499999999995</v>
      </c>
      <c r="H74" s="42">
        <f>H$25/INDEX($C$27:$C$32,$P74)*D74*C74/1000</f>
        <v>0.41422499999999995</v>
      </c>
      <c r="I74" s="42">
        <f>I$25/INDEX($C$27:$C$32,$P74)*D74*C74/1000</f>
        <v>0.41422499999999995</v>
      </c>
      <c r="J74" s="42">
        <f>J$25/INDEX($C$27:$C$32,$P74)*D74*C74/1000</f>
        <v>0.41422499999999995</v>
      </c>
      <c r="K74" s="42">
        <f>K$25/INDEX($C$27:$C$32,$P74)*D74*C74/1000</f>
        <v>0.41422499999999995</v>
      </c>
      <c r="L74" s="42">
        <f>L$25/INDEX($C$27:$C$32,$P74)*D74*C74/1000</f>
        <v>0.41422499999999995</v>
      </c>
      <c r="M74" s="42">
        <f>M$25/INDEX($C$27:$C$32,$P74)*D74*C74/1000</f>
        <v>0.41422499999999995</v>
      </c>
      <c r="N74" s="42">
        <f>N$25/INDEX($C$27:$C$32,$P74)*D74*C74/1000</f>
        <v>0.41422499999999995</v>
      </c>
      <c r="P74" s="43" t="n">
        <v>3</v>
      </c>
    </row>
    <row r="75">
      <c r="B75" s="22" t="inlineStr">
        <is>
          <t>Фильтр кондиционера</t>
        </is>
      </c>
      <c r="C75" s="44" t="n">
        <v>33.663</v>
      </c>
      <c r="D75" s="44" t="n">
        <v>1</v>
      </c>
      <c r="E75" s="42">
        <f>E$25/INDEX($C$27:$C$32,$P75)*D75*C75/1000</f>
        <v>0.23564099999999996</v>
      </c>
      <c r="F75" s="42">
        <f>F$25/INDEX($C$27:$C$32,$P75)*D75*C75/1000</f>
        <v>0.23564099999999996</v>
      </c>
      <c r="G75" s="42">
        <f>G$25/INDEX($C$27:$C$32,$P75)*D75*C75/1000</f>
        <v>0.23564099999999996</v>
      </c>
      <c r="H75" s="42">
        <f>H$25/INDEX($C$27:$C$32,$P75)*D75*C75/1000</f>
        <v>0.23564099999999996</v>
      </c>
      <c r="I75" s="42">
        <f>I$25/INDEX($C$27:$C$32,$P75)*D75*C75/1000</f>
        <v>0.23564099999999996</v>
      </c>
      <c r="J75" s="42">
        <f>J$25/INDEX($C$27:$C$32,$P75)*D75*C75/1000</f>
        <v>0.23564099999999996</v>
      </c>
      <c r="K75" s="42">
        <f>K$25/INDEX($C$27:$C$32,$P75)*D75*C75/1000</f>
        <v>0.23564099999999996</v>
      </c>
      <c r="L75" s="42">
        <f>L$25/INDEX($C$27:$C$32,$P75)*D75*C75/1000</f>
        <v>0.23564099999999996</v>
      </c>
      <c r="M75" s="42">
        <f>M$25/INDEX($C$27:$C$32,$P75)*D75*C75/1000</f>
        <v>0.23564099999999996</v>
      </c>
      <c r="N75" s="42">
        <f>N$25/INDEX($C$27:$C$32,$P75)*D75*C75/1000</f>
        <v>0.23564099999999996</v>
      </c>
      <c r="P75" s="43" t="n">
        <v>3</v>
      </c>
    </row>
    <row r="76">
      <c r="B76" s="22" t="inlineStr">
        <is>
          <t>Фильтр вращателя</t>
        </is>
      </c>
      <c r="C76" s="44" t="n">
        <v>29.875</v>
      </c>
      <c r="D76" s="44" t="n">
        <v>1</v>
      </c>
      <c r="E76" s="42">
        <f>E$25/INDEX($C$27:$C$32,$P76)*D76*C76/1000</f>
        <v>0.209125</v>
      </c>
      <c r="F76" s="42">
        <f>F$25/INDEX($C$27:$C$32,$P76)*D76*C76/1000</f>
        <v>0.209125</v>
      </c>
      <c r="G76" s="42">
        <f>G$25/INDEX($C$27:$C$32,$P76)*D76*C76/1000</f>
        <v>0.209125</v>
      </c>
      <c r="H76" s="42">
        <f>H$25/INDEX($C$27:$C$32,$P76)*D76*C76/1000</f>
        <v>0.209125</v>
      </c>
      <c r="I76" s="42">
        <f>I$25/INDEX($C$27:$C$32,$P76)*D76*C76/1000</f>
        <v>0.209125</v>
      </c>
      <c r="J76" s="42">
        <f>J$25/INDEX($C$27:$C$32,$P76)*D76*C76/1000</f>
        <v>0.209125</v>
      </c>
      <c r="K76" s="42">
        <f>K$25/INDEX($C$27:$C$32,$P76)*D76*C76/1000</f>
        <v>0.209125</v>
      </c>
      <c r="L76" s="42">
        <f>L$25/INDEX($C$27:$C$32,$P76)*D76*C76/1000</f>
        <v>0.209125</v>
      </c>
      <c r="M76" s="42">
        <f>M$25/INDEX($C$27:$C$32,$P76)*D76*C76/1000</f>
        <v>0.209125</v>
      </c>
      <c r="N76" s="42">
        <f>N$25/INDEX($C$27:$C$32,$P76)*D76*C76/1000</f>
        <v>0.209125</v>
      </c>
      <c r="P76" s="43" t="n">
        <v>3</v>
      </c>
    </row>
    <row r="77">
      <c r="B77" s="22" t="inlineStr">
        <is>
          <t>Консистентная смазка</t>
        </is>
      </c>
      <c r="C77" s="44" t="n">
        <v>10.752</v>
      </c>
      <c r="D77" s="44" t="n">
        <v>0.1</v>
      </c>
      <c r="E77" s="42">
        <f>E$25/INDEX($C$27:$C$32,$P77)*D77*C77/1000</f>
        <v>0.007526400000000002</v>
      </c>
      <c r="F77" s="42">
        <f>F$25/INDEX($C$27:$C$32,$P77)*D77*C77/1000</f>
        <v>0.007526400000000002</v>
      </c>
      <c r="G77" s="42">
        <f>G$25/INDEX($C$27:$C$32,$P77)*D77*C77/1000</f>
        <v>0.007526400000000002</v>
      </c>
      <c r="H77" s="42">
        <f>H$25/INDEX($C$27:$C$32,$P77)*D77*C77/1000</f>
        <v>0.007526400000000002</v>
      </c>
      <c r="I77" s="42">
        <f>I$25/INDEX($C$27:$C$32,$P77)*D77*C77/1000</f>
        <v>0.007526400000000002</v>
      </c>
      <c r="J77" s="42">
        <f>J$25/INDEX($C$27:$C$32,$P77)*D77*C77/1000</f>
        <v>0.007526400000000002</v>
      </c>
      <c r="K77" s="42">
        <f>K$25/INDEX($C$27:$C$32,$P77)*D77*C77/1000</f>
        <v>0.007526400000000002</v>
      </c>
      <c r="L77" s="42">
        <f>L$25/INDEX($C$27:$C$32,$P77)*D77*C77/1000</f>
        <v>0.007526400000000002</v>
      </c>
      <c r="M77" s="42">
        <f>M$25/INDEX($C$27:$C$32,$P77)*D77*C77/1000</f>
        <v>0.007526400000000002</v>
      </c>
      <c r="N77" s="42">
        <f>N$25/INDEX($C$27:$C$32,$P77)*D77*C77/1000</f>
        <v>0.007526400000000002</v>
      </c>
      <c r="P77" s="43" t="n">
        <v>3</v>
      </c>
    </row>
    <row r="78">
      <c r="B78" s="22" t="inlineStr">
        <is>
          <t>Элемент сепаратора</t>
        </is>
      </c>
      <c r="C78" s="44" t="n">
        <v>561.462</v>
      </c>
      <c r="D78" s="44" t="n">
        <v>1</v>
      </c>
      <c r="E78" s="42">
        <f>E$25/INDEX($C$27:$C$32,$P78)*D78*C78/1000</f>
        <v>1.965117</v>
      </c>
      <c r="F78" s="42">
        <f>F$25/INDEX($C$27:$C$32,$P78)*D78*C78/1000</f>
        <v>1.965117</v>
      </c>
      <c r="G78" s="42">
        <f>G$25/INDEX($C$27:$C$32,$P78)*D78*C78/1000</f>
        <v>1.965117</v>
      </c>
      <c r="H78" s="42">
        <f>H$25/INDEX($C$27:$C$32,$P78)*D78*C78/1000</f>
        <v>1.965117</v>
      </c>
      <c r="I78" s="42">
        <f>I$25/INDEX($C$27:$C$32,$P78)*D78*C78/1000</f>
        <v>1.965117</v>
      </c>
      <c r="J78" s="42">
        <f>J$25/INDEX($C$27:$C$32,$P78)*D78*C78/1000</f>
        <v>1.965117</v>
      </c>
      <c r="K78" s="42">
        <f>K$25/INDEX($C$27:$C$32,$P78)*D78*C78/1000</f>
        <v>1.965117</v>
      </c>
      <c r="L78" s="42">
        <f>L$25/INDEX($C$27:$C$32,$P78)*D78*C78/1000</f>
        <v>1.965117</v>
      </c>
      <c r="M78" s="42">
        <f>M$25/INDEX($C$27:$C$32,$P78)*D78*C78/1000</f>
        <v>1.965117</v>
      </c>
      <c r="N78" s="42">
        <f>N$25/INDEX($C$27:$C$32,$P78)*D78*C78/1000</f>
        <v>1.965117</v>
      </c>
      <c r="P78" s="43" t="n">
        <v>4</v>
      </c>
    </row>
    <row r="79">
      <c r="B79" s="22" t="inlineStr">
        <is>
          <t>Масло редукторов хода</t>
        </is>
      </c>
      <c r="C79" s="44" t="n">
        <v>23.907</v>
      </c>
      <c r="D79" s="44" t="n">
        <v>7</v>
      </c>
      <c r="E79" s="42">
        <f>E$25/INDEX($C$27:$C$32,$P79)*D79*C79/1000</f>
        <v>0.5857215</v>
      </c>
      <c r="F79" s="42">
        <f>F$25/INDEX($C$27:$C$32,$P79)*D79*C79/1000</f>
        <v>0.5857215</v>
      </c>
      <c r="G79" s="42">
        <f>G$25/INDEX($C$27:$C$32,$P79)*D79*C79/1000</f>
        <v>0.5857215</v>
      </c>
      <c r="H79" s="42">
        <f>H$25/INDEX($C$27:$C$32,$P79)*D79*C79/1000</f>
        <v>0.5857215</v>
      </c>
      <c r="I79" s="42">
        <f>I$25/INDEX($C$27:$C$32,$P79)*D79*C79/1000</f>
        <v>0.5857215</v>
      </c>
      <c r="J79" s="42">
        <f>J$25/INDEX($C$27:$C$32,$P79)*D79*C79/1000</f>
        <v>0.5857215</v>
      </c>
      <c r="K79" s="42">
        <f>K$25/INDEX($C$27:$C$32,$P79)*D79*C79/1000</f>
        <v>0.5857215</v>
      </c>
      <c r="L79" s="42">
        <f>L$25/INDEX($C$27:$C$32,$P79)*D79*C79/1000</f>
        <v>0.5857215</v>
      </c>
      <c r="M79" s="42">
        <f>M$25/INDEX($C$27:$C$32,$P79)*D79*C79/1000</f>
        <v>0.5857215</v>
      </c>
      <c r="N79" s="42">
        <f>N$25/INDEX($C$27:$C$32,$P79)*D79*C79/1000</f>
        <v>0.5857215</v>
      </c>
      <c r="P79" s="43" t="n">
        <v>4</v>
      </c>
    </row>
    <row r="80">
      <c r="B80" s="22" t="inlineStr">
        <is>
          <t>Фильтр системы пылеподавления</t>
        </is>
      </c>
      <c r="C80" s="44" t="n">
        <v>19.45</v>
      </c>
      <c r="D80" s="44" t="n">
        <v>1</v>
      </c>
      <c r="E80" s="42">
        <f>E$25/INDEX($C$27:$C$32,$P80)*D80*C80/1000</f>
        <v>0.068075</v>
      </c>
      <c r="F80" s="42">
        <f>F$25/INDEX($C$27:$C$32,$P80)*D80*C80/1000</f>
        <v>0.068075</v>
      </c>
      <c r="G80" s="42">
        <f>G$25/INDEX($C$27:$C$32,$P80)*D80*C80/1000</f>
        <v>0.068075</v>
      </c>
      <c r="H80" s="42">
        <f>H$25/INDEX($C$27:$C$32,$P80)*D80*C80/1000</f>
        <v>0.068075</v>
      </c>
      <c r="I80" s="42">
        <f>I$25/INDEX($C$27:$C$32,$P80)*D80*C80/1000</f>
        <v>0.068075</v>
      </c>
      <c r="J80" s="42">
        <f>J$25/INDEX($C$27:$C$32,$P80)*D80*C80/1000</f>
        <v>0.068075</v>
      </c>
      <c r="K80" s="42">
        <f>K$25/INDEX($C$27:$C$32,$P80)*D80*C80/1000</f>
        <v>0.068075</v>
      </c>
      <c r="L80" s="42">
        <f>L$25/INDEX($C$27:$C$32,$P80)*D80*C80/1000</f>
        <v>0.068075</v>
      </c>
      <c r="M80" s="42">
        <f>M$25/INDEX($C$27:$C$32,$P80)*D80*C80/1000</f>
        <v>0.068075</v>
      </c>
      <c r="N80" s="42">
        <f>N$25/INDEX($C$27:$C$32,$P80)*D80*C80/1000</f>
        <v>0.068075</v>
      </c>
      <c r="P80" s="43" t="n">
        <v>4</v>
      </c>
    </row>
    <row r="81">
      <c r="B81" s="22" t="inlineStr">
        <is>
          <t>Уплотнение штанги</t>
        </is>
      </c>
      <c r="C81" s="44" t="n">
        <v>218.162</v>
      </c>
      <c r="D81" s="44" t="n">
        <v>1</v>
      </c>
      <c r="E81" s="42">
        <f>E$25/INDEX($C$27:$C$32,$P81)*D81*C81/1000</f>
        <v>0.763567</v>
      </c>
      <c r="F81" s="42">
        <f>F$25/INDEX($C$27:$C$32,$P81)*D81*C81/1000</f>
        <v>0.763567</v>
      </c>
      <c r="G81" s="42">
        <f>G$25/INDEX($C$27:$C$32,$P81)*D81*C81/1000</f>
        <v>0.763567</v>
      </c>
      <c r="H81" s="42">
        <f>H$25/INDEX($C$27:$C$32,$P81)*D81*C81/1000</f>
        <v>0.763567</v>
      </c>
      <c r="I81" s="42">
        <f>I$25/INDEX($C$27:$C$32,$P81)*D81*C81/1000</f>
        <v>0.763567</v>
      </c>
      <c r="J81" s="42">
        <f>J$25/INDEX($C$27:$C$32,$P81)*D81*C81/1000</f>
        <v>0.763567</v>
      </c>
      <c r="K81" s="42">
        <f>K$25/INDEX($C$27:$C$32,$P81)*D81*C81/1000</f>
        <v>0.763567</v>
      </c>
      <c r="L81" s="42">
        <f>L$25/INDEX($C$27:$C$32,$P81)*D81*C81/1000</f>
        <v>0.763567</v>
      </c>
      <c r="M81" s="42">
        <f>M$25/INDEX($C$27:$C$32,$P81)*D81*C81/1000</f>
        <v>0.763567</v>
      </c>
      <c r="N81" s="42">
        <f>N$25/INDEX($C$27:$C$32,$P81)*D81*C81/1000</f>
        <v>0.763567</v>
      </c>
      <c r="P81" s="43" t="n">
        <v>4</v>
      </c>
    </row>
    <row r="82">
      <c r="B82" s="22" t="inlineStr">
        <is>
          <t>Гидравлическое масло</t>
        </is>
      </c>
      <c r="C82" s="44" t="n">
        <v>30.236</v>
      </c>
      <c r="D82" s="44" t="n">
        <v>833</v>
      </c>
      <c r="E82" s="42">
        <f>E$25/INDEX($C$27:$C$32,$P82)*D82*C82/1000</f>
        <v>58.76870533333334</v>
      </c>
      <c r="F82" s="42">
        <f>F$25/INDEX($C$27:$C$32,$P82)*D82*C82/1000</f>
        <v>58.76870533333334</v>
      </c>
      <c r="G82" s="42">
        <f>G$25/INDEX($C$27:$C$32,$P82)*D82*C82/1000</f>
        <v>58.76870533333334</v>
      </c>
      <c r="H82" s="42">
        <f>H$25/INDEX($C$27:$C$32,$P82)*D82*C82/1000</f>
        <v>58.76870533333334</v>
      </c>
      <c r="I82" s="42">
        <f>I$25/INDEX($C$27:$C$32,$P82)*D82*C82/1000</f>
        <v>58.76870533333334</v>
      </c>
      <c r="J82" s="42">
        <f>J$25/INDEX($C$27:$C$32,$P82)*D82*C82/1000</f>
        <v>58.76870533333334</v>
      </c>
      <c r="K82" s="42">
        <f>K$25/INDEX($C$27:$C$32,$P82)*D82*C82/1000</f>
        <v>58.76870533333334</v>
      </c>
      <c r="L82" s="42">
        <f>L$25/INDEX($C$27:$C$32,$P82)*D82*C82/1000</f>
        <v>58.76870533333334</v>
      </c>
      <c r="M82" s="42">
        <f>M$25/INDEX($C$27:$C$32,$P82)*D82*C82/1000</f>
        <v>58.76870533333334</v>
      </c>
      <c r="N82" s="42">
        <f>N$25/INDEX($C$27:$C$32,$P82)*D82*C82/1000</f>
        <v>58.76870533333334</v>
      </c>
      <c r="P82" s="43" t="n">
        <v>5</v>
      </c>
    </row>
    <row r="83">
      <c r="B83" s="22" t="inlineStr">
        <is>
          <t>Охлаждающая жидкость</t>
        </is>
      </c>
      <c r="C83" s="44" t="n">
        <v>3.122</v>
      </c>
      <c r="D83" s="44" t="n">
        <v>190</v>
      </c>
      <c r="E83" s="42">
        <f>E$25/INDEX($C$27:$C$32,$P83)*D83*C83/1000</f>
        <v>0.830452</v>
      </c>
      <c r="F83" s="42">
        <f>F$25/INDEX($C$27:$C$32,$P83)*D83*C83/1000</f>
        <v>0.830452</v>
      </c>
      <c r="G83" s="42">
        <f>G$25/INDEX($C$27:$C$32,$P83)*D83*C83/1000</f>
        <v>0.830452</v>
      </c>
      <c r="H83" s="42">
        <f>H$25/INDEX($C$27:$C$32,$P83)*D83*C83/1000</f>
        <v>0.830452</v>
      </c>
      <c r="I83" s="42">
        <f>I$25/INDEX($C$27:$C$32,$P83)*D83*C83/1000</f>
        <v>0.830452</v>
      </c>
      <c r="J83" s="42">
        <f>J$25/INDEX($C$27:$C$32,$P83)*D83*C83/1000</f>
        <v>0.830452</v>
      </c>
      <c r="K83" s="42">
        <f>K$25/INDEX($C$27:$C$32,$P83)*D83*C83/1000</f>
        <v>0.830452</v>
      </c>
      <c r="L83" s="42">
        <f>L$25/INDEX($C$27:$C$32,$P83)*D83*C83/1000</f>
        <v>0.830452</v>
      </c>
      <c r="M83" s="42">
        <f>M$25/INDEX($C$27:$C$32,$P83)*D83*C83/1000</f>
        <v>0.830452</v>
      </c>
      <c r="N83" s="42">
        <f>N$25/INDEX($C$27:$C$32,$P83)*D83*C83/1000</f>
        <v>0.830452</v>
      </c>
      <c r="P83" s="43" t="n">
        <v>6</v>
      </c>
    </row>
    <row r="84">
      <c r="B84" s="22" t="inlineStr">
        <is>
          <t>Корректировка (прочее)</t>
        </is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</row>
    <row r="85">
      <c r="B85" s="39" t="inlineStr">
        <is>
          <t>ИТОГО ЗЧ ТО, тыс.вал/год</t>
        </is>
      </c>
      <c r="E85" s="42">
        <f>SUM(E51:E84)</f>
        <v>136.07378843333333</v>
      </c>
      <c r="F85" s="42">
        <f>SUM(F51:F84)</f>
        <v>136.07378843333333</v>
      </c>
      <c r="G85" s="42">
        <f>SUM(G51:G84)</f>
        <v>136.07378843333333</v>
      </c>
      <c r="H85" s="42">
        <f>SUM(H51:H84)</f>
        <v>136.07378843333333</v>
      </c>
      <c r="I85" s="42">
        <f>SUM(I51:I84)</f>
        <v>136.07378843333333</v>
      </c>
      <c r="J85" s="42">
        <f>SUM(J51:J84)</f>
        <v>136.07378843333333</v>
      </c>
      <c r="K85" s="42">
        <f>SUM(K51:K84)</f>
        <v>136.07378843333333</v>
      </c>
      <c r="L85" s="42">
        <f>SUM(L51:L84)</f>
        <v>136.07378843333333</v>
      </c>
      <c r="M85" s="42">
        <f>SUM(M51:M84)</f>
        <v>136.07378843333333</v>
      </c>
      <c r="N85" s="42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44" t="n">
        <v>98848.48</v>
      </c>
      <c r="D89" s="43" t="n">
        <v>15000</v>
      </c>
      <c r="E89" s="42">
        <f>(INT($E$25*1/$D89)-INT($E$25*(1-1)/$D89))*$C89/1000</f>
        <v>0.0</v>
      </c>
      <c r="F89" s="42">
        <f>(INT($E$25*2/$D89)-INT($E$25*(2-1)/$D89))*$C89/1000</f>
        <v>0.0</v>
      </c>
      <c r="G89" s="42">
        <f>(INT($E$25*3/$D89)-INT($E$25*(3-1)/$D89))*$C89/1000</f>
        <v>98.84848</v>
      </c>
      <c r="H89" s="42">
        <f>(INT($E$25*4/$D89)-INT($E$25*(4-1)/$D89))*$C89/1000</f>
        <v>0.0</v>
      </c>
      <c r="I89" s="42">
        <f>(INT($E$25*5/$D89)-INT($E$25*(5-1)/$D89))*$C89/1000</f>
        <v>98.84848</v>
      </c>
      <c r="J89" s="42">
        <f>(INT($E$25*6/$D89)-INT($E$25*(6-1)/$D89))*$C89/1000</f>
        <v>0.0</v>
      </c>
      <c r="K89" s="42">
        <f>(INT($E$25*7/$D89)-INT($E$25*(7-1)/$D89))*$C89/1000</f>
        <v>98.84848</v>
      </c>
      <c r="L89" s="42">
        <f>(INT($E$25*8/$D89)-INT($E$25*(8-1)/$D89))*$C89/1000</f>
        <v>0.0</v>
      </c>
      <c r="M89" s="42">
        <f>(INT($E$25*9/$D89)-INT($E$25*(9-1)/$D89))*$C89/1000</f>
        <v>98.84848</v>
      </c>
      <c r="N89" s="42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44" t="n">
        <v>32894</v>
      </c>
      <c r="D90" s="43" t="n">
        <v>16000</v>
      </c>
      <c r="E90" s="42">
        <f>(INT($E$25*1/$D90)-INT($E$25*(1-1)/$D90))*$C90/1000</f>
        <v>0.0</v>
      </c>
      <c r="F90" s="42">
        <f>(INT($E$25*2/$D90)-INT($E$25*(2-1)/$D90))*$C90/1000</f>
        <v>0.0</v>
      </c>
      <c r="G90" s="42">
        <f>(INT($E$25*3/$D90)-INT($E$25*(3-1)/$D90))*$C90/1000</f>
        <v>32.894</v>
      </c>
      <c r="H90" s="42">
        <f>(INT($E$25*4/$D90)-INT($E$25*(4-1)/$D90))*$C90/1000</f>
        <v>0.0</v>
      </c>
      <c r="I90" s="42">
        <f>(INT($E$25*5/$D90)-INT($E$25*(5-1)/$D90))*$C90/1000</f>
        <v>32.894</v>
      </c>
      <c r="J90" s="42">
        <f>(INT($E$25*6/$D90)-INT($E$25*(6-1)/$D90))*$C90/1000</f>
        <v>0.0</v>
      </c>
      <c r="K90" s="42">
        <f>(INT($E$25*7/$D90)-INT($E$25*(7-1)/$D90))*$C90/1000</f>
        <v>32.894</v>
      </c>
      <c r="L90" s="42">
        <f>(INT($E$25*8/$D90)-INT($E$25*(8-1)/$D90))*$C90/1000</f>
        <v>0.0</v>
      </c>
      <c r="M90" s="42">
        <f>(INT($E$25*9/$D90)-INT($E$25*(9-1)/$D90))*$C90/1000</f>
        <v>0.0</v>
      </c>
      <c r="N90" s="42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44" t="n">
        <v>46638</v>
      </c>
      <c r="D91" s="43" t="n">
        <v>13000</v>
      </c>
      <c r="E91" s="42">
        <f>(INT($E$25*1/$D91)-INT($E$25*(1-1)/$D91))*$C91/1000</f>
        <v>0.0</v>
      </c>
      <c r="F91" s="42">
        <f>(INT($E$25*2/$D91)-INT($E$25*(2-1)/$D91))*$C91/1000</f>
        <v>46.638</v>
      </c>
      <c r="G91" s="42">
        <f>(INT($E$25*3/$D91)-INT($E$25*(3-1)/$D91))*$C91/1000</f>
        <v>0.0</v>
      </c>
      <c r="H91" s="42">
        <f>(INT($E$25*4/$D91)-INT($E$25*(4-1)/$D91))*$C91/1000</f>
        <v>46.638</v>
      </c>
      <c r="I91" s="42">
        <f>(INT($E$25*5/$D91)-INT($E$25*(5-1)/$D91))*$C91/1000</f>
        <v>0.0</v>
      </c>
      <c r="J91" s="42">
        <f>(INT($E$25*6/$D91)-INT($E$25*(6-1)/$D91))*$C91/1000</f>
        <v>46.638</v>
      </c>
      <c r="K91" s="42">
        <f>(INT($E$25*7/$D91)-INT($E$25*(7-1)/$D91))*$C91/1000</f>
        <v>0.0</v>
      </c>
      <c r="L91" s="42">
        <f>(INT($E$25*8/$D91)-INT($E$25*(8-1)/$D91))*$C91/1000</f>
        <v>46.638</v>
      </c>
      <c r="M91" s="42">
        <f>(INT($E$25*9/$D91)-INT($E$25*(9-1)/$D91))*$C91/1000</f>
        <v>0.0</v>
      </c>
      <c r="N91" s="42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44" t="n">
        <v>4240.92</v>
      </c>
      <c r="D92" s="43" t="n">
        <v>7450</v>
      </c>
      <c r="E92" s="42">
        <f>(INT($E$25*1/$D92)-INT($E$25*(1-1)/$D92))*$C92/1000</f>
        <v>0.0</v>
      </c>
      <c r="F92" s="42">
        <f>(INT($E$25*2/$D92)-INT($E$25*(2-1)/$D92))*$C92/1000</f>
        <v>4.24092</v>
      </c>
      <c r="G92" s="42">
        <f>(INT($E$25*3/$D92)-INT($E$25*(3-1)/$D92))*$C92/1000</f>
        <v>4.24092</v>
      </c>
      <c r="H92" s="42">
        <f>(INT($E$25*4/$D92)-INT($E$25*(4-1)/$D92))*$C92/1000</f>
        <v>4.24092</v>
      </c>
      <c r="I92" s="42">
        <f>(INT($E$25*5/$D92)-INT($E$25*(5-1)/$D92))*$C92/1000</f>
        <v>4.24092</v>
      </c>
      <c r="J92" s="42">
        <f>(INT($E$25*6/$D92)-INT($E$25*(6-1)/$D92))*$C92/1000</f>
        <v>4.24092</v>
      </c>
      <c r="K92" s="42">
        <f>(INT($E$25*7/$D92)-INT($E$25*(7-1)/$D92))*$C92/1000</f>
        <v>4.24092</v>
      </c>
      <c r="L92" s="42">
        <f>(INT($E$25*8/$D92)-INT($E$25*(8-1)/$D92))*$C92/1000</f>
        <v>4.24092</v>
      </c>
      <c r="M92" s="42">
        <f>(INT($E$25*9/$D92)-INT($E$25*(9-1)/$D92))*$C92/1000</f>
        <v>4.24092</v>
      </c>
      <c r="N92" s="42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44" t="n">
        <v>4242.92</v>
      </c>
      <c r="D93" s="43" t="n">
        <v>7450</v>
      </c>
      <c r="E93" s="42">
        <f>(INT($E$25*1/$D93)-INT($E$25*(1-1)/$D93))*$C93/1000</f>
        <v>0.0</v>
      </c>
      <c r="F93" s="42">
        <f>(INT($E$25*2/$D93)-INT($E$25*(2-1)/$D93))*$C93/1000</f>
        <v>4.24292</v>
      </c>
      <c r="G93" s="42">
        <f>(INT($E$25*3/$D93)-INT($E$25*(3-1)/$D93))*$C93/1000</f>
        <v>4.24292</v>
      </c>
      <c r="H93" s="42">
        <f>(INT($E$25*4/$D93)-INT($E$25*(4-1)/$D93))*$C93/1000</f>
        <v>4.24292</v>
      </c>
      <c r="I93" s="42">
        <f>(INT($E$25*5/$D93)-INT($E$25*(5-1)/$D93))*$C93/1000</f>
        <v>4.24292</v>
      </c>
      <c r="J93" s="42">
        <f>(INT($E$25*6/$D93)-INT($E$25*(6-1)/$D93))*$C93/1000</f>
        <v>4.24292</v>
      </c>
      <c r="K93" s="42">
        <f>(INT($E$25*7/$D93)-INT($E$25*(7-1)/$D93))*$C93/1000</f>
        <v>4.24292</v>
      </c>
      <c r="L93" s="42">
        <f>(INT($E$25*8/$D93)-INT($E$25*(8-1)/$D93))*$C93/1000</f>
        <v>4.24292</v>
      </c>
      <c r="M93" s="42">
        <f>(INT($E$25*9/$D93)-INT($E$25*(9-1)/$D93))*$C93/1000</f>
        <v>4.24292</v>
      </c>
      <c r="N93" s="42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44" t="n">
        <v>3464.48</v>
      </c>
      <c r="D94" s="43" t="n">
        <v>6000</v>
      </c>
      <c r="E94" s="42">
        <f>(INT($E$25*1/$D94)-INT($E$25*(1-1)/$D94))*$C94/1000</f>
        <v>3.46448</v>
      </c>
      <c r="F94" s="42">
        <f>(INT($E$25*2/$D94)-INT($E$25*(2-1)/$D94))*$C94/1000</f>
        <v>3.46448</v>
      </c>
      <c r="G94" s="42">
        <f>(INT($E$25*3/$D94)-INT($E$25*(3-1)/$D94))*$C94/1000</f>
        <v>3.46448</v>
      </c>
      <c r="H94" s="42">
        <f>(INT($E$25*4/$D94)-INT($E$25*(4-1)/$D94))*$C94/1000</f>
        <v>3.46448</v>
      </c>
      <c r="I94" s="42">
        <f>(INT($E$25*5/$D94)-INT($E$25*(5-1)/$D94))*$C94/1000</f>
        <v>3.46448</v>
      </c>
      <c r="J94" s="42">
        <f>(INT($E$25*6/$D94)-INT($E$25*(6-1)/$D94))*$C94/1000</f>
        <v>6.92896</v>
      </c>
      <c r="K94" s="42">
        <f>(INT($E$25*7/$D94)-INT($E$25*(7-1)/$D94))*$C94/1000</f>
        <v>3.46448</v>
      </c>
      <c r="L94" s="42">
        <f>(INT($E$25*8/$D94)-INT($E$25*(8-1)/$D94))*$C94/1000</f>
        <v>3.46448</v>
      </c>
      <c r="M94" s="42">
        <f>(INT($E$25*9/$D94)-INT($E$25*(9-1)/$D94))*$C94/1000</f>
        <v>3.46448</v>
      </c>
      <c r="N94" s="42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44" t="n">
        <v>237.18</v>
      </c>
      <c r="D95" s="43" t="n">
        <v>6000</v>
      </c>
      <c r="E95" s="42">
        <f>(INT($E$25*1/$D95)-INT($E$25*(1-1)/$D95))*$C95/1000</f>
        <v>0.23718</v>
      </c>
      <c r="F95" s="42">
        <f>(INT($E$25*2/$D95)-INT($E$25*(2-1)/$D95))*$C95/1000</f>
        <v>0.23718</v>
      </c>
      <c r="G95" s="42">
        <f>(INT($E$25*3/$D95)-INT($E$25*(3-1)/$D95))*$C95/1000</f>
        <v>0.23718</v>
      </c>
      <c r="H95" s="42">
        <f>(INT($E$25*4/$D95)-INT($E$25*(4-1)/$D95))*$C95/1000</f>
        <v>0.23718</v>
      </c>
      <c r="I95" s="42">
        <f>(INT($E$25*5/$D95)-INT($E$25*(5-1)/$D95))*$C95/1000</f>
        <v>0.23718</v>
      </c>
      <c r="J95" s="42">
        <f>(INT($E$25*6/$D95)-INT($E$25*(6-1)/$D95))*$C95/1000</f>
        <v>0.47436</v>
      </c>
      <c r="K95" s="42">
        <f>(INT($E$25*7/$D95)-INT($E$25*(7-1)/$D95))*$C95/1000</f>
        <v>0.23718</v>
      </c>
      <c r="L95" s="42">
        <f>(INT($E$25*8/$D95)-INT($E$25*(8-1)/$D95))*$C95/1000</f>
        <v>0.23718</v>
      </c>
      <c r="M95" s="42">
        <f>(INT($E$25*9/$D95)-INT($E$25*(9-1)/$D95))*$C95/1000</f>
        <v>0.23718</v>
      </c>
      <c r="N95" s="42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44" t="n">
        <v>102.66</v>
      </c>
      <c r="D96" s="43" t="n">
        <v>4000</v>
      </c>
      <c r="E96" s="42">
        <f>(INT($E$25*1/$D96)-INT($E$25*(1-1)/$D96))*$C96/1000</f>
        <v>0.10266</v>
      </c>
      <c r="F96" s="42">
        <f>(INT($E$25*2/$D96)-INT($E$25*(2-1)/$D96))*$C96/1000</f>
        <v>0.20532</v>
      </c>
      <c r="G96" s="42">
        <f>(INT($E$25*3/$D96)-INT($E$25*(3-1)/$D96))*$C96/1000</f>
        <v>0.20532</v>
      </c>
      <c r="H96" s="42">
        <f>(INT($E$25*4/$D96)-INT($E$25*(4-1)/$D96))*$C96/1000</f>
        <v>0.20532</v>
      </c>
      <c r="I96" s="42">
        <f>(INT($E$25*5/$D96)-INT($E$25*(5-1)/$D96))*$C96/1000</f>
        <v>0.10266</v>
      </c>
      <c r="J96" s="42">
        <f>(INT($E$25*6/$D96)-INT($E$25*(6-1)/$D96))*$C96/1000</f>
        <v>0.20532</v>
      </c>
      <c r="K96" s="42">
        <f>(INT($E$25*7/$D96)-INT($E$25*(7-1)/$D96))*$C96/1000</f>
        <v>0.20532</v>
      </c>
      <c r="L96" s="42">
        <f>(INT($E$25*8/$D96)-INT($E$25*(8-1)/$D96))*$C96/1000</f>
        <v>0.20532</v>
      </c>
      <c r="M96" s="42">
        <f>(INT($E$25*9/$D96)-INT($E$25*(9-1)/$D96))*$C96/1000</f>
        <v>0.10266</v>
      </c>
      <c r="N96" s="42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44" t="n">
        <v>110.66</v>
      </c>
      <c r="D97" s="43" t="n">
        <v>4000</v>
      </c>
      <c r="E97" s="42">
        <f>(INT($E$25*1/$D97)-INT($E$25*(1-1)/$D97))*$C97/1000</f>
        <v>0.11066</v>
      </c>
      <c r="F97" s="42">
        <f>(INT($E$25*2/$D97)-INT($E$25*(2-1)/$D97))*$C97/1000</f>
        <v>0.22132</v>
      </c>
      <c r="G97" s="42">
        <f>(INT($E$25*3/$D97)-INT($E$25*(3-1)/$D97))*$C97/1000</f>
        <v>0.22132</v>
      </c>
      <c r="H97" s="42">
        <f>(INT($E$25*4/$D97)-INT($E$25*(4-1)/$D97))*$C97/1000</f>
        <v>0.22132</v>
      </c>
      <c r="I97" s="42">
        <f>(INT($E$25*5/$D97)-INT($E$25*(5-1)/$D97))*$C97/1000</f>
        <v>0.11066</v>
      </c>
      <c r="J97" s="42">
        <f>(INT($E$25*6/$D97)-INT($E$25*(6-1)/$D97))*$C97/1000</f>
        <v>0.22132</v>
      </c>
      <c r="K97" s="42">
        <f>(INT($E$25*7/$D97)-INT($E$25*(7-1)/$D97))*$C97/1000</f>
        <v>0.22132</v>
      </c>
      <c r="L97" s="42">
        <f>(INT($E$25*8/$D97)-INT($E$25*(8-1)/$D97))*$C97/1000</f>
        <v>0.22132</v>
      </c>
      <c r="M97" s="42">
        <f>(INT($E$25*9/$D97)-INT($E$25*(9-1)/$D97))*$C97/1000</f>
        <v>0.11066</v>
      </c>
      <c r="N97" s="42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44" t="n">
        <v>92.04000000000001</v>
      </c>
      <c r="D98" s="43" t="n">
        <v>5000</v>
      </c>
      <c r="E98" s="42">
        <f>(INT($E$25*1/$D98)-INT($E$25*(1-1)/$D98))*$C98/1000</f>
        <v>0.09204000000000001</v>
      </c>
      <c r="F98" s="42">
        <f>(INT($E$25*2/$D98)-INT($E$25*(2-1)/$D98))*$C98/1000</f>
        <v>0.09204000000000001</v>
      </c>
      <c r="G98" s="42">
        <f>(INT($E$25*3/$D98)-INT($E$25*(3-1)/$D98))*$C98/1000</f>
        <v>0.18408000000000002</v>
      </c>
      <c r="H98" s="42">
        <f>(INT($E$25*4/$D98)-INT($E$25*(4-1)/$D98))*$C98/1000</f>
        <v>0.09204000000000001</v>
      </c>
      <c r="I98" s="42">
        <f>(INT($E$25*5/$D98)-INT($E$25*(5-1)/$D98))*$C98/1000</f>
        <v>0.18408000000000002</v>
      </c>
      <c r="J98" s="42">
        <f>(INT($E$25*6/$D98)-INT($E$25*(6-1)/$D98))*$C98/1000</f>
        <v>0.09204000000000001</v>
      </c>
      <c r="K98" s="42">
        <f>(INT($E$25*7/$D98)-INT($E$25*(7-1)/$D98))*$C98/1000</f>
        <v>0.09204000000000001</v>
      </c>
      <c r="L98" s="42">
        <f>(INT($E$25*8/$D98)-INT($E$25*(8-1)/$D98))*$C98/1000</f>
        <v>0.18408000000000002</v>
      </c>
      <c r="M98" s="42">
        <f>(INT($E$25*9/$D98)-INT($E$25*(9-1)/$D98))*$C98/1000</f>
        <v>0.09204000000000001</v>
      </c>
      <c r="N98" s="42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44" t="n">
        <v>123.9</v>
      </c>
      <c r="D99" s="43" t="n">
        <v>4000</v>
      </c>
      <c r="E99" s="42">
        <f>(INT($E$25*1/$D99)-INT($E$25*(1-1)/$D99))*$C99/1000</f>
        <v>0.12390000000000001</v>
      </c>
      <c r="F99" s="42">
        <f>(INT($E$25*2/$D99)-INT($E$25*(2-1)/$D99))*$C99/1000</f>
        <v>0.24780000000000002</v>
      </c>
      <c r="G99" s="42">
        <f>(INT($E$25*3/$D99)-INT($E$25*(3-1)/$D99))*$C99/1000</f>
        <v>0.24780000000000002</v>
      </c>
      <c r="H99" s="42">
        <f>(INT($E$25*4/$D99)-INT($E$25*(4-1)/$D99))*$C99/1000</f>
        <v>0.24780000000000002</v>
      </c>
      <c r="I99" s="42">
        <f>(INT($E$25*5/$D99)-INT($E$25*(5-1)/$D99))*$C99/1000</f>
        <v>0.12390000000000001</v>
      </c>
      <c r="J99" s="42">
        <f>(INT($E$25*6/$D99)-INT($E$25*(6-1)/$D99))*$C99/1000</f>
        <v>0.24780000000000002</v>
      </c>
      <c r="K99" s="42">
        <f>(INT($E$25*7/$D99)-INT($E$25*(7-1)/$D99))*$C99/1000</f>
        <v>0.24780000000000002</v>
      </c>
      <c r="L99" s="42">
        <f>(INT($E$25*8/$D99)-INT($E$25*(8-1)/$D99))*$C99/1000</f>
        <v>0.24780000000000002</v>
      </c>
      <c r="M99" s="42">
        <f>(INT($E$25*9/$D99)-INT($E$25*(9-1)/$D99))*$C99/1000</f>
        <v>0.12390000000000001</v>
      </c>
      <c r="N99" s="42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44" t="n">
        <v>143.96</v>
      </c>
      <c r="D100" s="43" t="n">
        <v>12000</v>
      </c>
      <c r="E100" s="42">
        <f>(INT($E$25*1/$D100)-INT($E$25*(1-1)/$D100))*$C100/1000</f>
        <v>0.0</v>
      </c>
      <c r="F100" s="42">
        <f>(INT($E$25*2/$D100)-INT($E$25*(2-1)/$D100))*$C100/1000</f>
        <v>0.14396</v>
      </c>
      <c r="G100" s="42">
        <f>(INT($E$25*3/$D100)-INT($E$25*(3-1)/$D100))*$C100/1000</f>
        <v>0.0</v>
      </c>
      <c r="H100" s="42">
        <f>(INT($E$25*4/$D100)-INT($E$25*(4-1)/$D100))*$C100/1000</f>
        <v>0.14396</v>
      </c>
      <c r="I100" s="42">
        <f>(INT($E$25*5/$D100)-INT($E$25*(5-1)/$D100))*$C100/1000</f>
        <v>0.0</v>
      </c>
      <c r="J100" s="42">
        <f>(INT($E$25*6/$D100)-INT($E$25*(6-1)/$D100))*$C100/1000</f>
        <v>0.14396</v>
      </c>
      <c r="K100" s="42">
        <f>(INT($E$25*7/$D100)-INT($E$25*(7-1)/$D100))*$C100/1000</f>
        <v>0.14396</v>
      </c>
      <c r="L100" s="42">
        <f>(INT($E$25*8/$D100)-INT($E$25*(8-1)/$D100))*$C100/1000</f>
        <v>0.0</v>
      </c>
      <c r="M100" s="42">
        <f>(INT($E$25*9/$D100)-INT($E$25*(9-1)/$D100))*$C100/1000</f>
        <v>0.14396</v>
      </c>
      <c r="N100" s="42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44" t="n">
        <v>159.96</v>
      </c>
      <c r="D101" s="43" t="n">
        <v>7000</v>
      </c>
      <c r="E101" s="42">
        <f>(INT($E$25*1/$D101)-INT($E$25*(1-1)/$D101))*$C101/1000</f>
        <v>0.15996000000000002</v>
      </c>
      <c r="F101" s="42">
        <f>(INT($E$25*2/$D101)-INT($E$25*(2-1)/$D101))*$C101/1000</f>
        <v>0.15996000000000002</v>
      </c>
      <c r="G101" s="42">
        <f>(INT($E$25*3/$D101)-INT($E$25*(3-1)/$D101))*$C101/1000</f>
        <v>0.15996000000000002</v>
      </c>
      <c r="H101" s="42">
        <f>(INT($E$25*4/$D101)-INT($E$25*(4-1)/$D101))*$C101/1000</f>
        <v>0.15996000000000002</v>
      </c>
      <c r="I101" s="42">
        <f>(INT($E$25*5/$D101)-INT($E$25*(5-1)/$D101))*$C101/1000</f>
        <v>0.15996000000000002</v>
      </c>
      <c r="J101" s="42">
        <f>(INT($E$25*6/$D101)-INT($E$25*(6-1)/$D101))*$C101/1000</f>
        <v>0.15996000000000002</v>
      </c>
      <c r="K101" s="42">
        <f>(INT($E$25*7/$D101)-INT($E$25*(7-1)/$D101))*$C101/1000</f>
        <v>0.15996000000000002</v>
      </c>
      <c r="L101" s="42">
        <f>(INT($E$25*8/$D101)-INT($E$25*(8-1)/$D101))*$C101/1000</f>
        <v>0.15996000000000002</v>
      </c>
      <c r="M101" s="42">
        <f>(INT($E$25*9/$D101)-INT($E$25*(9-1)/$D101))*$C101/1000</f>
        <v>0.15996000000000002</v>
      </c>
      <c r="N101" s="42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44" t="n">
        <v>215.94</v>
      </c>
      <c r="D102" s="43" t="n">
        <v>7000</v>
      </c>
      <c r="E102" s="42">
        <f>(INT($E$25*1/$D102)-INT($E$25*(1-1)/$D102))*$C102/1000</f>
        <v>0.21594</v>
      </c>
      <c r="F102" s="42">
        <f>(INT($E$25*2/$D102)-INT($E$25*(2-1)/$D102))*$C102/1000</f>
        <v>0.21594</v>
      </c>
      <c r="G102" s="42">
        <f>(INT($E$25*3/$D102)-INT($E$25*(3-1)/$D102))*$C102/1000</f>
        <v>0.21594</v>
      </c>
      <c r="H102" s="42">
        <f>(INT($E$25*4/$D102)-INT($E$25*(4-1)/$D102))*$C102/1000</f>
        <v>0.21594</v>
      </c>
      <c r="I102" s="42">
        <f>(INT($E$25*5/$D102)-INT($E$25*(5-1)/$D102))*$C102/1000</f>
        <v>0.21594</v>
      </c>
      <c r="J102" s="42">
        <f>(INT($E$25*6/$D102)-INT($E$25*(6-1)/$D102))*$C102/1000</f>
        <v>0.21594</v>
      </c>
      <c r="K102" s="42">
        <f>(INT($E$25*7/$D102)-INT($E$25*(7-1)/$D102))*$C102/1000</f>
        <v>0.21594</v>
      </c>
      <c r="L102" s="42">
        <f>(INT($E$25*8/$D102)-INT($E$25*(8-1)/$D102))*$C102/1000</f>
        <v>0.21594</v>
      </c>
      <c r="M102" s="42">
        <f>(INT($E$25*9/$D102)-INT($E$25*(9-1)/$D102))*$C102/1000</f>
        <v>0.21594</v>
      </c>
      <c r="N102" s="42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44" t="n">
        <v>3415.51</v>
      </c>
      <c r="D103" s="43" t="n">
        <v>36000</v>
      </c>
      <c r="E103" s="42">
        <f>(INT($E$25*1/$D103)-INT($E$25*(1-1)/$D103))*$C103/1000</f>
        <v>0.0</v>
      </c>
      <c r="F103" s="42">
        <f>(INT($E$25*2/$D103)-INT($E$25*(2-1)/$D103))*$C103/1000</f>
        <v>0.0</v>
      </c>
      <c r="G103" s="42">
        <f>(INT($E$25*3/$D103)-INT($E$25*(3-1)/$D103))*$C103/1000</f>
        <v>0.0</v>
      </c>
      <c r="H103" s="42">
        <f>(INT($E$25*4/$D103)-INT($E$25*(4-1)/$D103))*$C103/1000</f>
        <v>0.0</v>
      </c>
      <c r="I103" s="42">
        <f>(INT($E$25*5/$D103)-INT($E$25*(5-1)/$D103))*$C103/1000</f>
        <v>0.0</v>
      </c>
      <c r="J103" s="42">
        <f>(INT($E$25*6/$D103)-INT($E$25*(6-1)/$D103))*$C103/1000</f>
        <v>3.4155100000000003</v>
      </c>
      <c r="K103" s="42">
        <f>(INT($E$25*7/$D103)-INT($E$25*(7-1)/$D103))*$C103/1000</f>
        <v>0.0</v>
      </c>
      <c r="L103" s="42">
        <f>(INT($E$25*8/$D103)-INT($E$25*(8-1)/$D103))*$C103/1000</f>
        <v>0.0</v>
      </c>
      <c r="M103" s="42">
        <f>(INT($E$25*9/$D103)-INT($E$25*(9-1)/$D103))*$C103/1000</f>
        <v>0.0</v>
      </c>
      <c r="N103" s="42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44" t="n">
        <v>12637.39</v>
      </c>
      <c r="D104" s="43" t="n">
        <v>65000</v>
      </c>
      <c r="E104" s="42">
        <f>(INT($E$25*1/$D104)-INT($E$25*(1-1)/$D104))*$C104/1000</f>
        <v>0.0</v>
      </c>
      <c r="F104" s="42">
        <f>(INT($E$25*2/$D104)-INT($E$25*(2-1)/$D104))*$C104/1000</f>
        <v>0.0</v>
      </c>
      <c r="G104" s="42">
        <f>(INT($E$25*3/$D104)-INT($E$25*(3-1)/$D104))*$C104/1000</f>
        <v>0.0</v>
      </c>
      <c r="H104" s="42">
        <f>(INT($E$25*4/$D104)-INT($E$25*(4-1)/$D104))*$C104/1000</f>
        <v>0.0</v>
      </c>
      <c r="I104" s="42">
        <f>(INT($E$25*5/$D104)-INT($E$25*(5-1)/$D104))*$C104/1000</f>
        <v>0.0</v>
      </c>
      <c r="J104" s="42">
        <f>(INT($E$25*6/$D104)-INT($E$25*(6-1)/$D104))*$C104/1000</f>
        <v>0.0</v>
      </c>
      <c r="K104" s="42">
        <f>(INT($E$25*7/$D104)-INT($E$25*(7-1)/$D104))*$C104/1000</f>
        <v>0.0</v>
      </c>
      <c r="L104" s="42">
        <f>(INT($E$25*8/$D104)-INT($E$25*(8-1)/$D104))*$C104/1000</f>
        <v>0.0</v>
      </c>
      <c r="M104" s="42">
        <f>(INT($E$25*9/$D104)-INT($E$25*(9-1)/$D104))*$C104/1000</f>
        <v>0.0</v>
      </c>
      <c r="N104" s="42">
        <f>(INT($E$25*10/$D104)-INT($E$25*(10-1)/$D104))*$C104/1000</f>
        <v>12.63739</v>
      </c>
    </row>
    <row r="105">
      <c r="B105" s="45" t="inlineStr">
        <is>
          <t>ИТОГО</t>
        </is>
      </c>
      <c r="E105" s="42">
        <f>SUM(E89:E104)</f>
        <v>4.506819999999999</v>
      </c>
      <c r="F105" s="42">
        <f>SUM(F89:F104)</f>
        <v>60.109840000000005</v>
      </c>
      <c r="G105" s="42">
        <f>SUM(G89:G104)</f>
        <v>145.1624</v>
      </c>
      <c r="H105" s="42">
        <f>SUM(H89:H104)</f>
        <v>60.109840000000005</v>
      </c>
      <c r="I105" s="42">
        <f>SUM(I89:I104)</f>
        <v>144.82518</v>
      </c>
      <c r="J105" s="42">
        <f>SUM(J89:J104)</f>
        <v>67.22701</v>
      </c>
      <c r="K105" s="42">
        <f>SUM(K89:K104)</f>
        <v>145.21432</v>
      </c>
      <c r="L105" s="42">
        <f>SUM(L89:L104)</f>
        <v>60.057919999999996</v>
      </c>
      <c r="M105" s="42">
        <f>SUM(M89:M104)</f>
        <v>111.9831</v>
      </c>
      <c r="N105" s="42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44" t="n">
        <v>56</v>
      </c>
      <c r="D109" s="43" t="n">
        <v>15000</v>
      </c>
      <c r="E109" s="42">
        <f>(INT($E$25*1/$D109)-INT($E$25*(1-1)/$D109))*$C109</f>
        <v>0.0</v>
      </c>
      <c r="F109" s="42">
        <f>(INT($E$25*2/$D109)-INT($E$25*(2-1)/$D109))*$C109</f>
        <v>0.0</v>
      </c>
      <c r="G109" s="42">
        <f>(INT($E$25*3/$D109)-INT($E$25*(3-1)/$D109))*$C109</f>
        <v>56.0</v>
      </c>
      <c r="H109" s="42">
        <f>(INT($E$25*4/$D109)-INT($E$25*(4-1)/$D109))*$C109</f>
        <v>0.0</v>
      </c>
      <c r="I109" s="42">
        <f>(INT($E$25*5/$D109)-INT($E$25*(5-1)/$D109))*$C109</f>
        <v>56.0</v>
      </c>
      <c r="J109" s="42">
        <f>(INT($E$25*6/$D109)-INT($E$25*(6-1)/$D109))*$C109</f>
        <v>0.0</v>
      </c>
      <c r="K109" s="42">
        <f>(INT($E$25*7/$D109)-INT($E$25*(7-1)/$D109))*$C109</f>
        <v>56.0</v>
      </c>
      <c r="L109" s="42">
        <f>(INT($E$25*8/$D109)-INT($E$25*(8-1)/$D109))*$C109</f>
        <v>0.0</v>
      </c>
      <c r="M109" s="42">
        <f>(INT($E$25*9/$D109)-INT($E$25*(9-1)/$D109))*$C109</f>
        <v>56.0</v>
      </c>
      <c r="N109" s="42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44" t="n">
        <v>4</v>
      </c>
      <c r="D110" s="43" t="n">
        <v>16000</v>
      </c>
      <c r="E110" s="42">
        <f>(INT($E$25*1/$D110)-INT($E$25*(1-1)/$D110))*$C110</f>
        <v>0.0</v>
      </c>
      <c r="F110" s="42">
        <f>(INT($E$25*2/$D110)-INT($E$25*(2-1)/$D110))*$C110</f>
        <v>0.0</v>
      </c>
      <c r="G110" s="42">
        <f>(INT($E$25*3/$D110)-INT($E$25*(3-1)/$D110))*$C110</f>
        <v>4.0</v>
      </c>
      <c r="H110" s="42">
        <f>(INT($E$25*4/$D110)-INT($E$25*(4-1)/$D110))*$C110</f>
        <v>0.0</v>
      </c>
      <c r="I110" s="42">
        <f>(INT($E$25*5/$D110)-INT($E$25*(5-1)/$D110))*$C110</f>
        <v>4.0</v>
      </c>
      <c r="J110" s="42">
        <f>(INT($E$25*6/$D110)-INT($E$25*(6-1)/$D110))*$C110</f>
        <v>0.0</v>
      </c>
      <c r="K110" s="42">
        <f>(INT($E$25*7/$D110)-INT($E$25*(7-1)/$D110))*$C110</f>
        <v>4.0</v>
      </c>
      <c r="L110" s="42">
        <f>(INT($E$25*8/$D110)-INT($E$25*(8-1)/$D110))*$C110</f>
        <v>0.0</v>
      </c>
      <c r="M110" s="42">
        <f>(INT($E$25*9/$D110)-INT($E$25*(9-1)/$D110))*$C110</f>
        <v>0.0</v>
      </c>
      <c r="N110" s="42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44" t="n">
        <v>8</v>
      </c>
      <c r="D111" s="43" t="n">
        <v>13000</v>
      </c>
      <c r="E111" s="42">
        <f>(INT($E$25*1/$D111)-INT($E$25*(1-1)/$D111))*$C111</f>
        <v>0.0</v>
      </c>
      <c r="F111" s="42">
        <f>(INT($E$25*2/$D111)-INT($E$25*(2-1)/$D111))*$C111</f>
        <v>8.0</v>
      </c>
      <c r="G111" s="42">
        <f>(INT($E$25*3/$D111)-INT($E$25*(3-1)/$D111))*$C111</f>
        <v>0.0</v>
      </c>
      <c r="H111" s="42">
        <f>(INT($E$25*4/$D111)-INT($E$25*(4-1)/$D111))*$C111</f>
        <v>8.0</v>
      </c>
      <c r="I111" s="42">
        <f>(INT($E$25*5/$D111)-INT($E$25*(5-1)/$D111))*$C111</f>
        <v>0.0</v>
      </c>
      <c r="J111" s="42">
        <f>(INT($E$25*6/$D111)-INT($E$25*(6-1)/$D111))*$C111</f>
        <v>8.0</v>
      </c>
      <c r="K111" s="42">
        <f>(INT($E$25*7/$D111)-INT($E$25*(7-1)/$D111))*$C111</f>
        <v>0.0</v>
      </c>
      <c r="L111" s="42">
        <f>(INT($E$25*8/$D111)-INT($E$25*(8-1)/$D111))*$C111</f>
        <v>8.0</v>
      </c>
      <c r="M111" s="42">
        <f>(INT($E$25*9/$D111)-INT($E$25*(9-1)/$D111))*$C111</f>
        <v>0.0</v>
      </c>
      <c r="N111" s="42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44" t="n">
        <v>36</v>
      </c>
      <c r="D112" s="43" t="n">
        <v>7450</v>
      </c>
      <c r="E112" s="42">
        <f>(INT($E$25*1/$D112)-INT($E$25*(1-1)/$D112))*$C112</f>
        <v>0.0</v>
      </c>
      <c r="F112" s="42">
        <f>(INT($E$25*2/$D112)-INT($E$25*(2-1)/$D112))*$C112</f>
        <v>36.0</v>
      </c>
      <c r="G112" s="42">
        <f>(INT($E$25*3/$D112)-INT($E$25*(3-1)/$D112))*$C112</f>
        <v>36.0</v>
      </c>
      <c r="H112" s="42">
        <f>(INT($E$25*4/$D112)-INT($E$25*(4-1)/$D112))*$C112</f>
        <v>36.0</v>
      </c>
      <c r="I112" s="42">
        <f>(INT($E$25*5/$D112)-INT($E$25*(5-1)/$D112))*$C112</f>
        <v>36.0</v>
      </c>
      <c r="J112" s="42">
        <f>(INT($E$25*6/$D112)-INT($E$25*(6-1)/$D112))*$C112</f>
        <v>36.0</v>
      </c>
      <c r="K112" s="42">
        <f>(INT($E$25*7/$D112)-INT($E$25*(7-1)/$D112))*$C112</f>
        <v>36.0</v>
      </c>
      <c r="L112" s="42">
        <f>(INT($E$25*8/$D112)-INT($E$25*(8-1)/$D112))*$C112</f>
        <v>36.0</v>
      </c>
      <c r="M112" s="42">
        <f>(INT($E$25*9/$D112)-INT($E$25*(9-1)/$D112))*$C112</f>
        <v>36.0</v>
      </c>
      <c r="N112" s="42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44" t="n">
        <v>72</v>
      </c>
      <c r="D113" s="43" t="n">
        <v>7450</v>
      </c>
      <c r="E113" s="42">
        <f>(INT($E$25*1/$D113)-INT($E$25*(1-1)/$D113))*$C113</f>
        <v>0.0</v>
      </c>
      <c r="F113" s="42">
        <f>(INT($E$25*2/$D113)-INT($E$25*(2-1)/$D113))*$C113</f>
        <v>72.0</v>
      </c>
      <c r="G113" s="42">
        <f>(INT($E$25*3/$D113)-INT($E$25*(3-1)/$D113))*$C113</f>
        <v>72.0</v>
      </c>
      <c r="H113" s="42">
        <f>(INT($E$25*4/$D113)-INT($E$25*(4-1)/$D113))*$C113</f>
        <v>72.0</v>
      </c>
      <c r="I113" s="42">
        <f>(INT($E$25*5/$D113)-INT($E$25*(5-1)/$D113))*$C113</f>
        <v>72.0</v>
      </c>
      <c r="J113" s="42">
        <f>(INT($E$25*6/$D113)-INT($E$25*(6-1)/$D113))*$C113</f>
        <v>72.0</v>
      </c>
      <c r="K113" s="42">
        <f>(INT($E$25*7/$D113)-INT($E$25*(7-1)/$D113))*$C113</f>
        <v>72.0</v>
      </c>
      <c r="L113" s="42">
        <f>(INT($E$25*8/$D113)-INT($E$25*(8-1)/$D113))*$C113</f>
        <v>72.0</v>
      </c>
      <c r="M113" s="42">
        <f>(INT($E$25*9/$D113)-INT($E$25*(9-1)/$D113))*$C113</f>
        <v>72.0</v>
      </c>
      <c r="N113" s="42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44" t="n">
        <v>28</v>
      </c>
      <c r="D114" s="43" t="n">
        <v>6000</v>
      </c>
      <c r="E114" s="42">
        <f>(INT($E$25*1/$D114)-INT($E$25*(1-1)/$D114))*$C114</f>
        <v>28.0</v>
      </c>
      <c r="F114" s="42">
        <f>(INT($E$25*2/$D114)-INT($E$25*(2-1)/$D114))*$C114</f>
        <v>28.0</v>
      </c>
      <c r="G114" s="42">
        <f>(INT($E$25*3/$D114)-INT($E$25*(3-1)/$D114))*$C114</f>
        <v>28.0</v>
      </c>
      <c r="H114" s="42">
        <f>(INT($E$25*4/$D114)-INT($E$25*(4-1)/$D114))*$C114</f>
        <v>28.0</v>
      </c>
      <c r="I114" s="42">
        <f>(INT($E$25*5/$D114)-INT($E$25*(5-1)/$D114))*$C114</f>
        <v>28.0</v>
      </c>
      <c r="J114" s="42">
        <f>(INT($E$25*6/$D114)-INT($E$25*(6-1)/$D114))*$C114</f>
        <v>56.0</v>
      </c>
      <c r="K114" s="42">
        <f>(INT($E$25*7/$D114)-INT($E$25*(7-1)/$D114))*$C114</f>
        <v>28.0</v>
      </c>
      <c r="L114" s="42">
        <f>(INT($E$25*8/$D114)-INT($E$25*(8-1)/$D114))*$C114</f>
        <v>28.0</v>
      </c>
      <c r="M114" s="42">
        <f>(INT($E$25*9/$D114)-INT($E$25*(9-1)/$D114))*$C114</f>
        <v>28.0</v>
      </c>
      <c r="N114" s="42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44" t="n">
        <v>3.5</v>
      </c>
      <c r="D115" s="43" t="n">
        <v>6000</v>
      </c>
      <c r="E115" s="42">
        <f>(INT($E$25*1/$D115)-INT($E$25*(1-1)/$D115))*$C115</f>
        <v>3.5</v>
      </c>
      <c r="F115" s="42">
        <f>(INT($E$25*2/$D115)-INT($E$25*(2-1)/$D115))*$C115</f>
        <v>3.5</v>
      </c>
      <c r="G115" s="42">
        <f>(INT($E$25*3/$D115)-INT($E$25*(3-1)/$D115))*$C115</f>
        <v>3.5</v>
      </c>
      <c r="H115" s="42">
        <f>(INT($E$25*4/$D115)-INT($E$25*(4-1)/$D115))*$C115</f>
        <v>3.5</v>
      </c>
      <c r="I115" s="42">
        <f>(INT($E$25*5/$D115)-INT($E$25*(5-1)/$D115))*$C115</f>
        <v>3.5</v>
      </c>
      <c r="J115" s="42">
        <f>(INT($E$25*6/$D115)-INT($E$25*(6-1)/$D115))*$C115</f>
        <v>7.0</v>
      </c>
      <c r="K115" s="42">
        <f>(INT($E$25*7/$D115)-INT($E$25*(7-1)/$D115))*$C115</f>
        <v>3.5</v>
      </c>
      <c r="L115" s="42">
        <f>(INT($E$25*8/$D115)-INT($E$25*(8-1)/$D115))*$C115</f>
        <v>3.5</v>
      </c>
      <c r="M115" s="42">
        <f>(INT($E$25*9/$D115)-INT($E$25*(9-1)/$D115))*$C115</f>
        <v>3.5</v>
      </c>
      <c r="N115" s="42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44" t="n">
        <v>3.5</v>
      </c>
      <c r="D116" s="43" t="n">
        <v>4000</v>
      </c>
      <c r="E116" s="42">
        <f>(INT($E$25*1/$D116)-INT($E$25*(1-1)/$D116))*$C116</f>
        <v>3.5</v>
      </c>
      <c r="F116" s="42">
        <f>(INT($E$25*2/$D116)-INT($E$25*(2-1)/$D116))*$C116</f>
        <v>7.0</v>
      </c>
      <c r="G116" s="42">
        <f>(INT($E$25*3/$D116)-INT($E$25*(3-1)/$D116))*$C116</f>
        <v>7.0</v>
      </c>
      <c r="H116" s="42">
        <f>(INT($E$25*4/$D116)-INT($E$25*(4-1)/$D116))*$C116</f>
        <v>7.0</v>
      </c>
      <c r="I116" s="42">
        <f>(INT($E$25*5/$D116)-INT($E$25*(5-1)/$D116))*$C116</f>
        <v>3.5</v>
      </c>
      <c r="J116" s="42">
        <f>(INT($E$25*6/$D116)-INT($E$25*(6-1)/$D116))*$C116</f>
        <v>7.0</v>
      </c>
      <c r="K116" s="42">
        <f>(INT($E$25*7/$D116)-INT($E$25*(7-1)/$D116))*$C116</f>
        <v>7.0</v>
      </c>
      <c r="L116" s="42">
        <f>(INT($E$25*8/$D116)-INT($E$25*(8-1)/$D116))*$C116</f>
        <v>7.0</v>
      </c>
      <c r="M116" s="42">
        <f>(INT($E$25*9/$D116)-INT($E$25*(9-1)/$D116))*$C116</f>
        <v>3.5</v>
      </c>
      <c r="N116" s="42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44" t="n">
        <v>3.5</v>
      </c>
      <c r="D117" s="43" t="n">
        <v>4000</v>
      </c>
      <c r="E117" s="42">
        <f>(INT($E$25*1/$D117)-INT($E$25*(1-1)/$D117))*$C117</f>
        <v>3.5</v>
      </c>
      <c r="F117" s="42">
        <f>(INT($E$25*2/$D117)-INT($E$25*(2-1)/$D117))*$C117</f>
        <v>7.0</v>
      </c>
      <c r="G117" s="42">
        <f>(INT($E$25*3/$D117)-INT($E$25*(3-1)/$D117))*$C117</f>
        <v>7.0</v>
      </c>
      <c r="H117" s="42">
        <f>(INT($E$25*4/$D117)-INT($E$25*(4-1)/$D117))*$C117</f>
        <v>7.0</v>
      </c>
      <c r="I117" s="42">
        <f>(INT($E$25*5/$D117)-INT($E$25*(5-1)/$D117))*$C117</f>
        <v>3.5</v>
      </c>
      <c r="J117" s="42">
        <f>(INT($E$25*6/$D117)-INT($E$25*(6-1)/$D117))*$C117</f>
        <v>7.0</v>
      </c>
      <c r="K117" s="42">
        <f>(INT($E$25*7/$D117)-INT($E$25*(7-1)/$D117))*$C117</f>
        <v>7.0</v>
      </c>
      <c r="L117" s="42">
        <f>(INT($E$25*8/$D117)-INT($E$25*(8-1)/$D117))*$C117</f>
        <v>7.0</v>
      </c>
      <c r="M117" s="42">
        <f>(INT($E$25*9/$D117)-INT($E$25*(9-1)/$D117))*$C117</f>
        <v>3.5</v>
      </c>
      <c r="N117" s="42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44" t="n">
        <v>4</v>
      </c>
      <c r="D118" s="43" t="n">
        <v>5000</v>
      </c>
      <c r="E118" s="42">
        <f>(INT($E$25*1/$D118)-INT($E$25*(1-1)/$D118))*$C118</f>
        <v>4.0</v>
      </c>
      <c r="F118" s="42">
        <f>(INT($E$25*2/$D118)-INT($E$25*(2-1)/$D118))*$C118</f>
        <v>4.0</v>
      </c>
      <c r="G118" s="42">
        <f>(INT($E$25*3/$D118)-INT($E$25*(3-1)/$D118))*$C118</f>
        <v>8.0</v>
      </c>
      <c r="H118" s="42">
        <f>(INT($E$25*4/$D118)-INT($E$25*(4-1)/$D118))*$C118</f>
        <v>4.0</v>
      </c>
      <c r="I118" s="42">
        <f>(INT($E$25*5/$D118)-INT($E$25*(5-1)/$D118))*$C118</f>
        <v>8.0</v>
      </c>
      <c r="J118" s="42">
        <f>(INT($E$25*6/$D118)-INT($E$25*(6-1)/$D118))*$C118</f>
        <v>4.0</v>
      </c>
      <c r="K118" s="42">
        <f>(INT($E$25*7/$D118)-INT($E$25*(7-1)/$D118))*$C118</f>
        <v>4.0</v>
      </c>
      <c r="L118" s="42">
        <f>(INT($E$25*8/$D118)-INT($E$25*(8-1)/$D118))*$C118</f>
        <v>8.0</v>
      </c>
      <c r="M118" s="42">
        <f>(INT($E$25*9/$D118)-INT($E$25*(9-1)/$D118))*$C118</f>
        <v>4.0</v>
      </c>
      <c r="N118" s="42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44" t="n">
        <v>0.9</v>
      </c>
      <c r="D119" s="43" t="n">
        <v>4000</v>
      </c>
      <c r="E119" s="42">
        <f>(INT($E$25*1/$D119)-INT($E$25*(1-1)/$D119))*$C119</f>
        <v>0.9</v>
      </c>
      <c r="F119" s="42">
        <f>(INT($E$25*2/$D119)-INT($E$25*(2-1)/$D119))*$C119</f>
        <v>1.8</v>
      </c>
      <c r="G119" s="42">
        <f>(INT($E$25*3/$D119)-INT($E$25*(3-1)/$D119))*$C119</f>
        <v>1.8</v>
      </c>
      <c r="H119" s="42">
        <f>(INT($E$25*4/$D119)-INT($E$25*(4-1)/$D119))*$C119</f>
        <v>1.8</v>
      </c>
      <c r="I119" s="42">
        <f>(INT($E$25*5/$D119)-INT($E$25*(5-1)/$D119))*$C119</f>
        <v>0.9</v>
      </c>
      <c r="J119" s="42">
        <f>(INT($E$25*6/$D119)-INT($E$25*(6-1)/$D119))*$C119</f>
        <v>1.8</v>
      </c>
      <c r="K119" s="42">
        <f>(INT($E$25*7/$D119)-INT($E$25*(7-1)/$D119))*$C119</f>
        <v>1.8</v>
      </c>
      <c r="L119" s="42">
        <f>(INT($E$25*8/$D119)-INT($E$25*(8-1)/$D119))*$C119</f>
        <v>1.8</v>
      </c>
      <c r="M119" s="42">
        <f>(INT($E$25*9/$D119)-INT($E$25*(9-1)/$D119))*$C119</f>
        <v>0.9</v>
      </c>
      <c r="N119" s="42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44" t="n">
        <v>2</v>
      </c>
      <c r="D120" s="43" t="n">
        <v>12000</v>
      </c>
      <c r="E120" s="42">
        <f>(INT($E$25*1/$D120)-INT($E$25*(1-1)/$D120))*$C120</f>
        <v>0.0</v>
      </c>
      <c r="F120" s="42">
        <f>(INT($E$25*2/$D120)-INT($E$25*(2-1)/$D120))*$C120</f>
        <v>2.0</v>
      </c>
      <c r="G120" s="42">
        <f>(INT($E$25*3/$D120)-INT($E$25*(3-1)/$D120))*$C120</f>
        <v>0.0</v>
      </c>
      <c r="H120" s="42">
        <f>(INT($E$25*4/$D120)-INT($E$25*(4-1)/$D120))*$C120</f>
        <v>2.0</v>
      </c>
      <c r="I120" s="42">
        <f>(INT($E$25*5/$D120)-INT($E$25*(5-1)/$D120))*$C120</f>
        <v>0.0</v>
      </c>
      <c r="J120" s="42">
        <f>(INT($E$25*6/$D120)-INT($E$25*(6-1)/$D120))*$C120</f>
        <v>2.0</v>
      </c>
      <c r="K120" s="42">
        <f>(INT($E$25*7/$D120)-INT($E$25*(7-1)/$D120))*$C120</f>
        <v>2.0</v>
      </c>
      <c r="L120" s="42">
        <f>(INT($E$25*8/$D120)-INT($E$25*(8-1)/$D120))*$C120</f>
        <v>0.0</v>
      </c>
      <c r="M120" s="42">
        <f>(INT($E$25*9/$D120)-INT($E$25*(9-1)/$D120))*$C120</f>
        <v>2.0</v>
      </c>
      <c r="N120" s="42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44" t="n">
        <v>2</v>
      </c>
      <c r="D121" s="43" t="n">
        <v>7000</v>
      </c>
      <c r="E121" s="42">
        <f>(INT($E$25*1/$D121)-INT($E$25*(1-1)/$D121))*$C121</f>
        <v>2.0</v>
      </c>
      <c r="F121" s="42">
        <f>(INT($E$25*2/$D121)-INT($E$25*(2-1)/$D121))*$C121</f>
        <v>2.0</v>
      </c>
      <c r="G121" s="42">
        <f>(INT($E$25*3/$D121)-INT($E$25*(3-1)/$D121))*$C121</f>
        <v>2.0</v>
      </c>
      <c r="H121" s="42">
        <f>(INT($E$25*4/$D121)-INT($E$25*(4-1)/$D121))*$C121</f>
        <v>2.0</v>
      </c>
      <c r="I121" s="42">
        <f>(INT($E$25*5/$D121)-INT($E$25*(5-1)/$D121))*$C121</f>
        <v>2.0</v>
      </c>
      <c r="J121" s="42">
        <f>(INT($E$25*6/$D121)-INT($E$25*(6-1)/$D121))*$C121</f>
        <v>2.0</v>
      </c>
      <c r="K121" s="42">
        <f>(INT($E$25*7/$D121)-INT($E$25*(7-1)/$D121))*$C121</f>
        <v>2.0</v>
      </c>
      <c r="L121" s="42">
        <f>(INT($E$25*8/$D121)-INT($E$25*(8-1)/$D121))*$C121</f>
        <v>2.0</v>
      </c>
      <c r="M121" s="42">
        <f>(INT($E$25*9/$D121)-INT($E$25*(9-1)/$D121))*$C121</f>
        <v>2.0</v>
      </c>
      <c r="N121" s="42">
        <f>(INT($E$25*10/$D121)-INT($E$25*(10-1)/$D121))*$C121</f>
        <v>2.0</v>
      </c>
    </row>
    <row r="122">
      <c r="B122" s="22" t="inlineStr">
        <is>
          <t>Чистка радиаторов</t>
        </is>
      </c>
      <c r="C122" s="44" t="n">
        <v>3</v>
      </c>
      <c r="D122" s="43" t="n">
        <v>7000</v>
      </c>
      <c r="E122" s="42">
        <f>(INT($E$25*1/$D122)-INT($E$25*(1-1)/$D122))*$C122</f>
        <v>3.0</v>
      </c>
      <c r="F122" s="42">
        <f>(INT($E$25*2/$D122)-INT($E$25*(2-1)/$D122))*$C122</f>
        <v>3.0</v>
      </c>
      <c r="G122" s="42">
        <f>(INT($E$25*3/$D122)-INT($E$25*(3-1)/$D122))*$C122</f>
        <v>3.0</v>
      </c>
      <c r="H122" s="42">
        <f>(INT($E$25*4/$D122)-INT($E$25*(4-1)/$D122))*$C122</f>
        <v>3.0</v>
      </c>
      <c r="I122" s="42">
        <f>(INT($E$25*5/$D122)-INT($E$25*(5-1)/$D122))*$C122</f>
        <v>3.0</v>
      </c>
      <c r="J122" s="42">
        <f>(INT($E$25*6/$D122)-INT($E$25*(6-1)/$D122))*$C122</f>
        <v>3.0</v>
      </c>
      <c r="K122" s="42">
        <f>(INT($E$25*7/$D122)-INT($E$25*(7-1)/$D122))*$C122</f>
        <v>3.0</v>
      </c>
      <c r="L122" s="42">
        <f>(INT($E$25*8/$D122)-INT($E$25*(8-1)/$D122))*$C122</f>
        <v>3.0</v>
      </c>
      <c r="M122" s="42">
        <f>(INT($E$25*9/$D122)-INT($E$25*(9-1)/$D122))*$C122</f>
        <v>3.0</v>
      </c>
      <c r="N122" s="42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44" t="n">
        <v>50</v>
      </c>
      <c r="D123" s="43" t="n">
        <v>36000</v>
      </c>
      <c r="E123" s="42">
        <f>(INT($E$25*1/$D123)-INT($E$25*(1-1)/$D123))*$C123</f>
        <v>0.0</v>
      </c>
      <c r="F123" s="42">
        <f>(INT($E$25*2/$D123)-INT($E$25*(2-1)/$D123))*$C123</f>
        <v>0.0</v>
      </c>
      <c r="G123" s="42">
        <f>(INT($E$25*3/$D123)-INT($E$25*(3-1)/$D123))*$C123</f>
        <v>0.0</v>
      </c>
      <c r="H123" s="42">
        <f>(INT($E$25*4/$D123)-INT($E$25*(4-1)/$D123))*$C123</f>
        <v>0.0</v>
      </c>
      <c r="I123" s="42">
        <f>(INT($E$25*5/$D123)-INT($E$25*(5-1)/$D123))*$C123</f>
        <v>0.0</v>
      </c>
      <c r="J123" s="42">
        <f>(INT($E$25*6/$D123)-INT($E$25*(6-1)/$D123))*$C123</f>
        <v>50.0</v>
      </c>
      <c r="K123" s="42">
        <f>(INT($E$25*7/$D123)-INT($E$25*(7-1)/$D123))*$C123</f>
        <v>0.0</v>
      </c>
      <c r="L123" s="42">
        <f>(INT($E$25*8/$D123)-INT($E$25*(8-1)/$D123))*$C123</f>
        <v>0.0</v>
      </c>
      <c r="M123" s="42">
        <f>(INT($E$25*9/$D123)-INT($E$25*(9-1)/$D123))*$C123</f>
        <v>0.0</v>
      </c>
      <c r="N123" s="42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44" t="n">
        <v>185</v>
      </c>
      <c r="D124" s="43" t="n">
        <v>65000</v>
      </c>
      <c r="E124" s="42">
        <f>(INT($E$25*1/$D124)-INT($E$25*(1-1)/$D124))*$C124</f>
        <v>0.0</v>
      </c>
      <c r="F124" s="42">
        <f>(INT($E$25*2/$D124)-INT($E$25*(2-1)/$D124))*$C124</f>
        <v>0.0</v>
      </c>
      <c r="G124" s="42">
        <f>(INT($E$25*3/$D124)-INT($E$25*(3-1)/$D124))*$C124</f>
        <v>0.0</v>
      </c>
      <c r="H124" s="42">
        <f>(INT($E$25*4/$D124)-INT($E$25*(4-1)/$D124))*$C124</f>
        <v>0.0</v>
      </c>
      <c r="I124" s="42">
        <f>(INT($E$25*5/$D124)-INT($E$25*(5-1)/$D124))*$C124</f>
        <v>0.0</v>
      </c>
      <c r="J124" s="42">
        <f>(INT($E$25*6/$D124)-INT($E$25*(6-1)/$D124))*$C124</f>
        <v>0.0</v>
      </c>
      <c r="K124" s="42">
        <f>(INT($E$25*7/$D124)-INT($E$25*(7-1)/$D124))*$C124</f>
        <v>0.0</v>
      </c>
      <c r="L124" s="42">
        <f>(INT($E$25*8/$D124)-INT($E$25*(8-1)/$D124))*$C124</f>
        <v>0.0</v>
      </c>
      <c r="M124" s="42">
        <f>(INT($E$25*9/$D124)-INT($E$25*(9-1)/$D124))*$C124</f>
        <v>0.0</v>
      </c>
      <c r="N124" s="42">
        <f>(INT($E$25*10/$D124)-INT($E$25*(10-1)/$D124))*$C124</f>
        <v>185.0</v>
      </c>
    </row>
    <row r="125">
      <c r="B125" s="45" t="inlineStr">
        <is>
          <t>ИТОГО</t>
        </is>
      </c>
      <c r="E125" s="42">
        <f>SUM(E109:E124)</f>
        <v>48.4</v>
      </c>
      <c r="F125" s="42">
        <f>SUM(F109:F124)</f>
        <v>174.3</v>
      </c>
      <c r="G125" s="42">
        <f>SUM(G109:G124)</f>
        <v>228.3</v>
      </c>
      <c r="H125" s="42">
        <f>SUM(H109:H124)</f>
        <v>174.3</v>
      </c>
      <c r="I125" s="42">
        <f>SUM(I109:I124)</f>
        <v>220.4</v>
      </c>
      <c r="J125" s="42">
        <f>SUM(J109:J124)</f>
        <v>255.8</v>
      </c>
      <c r="K125" s="42">
        <f>SUM(K109:K124)</f>
        <v>226.3</v>
      </c>
      <c r="L125" s="42">
        <f>SUM(L109:L124)</f>
        <v>176.3</v>
      </c>
      <c r="M125" s="42">
        <f>SUM(M109:M124)</f>
        <v>214.4</v>
      </c>
      <c r="N125" s="42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44" t="n">
        <v>37124</v>
      </c>
      <c r="D129" s="43" t="n">
        <v>12000</v>
      </c>
      <c r="E129" s="42">
        <f>(INT($E$25*1/$D129)-INT($E$25*(1-1)/$D129))*$C129/1000</f>
        <v>0.0</v>
      </c>
      <c r="F129" s="42">
        <f>(INT($E$25*2/$D129)-INT($E$25*(2-1)/$D129))*$C129/1000</f>
        <v>37.124</v>
      </c>
      <c r="G129" s="42">
        <f>(INT($E$25*3/$D129)-INT($E$25*(3-1)/$D129))*$C129/1000</f>
        <v>0.0</v>
      </c>
      <c r="H129" s="42">
        <f>(INT($E$25*4/$D129)-INT($E$25*(4-1)/$D129))*$C129/1000</f>
        <v>37.124</v>
      </c>
      <c r="I129" s="42">
        <f>(INT($E$25*5/$D129)-INT($E$25*(5-1)/$D129))*$C129/1000</f>
        <v>0.0</v>
      </c>
      <c r="J129" s="42">
        <f>(INT($E$25*6/$D129)-INT($E$25*(6-1)/$D129))*$C129/1000</f>
        <v>37.124</v>
      </c>
      <c r="K129" s="42">
        <f>(INT($E$25*7/$D129)-INT($E$25*(7-1)/$D129))*$C129/1000</f>
        <v>37.124</v>
      </c>
      <c r="L129" s="42">
        <f>(INT($E$25*8/$D129)-INT($E$25*(8-1)/$D129))*$C129/1000</f>
        <v>0.0</v>
      </c>
      <c r="M129" s="42">
        <f>(INT($E$25*9/$D129)-INT($E$25*(9-1)/$D129))*$C129/1000</f>
        <v>37.124</v>
      </c>
      <c r="N129" s="42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44" t="n">
        <v>1226.17</v>
      </c>
      <c r="D130" s="43" t="n">
        <v>11000</v>
      </c>
      <c r="E130" s="42">
        <f>(INT($E$25*1/$D130)-INT($E$25*(1-1)/$D130))*$C130/1000</f>
        <v>0.0</v>
      </c>
      <c r="F130" s="42">
        <f>(INT($E$25*2/$D130)-INT($E$25*(2-1)/$D130))*$C130/1000</f>
        <v>1.22617</v>
      </c>
      <c r="G130" s="42">
        <f>(INT($E$25*3/$D130)-INT($E$25*(3-1)/$D130))*$C130/1000</f>
        <v>0.0</v>
      </c>
      <c r="H130" s="42">
        <f>(INT($E$25*4/$D130)-INT($E$25*(4-1)/$D130))*$C130/1000</f>
        <v>1.22617</v>
      </c>
      <c r="I130" s="42">
        <f>(INT($E$25*5/$D130)-INT($E$25*(5-1)/$D130))*$C130/1000</f>
        <v>1.22617</v>
      </c>
      <c r="J130" s="42">
        <f>(INT($E$25*6/$D130)-INT($E$25*(6-1)/$D130))*$C130/1000</f>
        <v>0.0</v>
      </c>
      <c r="K130" s="42">
        <f>(INT($E$25*7/$D130)-INT($E$25*(7-1)/$D130))*$C130/1000</f>
        <v>1.22617</v>
      </c>
      <c r="L130" s="42">
        <f>(INT($E$25*8/$D130)-INT($E$25*(8-1)/$D130))*$C130/1000</f>
        <v>1.22617</v>
      </c>
      <c r="M130" s="42">
        <f>(INT($E$25*9/$D130)-INT($E$25*(9-1)/$D130))*$C130/1000</f>
        <v>0.0</v>
      </c>
      <c r="N130" s="42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44" t="n">
        <v>18096.84</v>
      </c>
      <c r="D131" s="43" t="n">
        <v>12000</v>
      </c>
      <c r="E131" s="42">
        <f>(INT($E$25*1/$D131)-INT($E$25*(1-1)/$D131))*$C131/1000</f>
        <v>0.0</v>
      </c>
      <c r="F131" s="42">
        <f>(INT($E$25*2/$D131)-INT($E$25*(2-1)/$D131))*$C131/1000</f>
        <v>18.09684</v>
      </c>
      <c r="G131" s="42">
        <f>(INT($E$25*3/$D131)-INT($E$25*(3-1)/$D131))*$C131/1000</f>
        <v>0.0</v>
      </c>
      <c r="H131" s="42">
        <f>(INT($E$25*4/$D131)-INT($E$25*(4-1)/$D131))*$C131/1000</f>
        <v>18.09684</v>
      </c>
      <c r="I131" s="42">
        <f>(INT($E$25*5/$D131)-INT($E$25*(5-1)/$D131))*$C131/1000</f>
        <v>0.0</v>
      </c>
      <c r="J131" s="42">
        <f>(INT($E$25*6/$D131)-INT($E$25*(6-1)/$D131))*$C131/1000</f>
        <v>18.09684</v>
      </c>
      <c r="K131" s="42">
        <f>(INT($E$25*7/$D131)-INT($E$25*(7-1)/$D131))*$C131/1000</f>
        <v>18.09684</v>
      </c>
      <c r="L131" s="42">
        <f>(INT($E$25*8/$D131)-INT($E$25*(8-1)/$D131))*$C131/1000</f>
        <v>0.0</v>
      </c>
      <c r="M131" s="42">
        <f>(INT($E$25*9/$D131)-INT($E$25*(9-1)/$D131))*$C131/1000</f>
        <v>18.09684</v>
      </c>
      <c r="N131" s="42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44" t="n">
        <v>6929.74</v>
      </c>
      <c r="D132" s="43" t="n">
        <v>8000</v>
      </c>
      <c r="E132" s="42">
        <f>(INT($E$25*1/$D132)-INT($E$25*(1-1)/$D132))*$C132/1000</f>
        <v>0.0</v>
      </c>
      <c r="F132" s="42">
        <f>(INT($E$25*2/$D132)-INT($E$25*(2-1)/$D132))*$C132/1000</f>
        <v>6.92974</v>
      </c>
      <c r="G132" s="42">
        <f>(INT($E$25*3/$D132)-INT($E$25*(3-1)/$D132))*$C132/1000</f>
        <v>6.92974</v>
      </c>
      <c r="H132" s="42">
        <f>(INT($E$25*4/$D132)-INT($E$25*(4-1)/$D132))*$C132/1000</f>
        <v>6.92974</v>
      </c>
      <c r="I132" s="42">
        <f>(INT($E$25*5/$D132)-INT($E$25*(5-1)/$D132))*$C132/1000</f>
        <v>6.92974</v>
      </c>
      <c r="J132" s="42">
        <f>(INT($E$25*6/$D132)-INT($E$25*(6-1)/$D132))*$C132/1000</f>
        <v>6.92974</v>
      </c>
      <c r="K132" s="42">
        <f>(INT($E$25*7/$D132)-INT($E$25*(7-1)/$D132))*$C132/1000</f>
        <v>6.92974</v>
      </c>
      <c r="L132" s="42">
        <f>(INT($E$25*8/$D132)-INT($E$25*(8-1)/$D132))*$C132/1000</f>
        <v>6.92974</v>
      </c>
      <c r="M132" s="42">
        <f>(INT($E$25*9/$D132)-INT($E$25*(9-1)/$D132))*$C132/1000</f>
        <v>0.0</v>
      </c>
      <c r="N132" s="42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44" t="n">
        <v>19766.43</v>
      </c>
      <c r="D133" s="43" t="n">
        <v>25000</v>
      </c>
      <c r="E133" s="42">
        <f>(INT($E$25*1/$D133)-INT($E$25*(1-1)/$D133))*$C133/1000</f>
        <v>0.0</v>
      </c>
      <c r="F133" s="42">
        <f>(INT($E$25*2/$D133)-INT($E$25*(2-1)/$D133))*$C133/1000</f>
        <v>0.0</v>
      </c>
      <c r="G133" s="42">
        <f>(INT($E$25*3/$D133)-INT($E$25*(3-1)/$D133))*$C133/1000</f>
        <v>0.0</v>
      </c>
      <c r="H133" s="42">
        <f>(INT($E$25*4/$D133)-INT($E$25*(4-1)/$D133))*$C133/1000</f>
        <v>19.76643</v>
      </c>
      <c r="I133" s="42">
        <f>(INT($E$25*5/$D133)-INT($E$25*(5-1)/$D133))*$C133/1000</f>
        <v>0.0</v>
      </c>
      <c r="J133" s="42">
        <f>(INT($E$25*6/$D133)-INT($E$25*(6-1)/$D133))*$C133/1000</f>
        <v>0.0</v>
      </c>
      <c r="K133" s="42">
        <f>(INT($E$25*7/$D133)-INT($E$25*(7-1)/$D133))*$C133/1000</f>
        <v>0.0</v>
      </c>
      <c r="L133" s="42">
        <f>(INT($E$25*8/$D133)-INT($E$25*(8-1)/$D133))*$C133/1000</f>
        <v>19.76643</v>
      </c>
      <c r="M133" s="42">
        <f>(INT($E$25*9/$D133)-INT($E$25*(9-1)/$D133))*$C133/1000</f>
        <v>0.0</v>
      </c>
      <c r="N133" s="42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44" t="n">
        <v>556.4400000000001</v>
      </c>
      <c r="D134" s="43" t="n">
        <v>22000</v>
      </c>
      <c r="E134" s="42">
        <f>(INT($E$25*1/$D134)-INT($E$25*(1-1)/$D134))*$C134/1000</f>
        <v>0.0</v>
      </c>
      <c r="F134" s="42">
        <f>(INT($E$25*2/$D134)-INT($E$25*(2-1)/$D134))*$C134/1000</f>
        <v>0.0</v>
      </c>
      <c r="G134" s="42">
        <f>(INT($E$25*3/$D134)-INT($E$25*(3-1)/$D134))*$C134/1000</f>
        <v>0.0</v>
      </c>
      <c r="H134" s="42">
        <f>(INT($E$25*4/$D134)-INT($E$25*(4-1)/$D134))*$C134/1000</f>
        <v>0.55644</v>
      </c>
      <c r="I134" s="42">
        <f>(INT($E$25*5/$D134)-INT($E$25*(5-1)/$D134))*$C134/1000</f>
        <v>0.0</v>
      </c>
      <c r="J134" s="42">
        <f>(INT($E$25*6/$D134)-INT($E$25*(6-1)/$D134))*$C134/1000</f>
        <v>0.0</v>
      </c>
      <c r="K134" s="42">
        <f>(INT($E$25*7/$D134)-INT($E$25*(7-1)/$D134))*$C134/1000</f>
        <v>0.55644</v>
      </c>
      <c r="L134" s="42">
        <f>(INT($E$25*8/$D134)-INT($E$25*(8-1)/$D134))*$C134/1000</f>
        <v>0.0</v>
      </c>
      <c r="M134" s="42">
        <f>(INT($E$25*9/$D134)-INT($E$25*(9-1)/$D134))*$C134/1000</f>
        <v>0.0</v>
      </c>
      <c r="N134" s="42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44" t="n">
        <v>12656.36</v>
      </c>
      <c r="D135" s="43" t="n">
        <v>15000</v>
      </c>
      <c r="E135" s="42">
        <f>(INT($E$25*1/$D135)-INT($E$25*(1-1)/$D135))*$C135/1000</f>
        <v>0.0</v>
      </c>
      <c r="F135" s="42">
        <f>(INT($E$25*2/$D135)-INT($E$25*(2-1)/$D135))*$C135/1000</f>
        <v>0.0</v>
      </c>
      <c r="G135" s="42">
        <f>(INT($E$25*3/$D135)-INT($E$25*(3-1)/$D135))*$C135/1000</f>
        <v>12.656360000000001</v>
      </c>
      <c r="H135" s="42">
        <f>(INT($E$25*4/$D135)-INT($E$25*(4-1)/$D135))*$C135/1000</f>
        <v>0.0</v>
      </c>
      <c r="I135" s="42">
        <f>(INT($E$25*5/$D135)-INT($E$25*(5-1)/$D135))*$C135/1000</f>
        <v>12.656360000000001</v>
      </c>
      <c r="J135" s="42">
        <f>(INT($E$25*6/$D135)-INT($E$25*(6-1)/$D135))*$C135/1000</f>
        <v>0.0</v>
      </c>
      <c r="K135" s="42">
        <f>(INT($E$25*7/$D135)-INT($E$25*(7-1)/$D135))*$C135/1000</f>
        <v>12.656360000000001</v>
      </c>
      <c r="L135" s="42">
        <f>(INT($E$25*8/$D135)-INT($E$25*(8-1)/$D135))*$C135/1000</f>
        <v>0.0</v>
      </c>
      <c r="M135" s="42">
        <f>(INT($E$25*9/$D135)-INT($E$25*(9-1)/$D135))*$C135/1000</f>
        <v>12.656360000000001</v>
      </c>
      <c r="N135" s="42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44" t="n">
        <v>14284.3</v>
      </c>
      <c r="D136" s="43" t="n">
        <v>12500</v>
      </c>
      <c r="E136" s="42">
        <f>(INT($E$25*1/$D136)-INT($E$25*(1-1)/$D136))*$C136/1000</f>
        <v>0.0</v>
      </c>
      <c r="F136" s="42">
        <f>(INT($E$25*2/$D136)-INT($E$25*(2-1)/$D136))*$C136/1000</f>
        <v>14.2843</v>
      </c>
      <c r="G136" s="42">
        <f>(INT($E$25*3/$D136)-INT($E$25*(3-1)/$D136))*$C136/1000</f>
        <v>0.0</v>
      </c>
      <c r="H136" s="42">
        <f>(INT($E$25*4/$D136)-INT($E$25*(4-1)/$D136))*$C136/1000</f>
        <v>14.2843</v>
      </c>
      <c r="I136" s="42">
        <f>(INT($E$25*5/$D136)-INT($E$25*(5-1)/$D136))*$C136/1000</f>
        <v>0.0</v>
      </c>
      <c r="J136" s="42">
        <f>(INT($E$25*6/$D136)-INT($E$25*(6-1)/$D136))*$C136/1000</f>
        <v>14.2843</v>
      </c>
      <c r="K136" s="42">
        <f>(INT($E$25*7/$D136)-INT($E$25*(7-1)/$D136))*$C136/1000</f>
        <v>0.0</v>
      </c>
      <c r="L136" s="42">
        <f>(INT($E$25*8/$D136)-INT($E$25*(8-1)/$D136))*$C136/1000</f>
        <v>14.2843</v>
      </c>
      <c r="M136" s="42">
        <f>(INT($E$25*9/$D136)-INT($E$25*(9-1)/$D136))*$C136/1000</f>
        <v>14.2843</v>
      </c>
      <c r="N136" s="42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44" t="n">
        <v>1440.96</v>
      </c>
      <c r="D137" s="43" t="n">
        <v>18000</v>
      </c>
      <c r="E137" s="42">
        <f>(INT($E$25*1/$D137)-INT($E$25*(1-1)/$D137))*$C137/1000</f>
        <v>0.0</v>
      </c>
      <c r="F137" s="42">
        <f>(INT($E$25*2/$D137)-INT($E$25*(2-1)/$D137))*$C137/1000</f>
        <v>0.0</v>
      </c>
      <c r="G137" s="42">
        <f>(INT($E$25*3/$D137)-INT($E$25*(3-1)/$D137))*$C137/1000</f>
        <v>1.44096</v>
      </c>
      <c r="H137" s="42">
        <f>(INT($E$25*4/$D137)-INT($E$25*(4-1)/$D137))*$C137/1000</f>
        <v>0.0</v>
      </c>
      <c r="I137" s="42">
        <f>(INT($E$25*5/$D137)-INT($E$25*(5-1)/$D137))*$C137/1000</f>
        <v>0.0</v>
      </c>
      <c r="J137" s="42">
        <f>(INT($E$25*6/$D137)-INT($E$25*(6-1)/$D137))*$C137/1000</f>
        <v>1.44096</v>
      </c>
      <c r="K137" s="42">
        <f>(INT($E$25*7/$D137)-INT($E$25*(7-1)/$D137))*$C137/1000</f>
        <v>0.0</v>
      </c>
      <c r="L137" s="42">
        <f>(INT($E$25*8/$D137)-INT($E$25*(8-1)/$D137))*$C137/1000</f>
        <v>1.44096</v>
      </c>
      <c r="M137" s="42">
        <f>(INT($E$25*9/$D137)-INT($E$25*(9-1)/$D137))*$C137/1000</f>
        <v>0.0</v>
      </c>
      <c r="N137" s="42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44" t="n">
        <v>11889.72</v>
      </c>
      <c r="D138" s="43" t="n">
        <v>25000</v>
      </c>
      <c r="E138" s="42">
        <f>(INT($E$25*1/$D138)-INT($E$25*(1-1)/$D138))*$C138/1000</f>
        <v>0.0</v>
      </c>
      <c r="F138" s="42">
        <f>(INT($E$25*2/$D138)-INT($E$25*(2-1)/$D138))*$C138/1000</f>
        <v>0.0</v>
      </c>
      <c r="G138" s="42">
        <f>(INT($E$25*3/$D138)-INT($E$25*(3-1)/$D138))*$C138/1000</f>
        <v>0.0</v>
      </c>
      <c r="H138" s="42">
        <f>(INT($E$25*4/$D138)-INT($E$25*(4-1)/$D138))*$C138/1000</f>
        <v>11.889719999999999</v>
      </c>
      <c r="I138" s="42">
        <f>(INT($E$25*5/$D138)-INT($E$25*(5-1)/$D138))*$C138/1000</f>
        <v>0.0</v>
      </c>
      <c r="J138" s="42">
        <f>(INT($E$25*6/$D138)-INT($E$25*(6-1)/$D138))*$C138/1000</f>
        <v>0.0</v>
      </c>
      <c r="K138" s="42">
        <f>(INT($E$25*7/$D138)-INT($E$25*(7-1)/$D138))*$C138/1000</f>
        <v>0.0</v>
      </c>
      <c r="L138" s="42">
        <f>(INT($E$25*8/$D138)-INT($E$25*(8-1)/$D138))*$C138/1000</f>
        <v>11.889719999999999</v>
      </c>
      <c r="M138" s="42">
        <f>(INT($E$25*9/$D138)-INT($E$25*(9-1)/$D138))*$C138/1000</f>
        <v>0.0</v>
      </c>
      <c r="N138" s="42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44" t="n">
        <v>8918.02</v>
      </c>
      <c r="D139" s="43" t="n">
        <v>15100</v>
      </c>
      <c r="E139" s="42">
        <f>(INT($E$25*1/$D139)-INT($E$25*(1-1)/$D139))*$C139/1000</f>
        <v>0.0</v>
      </c>
      <c r="F139" s="42">
        <f>(INT($E$25*2/$D139)-INT($E$25*(2-1)/$D139))*$C139/1000</f>
        <v>0.0</v>
      </c>
      <c r="G139" s="42">
        <f>(INT($E$25*3/$D139)-INT($E$25*(3-1)/$D139))*$C139/1000</f>
        <v>8.91802</v>
      </c>
      <c r="H139" s="42">
        <f>(INT($E$25*4/$D139)-INT($E$25*(4-1)/$D139))*$C139/1000</f>
        <v>0.0</v>
      </c>
      <c r="I139" s="42">
        <f>(INT($E$25*5/$D139)-INT($E$25*(5-1)/$D139))*$C139/1000</f>
        <v>8.91802</v>
      </c>
      <c r="J139" s="42">
        <f>(INT($E$25*6/$D139)-INT($E$25*(6-1)/$D139))*$C139/1000</f>
        <v>0.0</v>
      </c>
      <c r="K139" s="42">
        <f>(INT($E$25*7/$D139)-INT($E$25*(7-1)/$D139))*$C139/1000</f>
        <v>8.91802</v>
      </c>
      <c r="L139" s="42">
        <f>(INT($E$25*8/$D139)-INT($E$25*(8-1)/$D139))*$C139/1000</f>
        <v>0.0</v>
      </c>
      <c r="M139" s="42">
        <f>(INT($E$25*9/$D139)-INT($E$25*(9-1)/$D139))*$C139/1000</f>
        <v>8.91802</v>
      </c>
      <c r="N139" s="42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44" t="n">
        <v>15102.84</v>
      </c>
      <c r="D140" s="43" t="n">
        <v>15100</v>
      </c>
      <c r="E140" s="42">
        <f>(INT($E$25*1/$D140)-INT($E$25*(1-1)/$D140))*$C140/1000</f>
        <v>0.0</v>
      </c>
      <c r="F140" s="42">
        <f>(INT($E$25*2/$D140)-INT($E$25*(2-1)/$D140))*$C140/1000</f>
        <v>0.0</v>
      </c>
      <c r="G140" s="42">
        <f>(INT($E$25*3/$D140)-INT($E$25*(3-1)/$D140))*$C140/1000</f>
        <v>15.10284</v>
      </c>
      <c r="H140" s="42">
        <f>(INT($E$25*4/$D140)-INT($E$25*(4-1)/$D140))*$C140/1000</f>
        <v>0.0</v>
      </c>
      <c r="I140" s="42">
        <f>(INT($E$25*5/$D140)-INT($E$25*(5-1)/$D140))*$C140/1000</f>
        <v>15.10284</v>
      </c>
      <c r="J140" s="42">
        <f>(INT($E$25*6/$D140)-INT($E$25*(6-1)/$D140))*$C140/1000</f>
        <v>0.0</v>
      </c>
      <c r="K140" s="42">
        <f>(INT($E$25*7/$D140)-INT($E$25*(7-1)/$D140))*$C140/1000</f>
        <v>15.10284</v>
      </c>
      <c r="L140" s="42">
        <f>(INT($E$25*8/$D140)-INT($E$25*(8-1)/$D140))*$C140/1000</f>
        <v>0.0</v>
      </c>
      <c r="M140" s="42">
        <f>(INT($E$25*9/$D140)-INT($E$25*(9-1)/$D140))*$C140/1000</f>
        <v>15.10284</v>
      </c>
      <c r="N140" s="42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44" t="n">
        <v>10422.27</v>
      </c>
      <c r="D141" s="43" t="n">
        <v>10100</v>
      </c>
      <c r="E141" s="42">
        <f>(INT($E$25*1/$D141)-INT($E$25*(1-1)/$D141))*$C141/1000</f>
        <v>0.0</v>
      </c>
      <c r="F141" s="42">
        <f>(INT($E$25*2/$D141)-INT($E$25*(2-1)/$D141))*$C141/1000</f>
        <v>10.422270000000001</v>
      </c>
      <c r="G141" s="42">
        <f>(INT($E$25*3/$D141)-INT($E$25*(3-1)/$D141))*$C141/1000</f>
        <v>10.422270000000001</v>
      </c>
      <c r="H141" s="42">
        <f>(INT($E$25*4/$D141)-INT($E$25*(4-1)/$D141))*$C141/1000</f>
        <v>0.0</v>
      </c>
      <c r="I141" s="42">
        <f>(INT($E$25*5/$D141)-INT($E$25*(5-1)/$D141))*$C141/1000</f>
        <v>10.422270000000001</v>
      </c>
      <c r="J141" s="42">
        <f>(INT($E$25*6/$D141)-INT($E$25*(6-1)/$D141))*$C141/1000</f>
        <v>10.422270000000001</v>
      </c>
      <c r="K141" s="42">
        <f>(INT($E$25*7/$D141)-INT($E$25*(7-1)/$D141))*$C141/1000</f>
        <v>0.0</v>
      </c>
      <c r="L141" s="42">
        <f>(INT($E$25*8/$D141)-INT($E$25*(8-1)/$D141))*$C141/1000</f>
        <v>10.422270000000001</v>
      </c>
      <c r="M141" s="42">
        <f>(INT($E$25*9/$D141)-INT($E$25*(9-1)/$D141))*$C141/1000</f>
        <v>10.422270000000001</v>
      </c>
      <c r="N141" s="42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44" t="n">
        <v>32219.39</v>
      </c>
      <c r="D142" s="43" t="n">
        <v>15000</v>
      </c>
      <c r="E142" s="42">
        <f>(INT($E$25*1/$D142)-INT($E$25*(1-1)/$D142))*$C142/1000</f>
        <v>0.0</v>
      </c>
      <c r="F142" s="42">
        <f>(INT($E$25*2/$D142)-INT($E$25*(2-1)/$D142))*$C142/1000</f>
        <v>0.0</v>
      </c>
      <c r="G142" s="42">
        <f>(INT($E$25*3/$D142)-INT($E$25*(3-1)/$D142))*$C142/1000</f>
        <v>32.21939</v>
      </c>
      <c r="H142" s="42">
        <f>(INT($E$25*4/$D142)-INT($E$25*(4-1)/$D142))*$C142/1000</f>
        <v>0.0</v>
      </c>
      <c r="I142" s="42">
        <f>(INT($E$25*5/$D142)-INT($E$25*(5-1)/$D142))*$C142/1000</f>
        <v>32.21939</v>
      </c>
      <c r="J142" s="42">
        <f>(INT($E$25*6/$D142)-INT($E$25*(6-1)/$D142))*$C142/1000</f>
        <v>0.0</v>
      </c>
      <c r="K142" s="42">
        <f>(INT($E$25*7/$D142)-INT($E$25*(7-1)/$D142))*$C142/1000</f>
        <v>32.21939</v>
      </c>
      <c r="L142" s="42">
        <f>(INT($E$25*8/$D142)-INT($E$25*(8-1)/$D142))*$C142/1000</f>
        <v>0.0</v>
      </c>
      <c r="M142" s="42">
        <f>(INT($E$25*9/$D142)-INT($E$25*(9-1)/$D142))*$C142/1000</f>
        <v>32.21939</v>
      </c>
      <c r="N142" s="42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44" t="n">
        <v>1720.05</v>
      </c>
      <c r="D143" s="43" t="n">
        <v>15000</v>
      </c>
      <c r="E143" s="42">
        <f>(INT($E$25*1/$D143)-INT($E$25*(1-1)/$D143))*$C143/1000</f>
        <v>0.0</v>
      </c>
      <c r="F143" s="42">
        <f>(INT($E$25*2/$D143)-INT($E$25*(2-1)/$D143))*$C143/1000</f>
        <v>0.0</v>
      </c>
      <c r="G143" s="42">
        <f>(INT($E$25*3/$D143)-INT($E$25*(3-1)/$D143))*$C143/1000</f>
        <v>1.7200499999999999</v>
      </c>
      <c r="H143" s="42">
        <f>(INT($E$25*4/$D143)-INT($E$25*(4-1)/$D143))*$C143/1000</f>
        <v>0.0</v>
      </c>
      <c r="I143" s="42">
        <f>(INT($E$25*5/$D143)-INT($E$25*(5-1)/$D143))*$C143/1000</f>
        <v>1.7200499999999999</v>
      </c>
      <c r="J143" s="42">
        <f>(INT($E$25*6/$D143)-INT($E$25*(6-1)/$D143))*$C143/1000</f>
        <v>0.0</v>
      </c>
      <c r="K143" s="42">
        <f>(INT($E$25*7/$D143)-INT($E$25*(7-1)/$D143))*$C143/1000</f>
        <v>1.7200499999999999</v>
      </c>
      <c r="L143" s="42">
        <f>(INT($E$25*8/$D143)-INT($E$25*(8-1)/$D143))*$C143/1000</f>
        <v>0.0</v>
      </c>
      <c r="M143" s="42">
        <f>(INT($E$25*9/$D143)-INT($E$25*(9-1)/$D143))*$C143/1000</f>
        <v>1.7200499999999999</v>
      </c>
      <c r="N143" s="42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44" t="n">
        <v>2773.01</v>
      </c>
      <c r="D144" s="43" t="n">
        <v>8000</v>
      </c>
      <c r="E144" s="42">
        <f>(INT($E$25*1/$D144)-INT($E$25*(1-1)/$D144))*$C144/1000</f>
        <v>0.0</v>
      </c>
      <c r="F144" s="42">
        <f>(INT($E$25*2/$D144)-INT($E$25*(2-1)/$D144))*$C144/1000</f>
        <v>2.77301</v>
      </c>
      <c r="G144" s="42">
        <f>(INT($E$25*3/$D144)-INT($E$25*(3-1)/$D144))*$C144/1000</f>
        <v>2.77301</v>
      </c>
      <c r="H144" s="42">
        <f>(INT($E$25*4/$D144)-INT($E$25*(4-1)/$D144))*$C144/1000</f>
        <v>2.77301</v>
      </c>
      <c r="I144" s="42">
        <f>(INT($E$25*5/$D144)-INT($E$25*(5-1)/$D144))*$C144/1000</f>
        <v>2.77301</v>
      </c>
      <c r="J144" s="42">
        <f>(INT($E$25*6/$D144)-INT($E$25*(6-1)/$D144))*$C144/1000</f>
        <v>2.77301</v>
      </c>
      <c r="K144" s="42">
        <f>(INT($E$25*7/$D144)-INT($E$25*(7-1)/$D144))*$C144/1000</f>
        <v>2.77301</v>
      </c>
      <c r="L144" s="42">
        <f>(INT($E$25*8/$D144)-INT($E$25*(8-1)/$D144))*$C144/1000</f>
        <v>2.77301</v>
      </c>
      <c r="M144" s="42">
        <f>(INT($E$25*9/$D144)-INT($E$25*(9-1)/$D144))*$C144/1000</f>
        <v>0.0</v>
      </c>
      <c r="N144" s="42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44" t="n">
        <v>41350.19</v>
      </c>
      <c r="D145" s="43" t="n">
        <v>14900</v>
      </c>
      <c r="E145" s="42">
        <f>(INT($E$25*1/$D145)-INT($E$25*(1-1)/$D145))*$C145/1000</f>
        <v>0.0</v>
      </c>
      <c r="F145" s="42">
        <f>(INT($E$25*2/$D145)-INT($E$25*(2-1)/$D145))*$C145/1000</f>
        <v>0.0</v>
      </c>
      <c r="G145" s="42">
        <f>(INT($E$25*3/$D145)-INT($E$25*(3-1)/$D145))*$C145/1000</f>
        <v>41.350190000000005</v>
      </c>
      <c r="H145" s="42">
        <f>(INT($E$25*4/$D145)-INT($E$25*(4-1)/$D145))*$C145/1000</f>
        <v>0.0</v>
      </c>
      <c r="I145" s="42">
        <f>(INT($E$25*5/$D145)-INT($E$25*(5-1)/$D145))*$C145/1000</f>
        <v>41.350190000000005</v>
      </c>
      <c r="J145" s="42">
        <f>(INT($E$25*6/$D145)-INT($E$25*(6-1)/$D145))*$C145/1000</f>
        <v>0.0</v>
      </c>
      <c r="K145" s="42">
        <f>(INT($E$25*7/$D145)-INT($E$25*(7-1)/$D145))*$C145/1000</f>
        <v>41.350190000000005</v>
      </c>
      <c r="L145" s="42">
        <f>(INT($E$25*8/$D145)-INT($E$25*(8-1)/$D145))*$C145/1000</f>
        <v>0.0</v>
      </c>
      <c r="M145" s="42">
        <f>(INT($E$25*9/$D145)-INT($E$25*(9-1)/$D145))*$C145/1000</f>
        <v>41.350190000000005</v>
      </c>
      <c r="N145" s="42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44" t="n">
        <v>29233.73</v>
      </c>
      <c r="D146" s="43" t="n">
        <v>14900</v>
      </c>
      <c r="E146" s="42">
        <f>(INT($E$25*1/$D146)-INT($E$25*(1-1)/$D146))*$C146/1000</f>
        <v>0.0</v>
      </c>
      <c r="F146" s="42">
        <f>(INT($E$25*2/$D146)-INT($E$25*(2-1)/$D146))*$C146/1000</f>
        <v>0.0</v>
      </c>
      <c r="G146" s="42">
        <f>(INT($E$25*3/$D146)-INT($E$25*(3-1)/$D146))*$C146/1000</f>
        <v>29.23373</v>
      </c>
      <c r="H146" s="42">
        <f>(INT($E$25*4/$D146)-INT($E$25*(4-1)/$D146))*$C146/1000</f>
        <v>0.0</v>
      </c>
      <c r="I146" s="42">
        <f>(INT($E$25*5/$D146)-INT($E$25*(5-1)/$D146))*$C146/1000</f>
        <v>29.23373</v>
      </c>
      <c r="J146" s="42">
        <f>(INT($E$25*6/$D146)-INT($E$25*(6-1)/$D146))*$C146/1000</f>
        <v>0.0</v>
      </c>
      <c r="K146" s="42">
        <f>(INT($E$25*7/$D146)-INT($E$25*(7-1)/$D146))*$C146/1000</f>
        <v>29.23373</v>
      </c>
      <c r="L146" s="42">
        <f>(INT($E$25*8/$D146)-INT($E$25*(8-1)/$D146))*$C146/1000</f>
        <v>0.0</v>
      </c>
      <c r="M146" s="42">
        <f>(INT($E$25*9/$D146)-INT($E$25*(9-1)/$D146))*$C146/1000</f>
        <v>29.23373</v>
      </c>
      <c r="N146" s="42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44" t="n">
        <v>17877.9</v>
      </c>
      <c r="D147" s="43" t="n">
        <v>10400</v>
      </c>
      <c r="E147" s="42">
        <f>(INT($E$25*1/$D147)-INT($E$25*(1-1)/$D147))*$C147/1000</f>
        <v>0.0</v>
      </c>
      <c r="F147" s="42">
        <f>(INT($E$25*2/$D147)-INT($E$25*(2-1)/$D147))*$C147/1000</f>
        <v>17.8779</v>
      </c>
      <c r="G147" s="42">
        <f>(INT($E$25*3/$D147)-INT($E$25*(3-1)/$D147))*$C147/1000</f>
        <v>17.8779</v>
      </c>
      <c r="H147" s="42">
        <f>(INT($E$25*4/$D147)-INT($E$25*(4-1)/$D147))*$C147/1000</f>
        <v>0.0</v>
      </c>
      <c r="I147" s="42">
        <f>(INT($E$25*5/$D147)-INT($E$25*(5-1)/$D147))*$C147/1000</f>
        <v>17.8779</v>
      </c>
      <c r="J147" s="42">
        <f>(INT($E$25*6/$D147)-INT($E$25*(6-1)/$D147))*$C147/1000</f>
        <v>17.8779</v>
      </c>
      <c r="K147" s="42">
        <f>(INT($E$25*7/$D147)-INT($E$25*(7-1)/$D147))*$C147/1000</f>
        <v>0.0</v>
      </c>
      <c r="L147" s="42">
        <f>(INT($E$25*8/$D147)-INT($E$25*(8-1)/$D147))*$C147/1000</f>
        <v>17.8779</v>
      </c>
      <c r="M147" s="42">
        <f>(INT($E$25*9/$D147)-INT($E$25*(9-1)/$D147))*$C147/1000</f>
        <v>17.8779</v>
      </c>
      <c r="N147" s="42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44" t="n">
        <v>4406.44</v>
      </c>
      <c r="D148" s="43" t="n">
        <v>12000</v>
      </c>
      <c r="E148" s="42">
        <f>(INT($E$25*1/$D148)-INT($E$25*(1-1)/$D148))*$C148/1000</f>
        <v>0.0</v>
      </c>
      <c r="F148" s="42">
        <f>(INT($E$25*2/$D148)-INT($E$25*(2-1)/$D148))*$C148/1000</f>
        <v>4.40644</v>
      </c>
      <c r="G148" s="42">
        <f>(INT($E$25*3/$D148)-INT($E$25*(3-1)/$D148))*$C148/1000</f>
        <v>0.0</v>
      </c>
      <c r="H148" s="42">
        <f>(INT($E$25*4/$D148)-INT($E$25*(4-1)/$D148))*$C148/1000</f>
        <v>4.40644</v>
      </c>
      <c r="I148" s="42">
        <f>(INT($E$25*5/$D148)-INT($E$25*(5-1)/$D148))*$C148/1000</f>
        <v>0.0</v>
      </c>
      <c r="J148" s="42">
        <f>(INT($E$25*6/$D148)-INT($E$25*(6-1)/$D148))*$C148/1000</f>
        <v>4.40644</v>
      </c>
      <c r="K148" s="42">
        <f>(INT($E$25*7/$D148)-INT($E$25*(7-1)/$D148))*$C148/1000</f>
        <v>4.40644</v>
      </c>
      <c r="L148" s="42">
        <f>(INT($E$25*8/$D148)-INT($E$25*(8-1)/$D148))*$C148/1000</f>
        <v>0.0</v>
      </c>
      <c r="M148" s="42">
        <f>(INT($E$25*9/$D148)-INT($E$25*(9-1)/$D148))*$C148/1000</f>
        <v>4.40644</v>
      </c>
      <c r="N148" s="42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44" t="n">
        <v>359.34</v>
      </c>
      <c r="D149" s="43" t="n">
        <v>8000</v>
      </c>
      <c r="E149" s="42">
        <f>(INT($E$25*1/$D149)-INT($E$25*(1-1)/$D149))*$C149/1000</f>
        <v>0.0</v>
      </c>
      <c r="F149" s="42">
        <f>(INT($E$25*2/$D149)-INT($E$25*(2-1)/$D149))*$C149/1000</f>
        <v>0.35934</v>
      </c>
      <c r="G149" s="42">
        <f>(INT($E$25*3/$D149)-INT($E$25*(3-1)/$D149))*$C149/1000</f>
        <v>0.35934</v>
      </c>
      <c r="H149" s="42">
        <f>(INT($E$25*4/$D149)-INT($E$25*(4-1)/$D149))*$C149/1000</f>
        <v>0.35934</v>
      </c>
      <c r="I149" s="42">
        <f>(INT($E$25*5/$D149)-INT($E$25*(5-1)/$D149))*$C149/1000</f>
        <v>0.35934</v>
      </c>
      <c r="J149" s="42">
        <f>(INT($E$25*6/$D149)-INT($E$25*(6-1)/$D149))*$C149/1000</f>
        <v>0.35934</v>
      </c>
      <c r="K149" s="42">
        <f>(INT($E$25*7/$D149)-INT($E$25*(7-1)/$D149))*$C149/1000</f>
        <v>0.35934</v>
      </c>
      <c r="L149" s="42">
        <f>(INT($E$25*8/$D149)-INT($E$25*(8-1)/$D149))*$C149/1000</f>
        <v>0.35934</v>
      </c>
      <c r="M149" s="42">
        <f>(INT($E$25*9/$D149)-INT($E$25*(9-1)/$D149))*$C149/1000</f>
        <v>0.0</v>
      </c>
      <c r="N149" s="42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44" t="n">
        <v>1855.63</v>
      </c>
      <c r="D150" s="43" t="n">
        <v>8000</v>
      </c>
      <c r="E150" s="42">
        <f>(INT($E$25*1/$D150)-INT($E$25*(1-1)/$D150))*$C150/1000</f>
        <v>0.0</v>
      </c>
      <c r="F150" s="42">
        <f>(INT($E$25*2/$D150)-INT($E$25*(2-1)/$D150))*$C150/1000</f>
        <v>1.8556300000000001</v>
      </c>
      <c r="G150" s="42">
        <f>(INT($E$25*3/$D150)-INT($E$25*(3-1)/$D150))*$C150/1000</f>
        <v>1.8556300000000001</v>
      </c>
      <c r="H150" s="42">
        <f>(INT($E$25*4/$D150)-INT($E$25*(4-1)/$D150))*$C150/1000</f>
        <v>1.8556300000000001</v>
      </c>
      <c r="I150" s="42">
        <f>(INT($E$25*5/$D150)-INT($E$25*(5-1)/$D150))*$C150/1000</f>
        <v>1.8556300000000001</v>
      </c>
      <c r="J150" s="42">
        <f>(INT($E$25*6/$D150)-INT($E$25*(6-1)/$D150))*$C150/1000</f>
        <v>1.8556300000000001</v>
      </c>
      <c r="K150" s="42">
        <f>(INT($E$25*7/$D150)-INT($E$25*(7-1)/$D150))*$C150/1000</f>
        <v>1.8556300000000001</v>
      </c>
      <c r="L150" s="42">
        <f>(INT($E$25*8/$D150)-INT($E$25*(8-1)/$D150))*$C150/1000</f>
        <v>1.8556300000000001</v>
      </c>
      <c r="M150" s="42">
        <f>(INT($E$25*9/$D150)-INT($E$25*(9-1)/$D150))*$C150/1000</f>
        <v>0.0</v>
      </c>
      <c r="N150" s="42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44" t="n">
        <v>1750.07</v>
      </c>
      <c r="D151" s="43" t="n">
        <v>10400</v>
      </c>
      <c r="E151" s="42">
        <f>(INT($E$25*1/$D151)-INT($E$25*(1-1)/$D151))*$C151/1000</f>
        <v>0.0</v>
      </c>
      <c r="F151" s="42">
        <f>(INT($E$25*2/$D151)-INT($E$25*(2-1)/$D151))*$C151/1000</f>
        <v>1.75007</v>
      </c>
      <c r="G151" s="42">
        <f>(INT($E$25*3/$D151)-INT($E$25*(3-1)/$D151))*$C151/1000</f>
        <v>1.75007</v>
      </c>
      <c r="H151" s="42">
        <f>(INT($E$25*4/$D151)-INT($E$25*(4-1)/$D151))*$C151/1000</f>
        <v>0.0</v>
      </c>
      <c r="I151" s="42">
        <f>(INT($E$25*5/$D151)-INT($E$25*(5-1)/$D151))*$C151/1000</f>
        <v>1.75007</v>
      </c>
      <c r="J151" s="42">
        <f>(INT($E$25*6/$D151)-INT($E$25*(6-1)/$D151))*$C151/1000</f>
        <v>1.75007</v>
      </c>
      <c r="K151" s="42">
        <f>(INT($E$25*7/$D151)-INT($E$25*(7-1)/$D151))*$C151/1000</f>
        <v>0.0</v>
      </c>
      <c r="L151" s="42">
        <f>(INT($E$25*8/$D151)-INT($E$25*(8-1)/$D151))*$C151/1000</f>
        <v>1.75007</v>
      </c>
      <c r="M151" s="42">
        <f>(INT($E$25*9/$D151)-INT($E$25*(9-1)/$D151))*$C151/1000</f>
        <v>1.75007</v>
      </c>
      <c r="N151" s="42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44" t="n">
        <v>1208.21</v>
      </c>
      <c r="D152" s="43" t="n">
        <v>8000</v>
      </c>
      <c r="E152" s="42">
        <f>(INT($E$25*1/$D152)-INT($E$25*(1-1)/$D152))*$C152/1000</f>
        <v>0.0</v>
      </c>
      <c r="F152" s="42">
        <f>(INT($E$25*2/$D152)-INT($E$25*(2-1)/$D152))*$C152/1000</f>
        <v>1.20821</v>
      </c>
      <c r="G152" s="42">
        <f>(INT($E$25*3/$D152)-INT($E$25*(3-1)/$D152))*$C152/1000</f>
        <v>1.20821</v>
      </c>
      <c r="H152" s="42">
        <f>(INT($E$25*4/$D152)-INT($E$25*(4-1)/$D152))*$C152/1000</f>
        <v>1.20821</v>
      </c>
      <c r="I152" s="42">
        <f>(INT($E$25*5/$D152)-INT($E$25*(5-1)/$D152))*$C152/1000</f>
        <v>1.20821</v>
      </c>
      <c r="J152" s="42">
        <f>(INT($E$25*6/$D152)-INT($E$25*(6-1)/$D152))*$C152/1000</f>
        <v>1.20821</v>
      </c>
      <c r="K152" s="42">
        <f>(INT($E$25*7/$D152)-INT($E$25*(7-1)/$D152))*$C152/1000</f>
        <v>1.20821</v>
      </c>
      <c r="L152" s="42">
        <f>(INT($E$25*8/$D152)-INT($E$25*(8-1)/$D152))*$C152/1000</f>
        <v>1.20821</v>
      </c>
      <c r="M152" s="42">
        <f>(INT($E$25*9/$D152)-INT($E$25*(9-1)/$D152))*$C152/1000</f>
        <v>0.0</v>
      </c>
      <c r="N152" s="42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44" t="n">
        <v>10570.4</v>
      </c>
      <c r="D153" s="43" t="n">
        <v>18000</v>
      </c>
      <c r="E153" s="42">
        <f>(INT($E$25*1/$D153)-INT($E$25*(1-1)/$D153))*$C153/1000</f>
        <v>0.0</v>
      </c>
      <c r="F153" s="42">
        <f>(INT($E$25*2/$D153)-INT($E$25*(2-1)/$D153))*$C153/1000</f>
        <v>0.0</v>
      </c>
      <c r="G153" s="42">
        <f>(INT($E$25*3/$D153)-INT($E$25*(3-1)/$D153))*$C153/1000</f>
        <v>10.5704</v>
      </c>
      <c r="H153" s="42">
        <f>(INT($E$25*4/$D153)-INT($E$25*(4-1)/$D153))*$C153/1000</f>
        <v>0.0</v>
      </c>
      <c r="I153" s="42">
        <f>(INT($E$25*5/$D153)-INT($E$25*(5-1)/$D153))*$C153/1000</f>
        <v>0.0</v>
      </c>
      <c r="J153" s="42">
        <f>(INT($E$25*6/$D153)-INT($E$25*(6-1)/$D153))*$C153/1000</f>
        <v>10.5704</v>
      </c>
      <c r="K153" s="42">
        <f>(INT($E$25*7/$D153)-INT($E$25*(7-1)/$D153))*$C153/1000</f>
        <v>0.0</v>
      </c>
      <c r="L153" s="42">
        <f>(INT($E$25*8/$D153)-INT($E$25*(8-1)/$D153))*$C153/1000</f>
        <v>10.5704</v>
      </c>
      <c r="M153" s="42">
        <f>(INT($E$25*9/$D153)-INT($E$25*(9-1)/$D153))*$C153/1000</f>
        <v>0.0</v>
      </c>
      <c r="N153" s="42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44" t="n">
        <v>149339.64</v>
      </c>
      <c r="D154" s="43" t="n">
        <v>30000</v>
      </c>
      <c r="E154" s="42">
        <f>(INT($E$25*1/$D154)-INT($E$25*(1-1)/$D154))*$C154/1000</f>
        <v>0.0</v>
      </c>
      <c r="F154" s="42">
        <f>(INT($E$25*2/$D154)-INT($E$25*(2-1)/$D154))*$C154/1000</f>
        <v>0.0</v>
      </c>
      <c r="G154" s="42">
        <f>(INT($E$25*3/$D154)-INT($E$25*(3-1)/$D154))*$C154/1000</f>
        <v>0.0</v>
      </c>
      <c r="H154" s="42">
        <f>(INT($E$25*4/$D154)-INT($E$25*(4-1)/$D154))*$C154/1000</f>
        <v>0.0</v>
      </c>
      <c r="I154" s="42">
        <f>(INT($E$25*5/$D154)-INT($E$25*(5-1)/$D154))*$C154/1000</f>
        <v>149.33964</v>
      </c>
      <c r="J154" s="42">
        <f>(INT($E$25*6/$D154)-INT($E$25*(6-1)/$D154))*$C154/1000</f>
        <v>0.0</v>
      </c>
      <c r="K154" s="42">
        <f>(INT($E$25*7/$D154)-INT($E$25*(7-1)/$D154))*$C154/1000</f>
        <v>0.0</v>
      </c>
      <c r="L154" s="42">
        <f>(INT($E$25*8/$D154)-INT($E$25*(8-1)/$D154))*$C154/1000</f>
        <v>0.0</v>
      </c>
      <c r="M154" s="42">
        <f>(INT($E$25*9/$D154)-INT($E$25*(9-1)/$D154))*$C154/1000</f>
        <v>149.33964</v>
      </c>
      <c r="N154" s="42">
        <f>(INT($E$25*10/$D154)-INT($E$25*(10-1)/$D154))*$C154/1000</f>
        <v>0.0</v>
      </c>
    </row>
    <row r="155">
      <c r="B155" s="22" t="inlineStr">
        <is>
          <t>COUPLING (муфта)</t>
        </is>
      </c>
      <c r="C155" s="44" t="n">
        <v>10830.34</v>
      </c>
      <c r="D155" s="43" t="n">
        <v>20000</v>
      </c>
      <c r="E155" s="42">
        <f>(INT($E$25*1/$D155)-INT($E$25*(1-1)/$D155))*$C155/1000</f>
        <v>0.0</v>
      </c>
      <c r="F155" s="42">
        <f>(INT($E$25*2/$D155)-INT($E$25*(2-1)/$D155))*$C155/1000</f>
        <v>0.0</v>
      </c>
      <c r="G155" s="42">
        <f>(INT($E$25*3/$D155)-INT($E$25*(3-1)/$D155))*$C155/1000</f>
        <v>10.83034</v>
      </c>
      <c r="H155" s="42">
        <f>(INT($E$25*4/$D155)-INT($E$25*(4-1)/$D155))*$C155/1000</f>
        <v>0.0</v>
      </c>
      <c r="I155" s="42">
        <f>(INT($E$25*5/$D155)-INT($E$25*(5-1)/$D155))*$C155/1000</f>
        <v>0.0</v>
      </c>
      <c r="J155" s="42">
        <f>(INT($E$25*6/$D155)-INT($E$25*(6-1)/$D155))*$C155/1000</f>
        <v>10.83034</v>
      </c>
      <c r="K155" s="42">
        <f>(INT($E$25*7/$D155)-INT($E$25*(7-1)/$D155))*$C155/1000</f>
        <v>0.0</v>
      </c>
      <c r="L155" s="42">
        <f>(INT($E$25*8/$D155)-INT($E$25*(8-1)/$D155))*$C155/1000</f>
        <v>0.0</v>
      </c>
      <c r="M155" s="42">
        <f>(INT($E$25*9/$D155)-INT($E$25*(9-1)/$D155))*$C155/1000</f>
        <v>10.83034</v>
      </c>
      <c r="N155" s="42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44" t="n">
        <v>1593.95</v>
      </c>
      <c r="D156" s="43" t="n">
        <v>10000</v>
      </c>
      <c r="E156" s="42">
        <f>(INT($E$25*1/$D156)-INT($E$25*(1-1)/$D156))*$C156/1000</f>
        <v>0.0</v>
      </c>
      <c r="F156" s="42">
        <f>(INT($E$25*2/$D156)-INT($E$25*(2-1)/$D156))*$C156/1000</f>
        <v>1.59395</v>
      </c>
      <c r="G156" s="42">
        <f>(INT($E$25*3/$D156)-INT($E$25*(3-1)/$D156))*$C156/1000</f>
        <v>1.59395</v>
      </c>
      <c r="H156" s="42">
        <f>(INT($E$25*4/$D156)-INT($E$25*(4-1)/$D156))*$C156/1000</f>
        <v>0.0</v>
      </c>
      <c r="I156" s="42">
        <f>(INT($E$25*5/$D156)-INT($E$25*(5-1)/$D156))*$C156/1000</f>
        <v>1.59395</v>
      </c>
      <c r="J156" s="42">
        <f>(INT($E$25*6/$D156)-INT($E$25*(6-1)/$D156))*$C156/1000</f>
        <v>1.59395</v>
      </c>
      <c r="K156" s="42">
        <f>(INT($E$25*7/$D156)-INT($E$25*(7-1)/$D156))*$C156/1000</f>
        <v>0.0</v>
      </c>
      <c r="L156" s="42">
        <f>(INT($E$25*8/$D156)-INT($E$25*(8-1)/$D156))*$C156/1000</f>
        <v>1.59395</v>
      </c>
      <c r="M156" s="42">
        <f>(INT($E$25*9/$D156)-INT($E$25*(9-1)/$D156))*$C156/1000</f>
        <v>1.59395</v>
      </c>
      <c r="N156" s="42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44" t="n">
        <v>4616.49</v>
      </c>
      <c r="D157" s="43" t="n">
        <v>20000</v>
      </c>
      <c r="E157" s="42">
        <f>(INT($E$25*1/$D157)-INT($E$25*(1-1)/$D157))*$C157/1000</f>
        <v>0.0</v>
      </c>
      <c r="F157" s="42">
        <f>(INT($E$25*2/$D157)-INT($E$25*(2-1)/$D157))*$C157/1000</f>
        <v>0.0</v>
      </c>
      <c r="G157" s="42">
        <f>(INT($E$25*3/$D157)-INT($E$25*(3-1)/$D157))*$C157/1000</f>
        <v>4.61649</v>
      </c>
      <c r="H157" s="42">
        <f>(INT($E$25*4/$D157)-INT($E$25*(4-1)/$D157))*$C157/1000</f>
        <v>0.0</v>
      </c>
      <c r="I157" s="42">
        <f>(INT($E$25*5/$D157)-INT($E$25*(5-1)/$D157))*$C157/1000</f>
        <v>0.0</v>
      </c>
      <c r="J157" s="42">
        <f>(INT($E$25*6/$D157)-INT($E$25*(6-1)/$D157))*$C157/1000</f>
        <v>4.61649</v>
      </c>
      <c r="K157" s="42">
        <f>(INT($E$25*7/$D157)-INT($E$25*(7-1)/$D157))*$C157/1000</f>
        <v>0.0</v>
      </c>
      <c r="L157" s="42">
        <f>(INT($E$25*8/$D157)-INT($E$25*(8-1)/$D157))*$C157/1000</f>
        <v>0.0</v>
      </c>
      <c r="M157" s="42">
        <f>(INT($E$25*9/$D157)-INT($E$25*(9-1)/$D157))*$C157/1000</f>
        <v>4.61649</v>
      </c>
      <c r="N157" s="42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44" t="n">
        <v>238.88</v>
      </c>
      <c r="D158" s="43" t="n">
        <v>22000</v>
      </c>
      <c r="E158" s="42">
        <f>(INT($E$25*1/$D158)-INT($E$25*(1-1)/$D158))*$C158/1000</f>
        <v>0.0</v>
      </c>
      <c r="F158" s="42">
        <f>(INT($E$25*2/$D158)-INT($E$25*(2-1)/$D158))*$C158/1000</f>
        <v>0.0</v>
      </c>
      <c r="G158" s="42">
        <f>(INT($E$25*3/$D158)-INT($E$25*(3-1)/$D158))*$C158/1000</f>
        <v>0.0</v>
      </c>
      <c r="H158" s="42">
        <f>(INT($E$25*4/$D158)-INT($E$25*(4-1)/$D158))*$C158/1000</f>
        <v>0.23888</v>
      </c>
      <c r="I158" s="42">
        <f>(INT($E$25*5/$D158)-INT($E$25*(5-1)/$D158))*$C158/1000</f>
        <v>0.0</v>
      </c>
      <c r="J158" s="42">
        <f>(INT($E$25*6/$D158)-INT($E$25*(6-1)/$D158))*$C158/1000</f>
        <v>0.0</v>
      </c>
      <c r="K158" s="42">
        <f>(INT($E$25*7/$D158)-INT($E$25*(7-1)/$D158))*$C158/1000</f>
        <v>0.23888</v>
      </c>
      <c r="L158" s="42">
        <f>(INT($E$25*8/$D158)-INT($E$25*(8-1)/$D158))*$C158/1000</f>
        <v>0.0</v>
      </c>
      <c r="M158" s="42">
        <f>(INT($E$25*9/$D158)-INT($E$25*(9-1)/$D158))*$C158/1000</f>
        <v>0.0</v>
      </c>
      <c r="N158" s="42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44" t="n">
        <v>620.8200000000001</v>
      </c>
      <c r="D159" s="43" t="n">
        <v>20000</v>
      </c>
      <c r="E159" s="42">
        <f>(INT($E$25*1/$D159)-INT($E$25*(1-1)/$D159))*$C159/1000</f>
        <v>0.0</v>
      </c>
      <c r="F159" s="42">
        <f>(INT($E$25*2/$D159)-INT($E$25*(2-1)/$D159))*$C159/1000</f>
        <v>0.0</v>
      </c>
      <c r="G159" s="42">
        <f>(INT($E$25*3/$D159)-INT($E$25*(3-1)/$D159))*$C159/1000</f>
        <v>0.62082</v>
      </c>
      <c r="H159" s="42">
        <f>(INT($E$25*4/$D159)-INT($E$25*(4-1)/$D159))*$C159/1000</f>
        <v>0.0</v>
      </c>
      <c r="I159" s="42">
        <f>(INT($E$25*5/$D159)-INT($E$25*(5-1)/$D159))*$C159/1000</f>
        <v>0.0</v>
      </c>
      <c r="J159" s="42">
        <f>(INT($E$25*6/$D159)-INT($E$25*(6-1)/$D159))*$C159/1000</f>
        <v>0.62082</v>
      </c>
      <c r="K159" s="42">
        <f>(INT($E$25*7/$D159)-INT($E$25*(7-1)/$D159))*$C159/1000</f>
        <v>0.0</v>
      </c>
      <c r="L159" s="42">
        <f>(INT($E$25*8/$D159)-INT($E$25*(8-1)/$D159))*$C159/1000</f>
        <v>0.0</v>
      </c>
      <c r="M159" s="42">
        <f>(INT($E$25*9/$D159)-INT($E$25*(9-1)/$D159))*$C159/1000</f>
        <v>0.62082</v>
      </c>
      <c r="N159" s="42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44" t="n">
        <v>16243.37</v>
      </c>
      <c r="D160" s="43" t="n">
        <v>13000</v>
      </c>
      <c r="E160" s="42">
        <f>(INT($E$25*1/$D160)-INT($E$25*(1-1)/$D160))*$C160/1000</f>
        <v>0.0</v>
      </c>
      <c r="F160" s="42">
        <f>(INT($E$25*2/$D160)-INT($E$25*(2-1)/$D160))*$C160/1000</f>
        <v>16.243370000000002</v>
      </c>
      <c r="G160" s="42">
        <f>(INT($E$25*3/$D160)-INT($E$25*(3-1)/$D160))*$C160/1000</f>
        <v>0.0</v>
      </c>
      <c r="H160" s="42">
        <f>(INT($E$25*4/$D160)-INT($E$25*(4-1)/$D160))*$C160/1000</f>
        <v>16.243370000000002</v>
      </c>
      <c r="I160" s="42">
        <f>(INT($E$25*5/$D160)-INT($E$25*(5-1)/$D160))*$C160/1000</f>
        <v>0.0</v>
      </c>
      <c r="J160" s="42">
        <f>(INT($E$25*6/$D160)-INT($E$25*(6-1)/$D160))*$C160/1000</f>
        <v>16.243370000000002</v>
      </c>
      <c r="K160" s="42">
        <f>(INT($E$25*7/$D160)-INT($E$25*(7-1)/$D160))*$C160/1000</f>
        <v>0.0</v>
      </c>
      <c r="L160" s="42">
        <f>(INT($E$25*8/$D160)-INT($E$25*(8-1)/$D160))*$C160/1000</f>
        <v>16.243370000000002</v>
      </c>
      <c r="M160" s="42">
        <f>(INT($E$25*9/$D160)-INT($E$25*(9-1)/$D160))*$C160/1000</f>
        <v>0.0</v>
      </c>
      <c r="N160" s="42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44" t="n">
        <v>176926.4</v>
      </c>
      <c r="D161" s="43" t="n">
        <v>30000</v>
      </c>
      <c r="E161" s="42">
        <f>(INT($E$25*1/$D161)-INT($E$25*(1-1)/$D161))*$C161/1000</f>
        <v>0.0</v>
      </c>
      <c r="F161" s="42">
        <f>(INT($E$25*2/$D161)-INT($E$25*(2-1)/$D161))*$C161/1000</f>
        <v>0.0</v>
      </c>
      <c r="G161" s="42">
        <f>(INT($E$25*3/$D161)-INT($E$25*(3-1)/$D161))*$C161/1000</f>
        <v>0.0</v>
      </c>
      <c r="H161" s="42">
        <f>(INT($E$25*4/$D161)-INT($E$25*(4-1)/$D161))*$C161/1000</f>
        <v>0.0</v>
      </c>
      <c r="I161" s="42">
        <f>(INT($E$25*5/$D161)-INT($E$25*(5-1)/$D161))*$C161/1000</f>
        <v>176.9264</v>
      </c>
      <c r="J161" s="42">
        <f>(INT($E$25*6/$D161)-INT($E$25*(6-1)/$D161))*$C161/1000</f>
        <v>0.0</v>
      </c>
      <c r="K161" s="42">
        <f>(INT($E$25*7/$D161)-INT($E$25*(7-1)/$D161))*$C161/1000</f>
        <v>0.0</v>
      </c>
      <c r="L161" s="42">
        <f>(INT($E$25*8/$D161)-INT($E$25*(8-1)/$D161))*$C161/1000</f>
        <v>0.0</v>
      </c>
      <c r="M161" s="42">
        <f>(INT($E$25*9/$D161)-INT($E$25*(9-1)/$D161))*$C161/1000</f>
        <v>176.9264</v>
      </c>
      <c r="N161" s="42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44" t="n">
        <v>2480.1</v>
      </c>
      <c r="D162" s="43" t="n">
        <v>11000</v>
      </c>
      <c r="E162" s="42">
        <f>(INT($E$25*1/$D162)-INT($E$25*(1-1)/$D162))*$C162/1000</f>
        <v>0.0</v>
      </c>
      <c r="F162" s="42">
        <f>(INT($E$25*2/$D162)-INT($E$25*(2-1)/$D162))*$C162/1000</f>
        <v>2.4800999999999997</v>
      </c>
      <c r="G162" s="42">
        <f>(INT($E$25*3/$D162)-INT($E$25*(3-1)/$D162))*$C162/1000</f>
        <v>0.0</v>
      </c>
      <c r="H162" s="42">
        <f>(INT($E$25*4/$D162)-INT($E$25*(4-1)/$D162))*$C162/1000</f>
        <v>2.4800999999999997</v>
      </c>
      <c r="I162" s="42">
        <f>(INT($E$25*5/$D162)-INT($E$25*(5-1)/$D162))*$C162/1000</f>
        <v>2.4800999999999997</v>
      </c>
      <c r="J162" s="42">
        <f>(INT($E$25*6/$D162)-INT($E$25*(6-1)/$D162))*$C162/1000</f>
        <v>0.0</v>
      </c>
      <c r="K162" s="42">
        <f>(INT($E$25*7/$D162)-INT($E$25*(7-1)/$D162))*$C162/1000</f>
        <v>2.4800999999999997</v>
      </c>
      <c r="L162" s="42">
        <f>(INT($E$25*8/$D162)-INT($E$25*(8-1)/$D162))*$C162/1000</f>
        <v>2.4800999999999997</v>
      </c>
      <c r="M162" s="42">
        <f>(INT($E$25*9/$D162)-INT($E$25*(9-1)/$D162))*$C162/1000</f>
        <v>0.0</v>
      </c>
      <c r="N162" s="42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44" t="n">
        <v>2068.08</v>
      </c>
      <c r="D163" s="43" t="n">
        <v>11000</v>
      </c>
      <c r="E163" s="42">
        <f>(INT($E$25*1/$D163)-INT($E$25*(1-1)/$D163))*$C163/1000</f>
        <v>0.0</v>
      </c>
      <c r="F163" s="42">
        <f>(INT($E$25*2/$D163)-INT($E$25*(2-1)/$D163))*$C163/1000</f>
        <v>2.06808</v>
      </c>
      <c r="G163" s="42">
        <f>(INT($E$25*3/$D163)-INT($E$25*(3-1)/$D163))*$C163/1000</f>
        <v>0.0</v>
      </c>
      <c r="H163" s="42">
        <f>(INT($E$25*4/$D163)-INT($E$25*(4-1)/$D163))*$C163/1000</f>
        <v>2.06808</v>
      </c>
      <c r="I163" s="42">
        <f>(INT($E$25*5/$D163)-INT($E$25*(5-1)/$D163))*$C163/1000</f>
        <v>2.06808</v>
      </c>
      <c r="J163" s="42">
        <f>(INT($E$25*6/$D163)-INT($E$25*(6-1)/$D163))*$C163/1000</f>
        <v>0.0</v>
      </c>
      <c r="K163" s="42">
        <f>(INT($E$25*7/$D163)-INT($E$25*(7-1)/$D163))*$C163/1000</f>
        <v>2.06808</v>
      </c>
      <c r="L163" s="42">
        <f>(INT($E$25*8/$D163)-INT($E$25*(8-1)/$D163))*$C163/1000</f>
        <v>2.06808</v>
      </c>
      <c r="M163" s="42">
        <f>(INT($E$25*9/$D163)-INT($E$25*(9-1)/$D163))*$C163/1000</f>
        <v>0.0</v>
      </c>
      <c r="N163" s="42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44" t="n">
        <v>14077.02</v>
      </c>
      <c r="D164" s="43" t="n">
        <v>11900</v>
      </c>
      <c r="E164" s="42">
        <f>(INT($E$25*1/$D164)-INT($E$25*(1-1)/$D164))*$C164/1000</f>
        <v>0.0</v>
      </c>
      <c r="F164" s="42">
        <f>(INT($E$25*2/$D164)-INT($E$25*(2-1)/$D164))*$C164/1000</f>
        <v>14.077020000000001</v>
      </c>
      <c r="G164" s="42">
        <f>(INT($E$25*3/$D164)-INT($E$25*(3-1)/$D164))*$C164/1000</f>
        <v>0.0</v>
      </c>
      <c r="H164" s="42">
        <f>(INT($E$25*4/$D164)-INT($E$25*(4-1)/$D164))*$C164/1000</f>
        <v>14.077020000000001</v>
      </c>
      <c r="I164" s="42">
        <f>(INT($E$25*5/$D164)-INT($E$25*(5-1)/$D164))*$C164/1000</f>
        <v>0.0</v>
      </c>
      <c r="J164" s="42">
        <f>(INT($E$25*6/$D164)-INT($E$25*(6-1)/$D164))*$C164/1000</f>
        <v>14.077020000000001</v>
      </c>
      <c r="K164" s="42">
        <f>(INT($E$25*7/$D164)-INT($E$25*(7-1)/$D164))*$C164/1000</f>
        <v>14.077020000000001</v>
      </c>
      <c r="L164" s="42">
        <f>(INT($E$25*8/$D164)-INT($E$25*(8-1)/$D164))*$C164/1000</f>
        <v>0.0</v>
      </c>
      <c r="M164" s="42">
        <f>(INT($E$25*9/$D164)-INT($E$25*(9-1)/$D164))*$C164/1000</f>
        <v>14.077020000000001</v>
      </c>
      <c r="N164" s="42">
        <f>(INT($E$25*10/$D164)-INT($E$25*(10-1)/$D164))*$C164/1000</f>
        <v>0.0</v>
      </c>
    </row>
    <row r="165">
      <c r="B165" s="22" t="inlineStr">
        <is>
          <t>DRIVE SHAFT (кардан)</t>
        </is>
      </c>
      <c r="C165" s="44" t="n">
        <v>1626.09</v>
      </c>
      <c r="D165" s="43" t="n">
        <v>15000</v>
      </c>
      <c r="E165" s="42">
        <f>(INT($E$25*1/$D165)-INT($E$25*(1-1)/$D165))*$C165/1000</f>
        <v>0.0</v>
      </c>
      <c r="F165" s="42">
        <f>(INT($E$25*2/$D165)-INT($E$25*(2-1)/$D165))*$C165/1000</f>
        <v>0.0</v>
      </c>
      <c r="G165" s="42">
        <f>(INT($E$25*3/$D165)-INT($E$25*(3-1)/$D165))*$C165/1000</f>
        <v>1.6260899999999998</v>
      </c>
      <c r="H165" s="42">
        <f>(INT($E$25*4/$D165)-INT($E$25*(4-1)/$D165))*$C165/1000</f>
        <v>0.0</v>
      </c>
      <c r="I165" s="42">
        <f>(INT($E$25*5/$D165)-INT($E$25*(5-1)/$D165))*$C165/1000</f>
        <v>1.6260899999999998</v>
      </c>
      <c r="J165" s="42">
        <f>(INT($E$25*6/$D165)-INT($E$25*(6-1)/$D165))*$C165/1000</f>
        <v>0.0</v>
      </c>
      <c r="K165" s="42">
        <f>(INT($E$25*7/$D165)-INT($E$25*(7-1)/$D165))*$C165/1000</f>
        <v>1.6260899999999998</v>
      </c>
      <c r="L165" s="42">
        <f>(INT($E$25*8/$D165)-INT($E$25*(8-1)/$D165))*$C165/1000</f>
        <v>0.0</v>
      </c>
      <c r="M165" s="42">
        <f>(INT($E$25*9/$D165)-INT($E$25*(9-1)/$D165))*$C165/1000</f>
        <v>1.6260899999999998</v>
      </c>
      <c r="N165" s="42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44" t="n">
        <v>83945.98</v>
      </c>
      <c r="D166" s="43" t="n">
        <v>18000</v>
      </c>
      <c r="E166" s="42">
        <f>(INT($E$25*1/$D166)-INT($E$25*(1-1)/$D166))*$C166/1000</f>
        <v>0.0</v>
      </c>
      <c r="F166" s="42">
        <f>(INT($E$25*2/$D166)-INT($E$25*(2-1)/$D166))*$C166/1000</f>
        <v>0.0</v>
      </c>
      <c r="G166" s="42">
        <f>(INT($E$25*3/$D166)-INT($E$25*(3-1)/$D166))*$C166/1000</f>
        <v>83.94597999999999</v>
      </c>
      <c r="H166" s="42">
        <f>(INT($E$25*4/$D166)-INT($E$25*(4-1)/$D166))*$C166/1000</f>
        <v>0.0</v>
      </c>
      <c r="I166" s="42">
        <f>(INT($E$25*5/$D166)-INT($E$25*(5-1)/$D166))*$C166/1000</f>
        <v>0.0</v>
      </c>
      <c r="J166" s="42">
        <f>(INT($E$25*6/$D166)-INT($E$25*(6-1)/$D166))*$C166/1000</f>
        <v>83.94597999999999</v>
      </c>
      <c r="K166" s="42">
        <f>(INT($E$25*7/$D166)-INT($E$25*(7-1)/$D166))*$C166/1000</f>
        <v>0.0</v>
      </c>
      <c r="L166" s="42">
        <f>(INT($E$25*8/$D166)-INT($E$25*(8-1)/$D166))*$C166/1000</f>
        <v>83.94597999999999</v>
      </c>
      <c r="M166" s="42">
        <f>(INT($E$25*9/$D166)-INT($E$25*(9-1)/$D166))*$C166/1000</f>
        <v>0.0</v>
      </c>
      <c r="N166" s="42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44" t="n">
        <v>4856.64</v>
      </c>
      <c r="D167" s="43" t="n">
        <v>14000</v>
      </c>
      <c r="E167" s="42">
        <f>(INT($E$25*1/$D167)-INT($E$25*(1-1)/$D167))*$C167/1000</f>
        <v>0.0</v>
      </c>
      <c r="F167" s="42">
        <f>(INT($E$25*2/$D167)-INT($E$25*(2-1)/$D167))*$C167/1000</f>
        <v>4.8566400000000005</v>
      </c>
      <c r="G167" s="42">
        <f>(INT($E$25*3/$D167)-INT($E$25*(3-1)/$D167))*$C167/1000</f>
        <v>0.0</v>
      </c>
      <c r="H167" s="42">
        <f>(INT($E$25*4/$D167)-INT($E$25*(4-1)/$D167))*$C167/1000</f>
        <v>4.8566400000000005</v>
      </c>
      <c r="I167" s="42">
        <f>(INT($E$25*5/$D167)-INT($E$25*(5-1)/$D167))*$C167/1000</f>
        <v>0.0</v>
      </c>
      <c r="J167" s="42">
        <f>(INT($E$25*6/$D167)-INT($E$25*(6-1)/$D167))*$C167/1000</f>
        <v>4.8566400000000005</v>
      </c>
      <c r="K167" s="42">
        <f>(INT($E$25*7/$D167)-INT($E$25*(7-1)/$D167))*$C167/1000</f>
        <v>0.0</v>
      </c>
      <c r="L167" s="42">
        <f>(INT($E$25*8/$D167)-INT($E$25*(8-1)/$D167))*$C167/1000</f>
        <v>4.8566400000000005</v>
      </c>
      <c r="M167" s="42">
        <f>(INT($E$25*9/$D167)-INT($E$25*(9-1)/$D167))*$C167/1000</f>
        <v>0.0</v>
      </c>
      <c r="N167" s="42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44" t="n">
        <v>10503.76</v>
      </c>
      <c r="D168" s="43" t="n">
        <v>12000</v>
      </c>
      <c r="E168" s="42">
        <f>(INT($E$25*1/$D168)-INT($E$25*(1-1)/$D168))*$C168/1000</f>
        <v>0.0</v>
      </c>
      <c r="F168" s="42">
        <f>(INT($E$25*2/$D168)-INT($E$25*(2-1)/$D168))*$C168/1000</f>
        <v>10.50376</v>
      </c>
      <c r="G168" s="42">
        <f>(INT($E$25*3/$D168)-INT($E$25*(3-1)/$D168))*$C168/1000</f>
        <v>0.0</v>
      </c>
      <c r="H168" s="42">
        <f>(INT($E$25*4/$D168)-INT($E$25*(4-1)/$D168))*$C168/1000</f>
        <v>10.50376</v>
      </c>
      <c r="I168" s="42">
        <f>(INT($E$25*5/$D168)-INT($E$25*(5-1)/$D168))*$C168/1000</f>
        <v>0.0</v>
      </c>
      <c r="J168" s="42">
        <f>(INT($E$25*6/$D168)-INT($E$25*(6-1)/$D168))*$C168/1000</f>
        <v>10.50376</v>
      </c>
      <c r="K168" s="42">
        <f>(INT($E$25*7/$D168)-INT($E$25*(7-1)/$D168))*$C168/1000</f>
        <v>10.50376</v>
      </c>
      <c r="L168" s="42">
        <f>(INT($E$25*8/$D168)-INT($E$25*(8-1)/$D168))*$C168/1000</f>
        <v>0.0</v>
      </c>
      <c r="M168" s="42">
        <f>(INT($E$25*9/$D168)-INT($E$25*(9-1)/$D168))*$C168/1000</f>
        <v>10.50376</v>
      </c>
      <c r="N168" s="42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44" t="n">
        <v>33088.43</v>
      </c>
      <c r="D169" s="43" t="n">
        <v>21000</v>
      </c>
      <c r="E169" s="42">
        <f>(INT($E$25*1/$D169)-INT($E$25*(1-1)/$D169))*$C169/1000</f>
        <v>0.0</v>
      </c>
      <c r="F169" s="42">
        <f>(INT($E$25*2/$D169)-INT($E$25*(2-1)/$D169))*$C169/1000</f>
        <v>0.0</v>
      </c>
      <c r="G169" s="42">
        <f>(INT($E$25*3/$D169)-INT($E$25*(3-1)/$D169))*$C169/1000</f>
        <v>33.08843</v>
      </c>
      <c r="H169" s="42">
        <f>(INT($E$25*4/$D169)-INT($E$25*(4-1)/$D169))*$C169/1000</f>
        <v>0.0</v>
      </c>
      <c r="I169" s="42">
        <f>(INT($E$25*5/$D169)-INT($E$25*(5-1)/$D169))*$C169/1000</f>
        <v>0.0</v>
      </c>
      <c r="J169" s="42">
        <f>(INT($E$25*6/$D169)-INT($E$25*(6-1)/$D169))*$C169/1000</f>
        <v>33.08843</v>
      </c>
      <c r="K169" s="42">
        <f>(INT($E$25*7/$D169)-INT($E$25*(7-1)/$D169))*$C169/1000</f>
        <v>0.0</v>
      </c>
      <c r="L169" s="42">
        <f>(INT($E$25*8/$D169)-INT($E$25*(8-1)/$D169))*$C169/1000</f>
        <v>0.0</v>
      </c>
      <c r="M169" s="42">
        <f>(INT($E$25*9/$D169)-INT($E$25*(9-1)/$D169))*$C169/1000</f>
        <v>33.08843</v>
      </c>
      <c r="N169" s="42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44" t="n">
        <v>798.38</v>
      </c>
      <c r="D170" s="43" t="n">
        <v>14000</v>
      </c>
      <c r="E170" s="42">
        <f>(INT($E$25*1/$D170)-INT($E$25*(1-1)/$D170))*$C170/1000</f>
        <v>0.0</v>
      </c>
      <c r="F170" s="42">
        <f>(INT($E$25*2/$D170)-INT($E$25*(2-1)/$D170))*$C170/1000</f>
        <v>0.79838</v>
      </c>
      <c r="G170" s="42">
        <f>(INT($E$25*3/$D170)-INT($E$25*(3-1)/$D170))*$C170/1000</f>
        <v>0.0</v>
      </c>
      <c r="H170" s="42">
        <f>(INT($E$25*4/$D170)-INT($E$25*(4-1)/$D170))*$C170/1000</f>
        <v>0.79838</v>
      </c>
      <c r="I170" s="42">
        <f>(INT($E$25*5/$D170)-INT($E$25*(5-1)/$D170))*$C170/1000</f>
        <v>0.0</v>
      </c>
      <c r="J170" s="42">
        <f>(INT($E$25*6/$D170)-INT($E$25*(6-1)/$D170))*$C170/1000</f>
        <v>0.79838</v>
      </c>
      <c r="K170" s="42">
        <f>(INT($E$25*7/$D170)-INT($E$25*(7-1)/$D170))*$C170/1000</f>
        <v>0.0</v>
      </c>
      <c r="L170" s="42">
        <f>(INT($E$25*8/$D170)-INT($E$25*(8-1)/$D170))*$C170/1000</f>
        <v>0.79838</v>
      </c>
      <c r="M170" s="42">
        <f>(INT($E$25*9/$D170)-INT($E$25*(9-1)/$D170))*$C170/1000</f>
        <v>0.0</v>
      </c>
      <c r="N170" s="42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44" t="n">
        <v>2803.81</v>
      </c>
      <c r="D171" s="43" t="n">
        <v>6000</v>
      </c>
      <c r="E171" s="42">
        <f>(INT($E$25*1/$D171)-INT($E$25*(1-1)/$D171))*$C171/1000</f>
        <v>2.80381</v>
      </c>
      <c r="F171" s="42">
        <f>(INT($E$25*2/$D171)-INT($E$25*(2-1)/$D171))*$C171/1000</f>
        <v>2.80381</v>
      </c>
      <c r="G171" s="42">
        <f>(INT($E$25*3/$D171)-INT($E$25*(3-1)/$D171))*$C171/1000</f>
        <v>2.80381</v>
      </c>
      <c r="H171" s="42">
        <f>(INT($E$25*4/$D171)-INT($E$25*(4-1)/$D171))*$C171/1000</f>
        <v>2.80381</v>
      </c>
      <c r="I171" s="42">
        <f>(INT($E$25*5/$D171)-INT($E$25*(5-1)/$D171))*$C171/1000</f>
        <v>2.80381</v>
      </c>
      <c r="J171" s="42">
        <f>(INT($E$25*6/$D171)-INT($E$25*(6-1)/$D171))*$C171/1000</f>
        <v>5.60762</v>
      </c>
      <c r="K171" s="42">
        <f>(INT($E$25*7/$D171)-INT($E$25*(7-1)/$D171))*$C171/1000</f>
        <v>2.80381</v>
      </c>
      <c r="L171" s="42">
        <f>(INT($E$25*8/$D171)-INT($E$25*(8-1)/$D171))*$C171/1000</f>
        <v>2.80381</v>
      </c>
      <c r="M171" s="42">
        <f>(INT($E$25*9/$D171)-INT($E$25*(9-1)/$D171))*$C171/1000</f>
        <v>2.80381</v>
      </c>
      <c r="N171" s="42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44" t="n">
        <v>2803.81</v>
      </c>
      <c r="D172" s="43" t="n">
        <v>6000</v>
      </c>
      <c r="E172" s="42">
        <f>(INT($E$25*1/$D172)-INT($E$25*(1-1)/$D172))*$C172/1000</f>
        <v>2.80381</v>
      </c>
      <c r="F172" s="42">
        <f>(INT($E$25*2/$D172)-INT($E$25*(2-1)/$D172))*$C172/1000</f>
        <v>2.80381</v>
      </c>
      <c r="G172" s="42">
        <f>(INT($E$25*3/$D172)-INT($E$25*(3-1)/$D172))*$C172/1000</f>
        <v>2.80381</v>
      </c>
      <c r="H172" s="42">
        <f>(INT($E$25*4/$D172)-INT($E$25*(4-1)/$D172))*$C172/1000</f>
        <v>2.80381</v>
      </c>
      <c r="I172" s="42">
        <f>(INT($E$25*5/$D172)-INT($E$25*(5-1)/$D172))*$C172/1000</f>
        <v>2.80381</v>
      </c>
      <c r="J172" s="42">
        <f>(INT($E$25*6/$D172)-INT($E$25*(6-1)/$D172))*$C172/1000</f>
        <v>5.60762</v>
      </c>
      <c r="K172" s="42">
        <f>(INT($E$25*7/$D172)-INT($E$25*(7-1)/$D172))*$C172/1000</f>
        <v>2.80381</v>
      </c>
      <c r="L172" s="42">
        <f>(INT($E$25*8/$D172)-INT($E$25*(8-1)/$D172))*$C172/1000</f>
        <v>2.80381</v>
      </c>
      <c r="M172" s="42">
        <f>(INT($E$25*9/$D172)-INT($E$25*(9-1)/$D172))*$C172/1000</f>
        <v>2.80381</v>
      </c>
      <c r="N172" s="42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44" t="n">
        <v>11684.45</v>
      </c>
      <c r="D173" s="43" t="n">
        <v>12000</v>
      </c>
      <c r="E173" s="42">
        <f>(INT($E$25*1/$D173)-INT($E$25*(1-1)/$D173))*$C173/1000</f>
        <v>0.0</v>
      </c>
      <c r="F173" s="42">
        <f>(INT($E$25*2/$D173)-INT($E$25*(2-1)/$D173))*$C173/1000</f>
        <v>11.68445</v>
      </c>
      <c r="G173" s="42">
        <f>(INT($E$25*3/$D173)-INT($E$25*(3-1)/$D173))*$C173/1000</f>
        <v>0.0</v>
      </c>
      <c r="H173" s="42">
        <f>(INT($E$25*4/$D173)-INT($E$25*(4-1)/$D173))*$C173/1000</f>
        <v>11.68445</v>
      </c>
      <c r="I173" s="42">
        <f>(INT($E$25*5/$D173)-INT($E$25*(5-1)/$D173))*$C173/1000</f>
        <v>0.0</v>
      </c>
      <c r="J173" s="42">
        <f>(INT($E$25*6/$D173)-INT($E$25*(6-1)/$D173))*$C173/1000</f>
        <v>11.68445</v>
      </c>
      <c r="K173" s="42">
        <f>(INT($E$25*7/$D173)-INT($E$25*(7-1)/$D173))*$C173/1000</f>
        <v>11.68445</v>
      </c>
      <c r="L173" s="42">
        <f>(INT($E$25*8/$D173)-INT($E$25*(8-1)/$D173))*$C173/1000</f>
        <v>0.0</v>
      </c>
      <c r="M173" s="42">
        <f>(INT($E$25*9/$D173)-INT($E$25*(9-1)/$D173))*$C173/1000</f>
        <v>11.68445</v>
      </c>
      <c r="N173" s="42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44" t="n">
        <v>15375.35</v>
      </c>
      <c r="D174" s="43" t="n">
        <v>21000</v>
      </c>
      <c r="E174" s="42">
        <f>(INT($E$25*1/$D174)-INT($E$25*(1-1)/$D174))*$C174/1000</f>
        <v>0.0</v>
      </c>
      <c r="F174" s="42">
        <f>(INT($E$25*2/$D174)-INT($E$25*(2-1)/$D174))*$C174/1000</f>
        <v>0.0</v>
      </c>
      <c r="G174" s="42">
        <f>(INT($E$25*3/$D174)-INT($E$25*(3-1)/$D174))*$C174/1000</f>
        <v>15.375350000000001</v>
      </c>
      <c r="H174" s="42">
        <f>(INT($E$25*4/$D174)-INT($E$25*(4-1)/$D174))*$C174/1000</f>
        <v>0.0</v>
      </c>
      <c r="I174" s="42">
        <f>(INT($E$25*5/$D174)-INT($E$25*(5-1)/$D174))*$C174/1000</f>
        <v>0.0</v>
      </c>
      <c r="J174" s="42">
        <f>(INT($E$25*6/$D174)-INT($E$25*(6-1)/$D174))*$C174/1000</f>
        <v>15.375350000000001</v>
      </c>
      <c r="K174" s="42">
        <f>(INT($E$25*7/$D174)-INT($E$25*(7-1)/$D174))*$C174/1000</f>
        <v>0.0</v>
      </c>
      <c r="L174" s="42">
        <f>(INT($E$25*8/$D174)-INT($E$25*(8-1)/$D174))*$C174/1000</f>
        <v>0.0</v>
      </c>
      <c r="M174" s="42">
        <f>(INT($E$25*9/$D174)-INT($E$25*(9-1)/$D174))*$C174/1000</f>
        <v>15.375350000000001</v>
      </c>
      <c r="N174" s="42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44" t="n">
        <v>4036.53</v>
      </c>
      <c r="D175" s="43" t="n">
        <v>15000</v>
      </c>
      <c r="E175" s="42">
        <f>(INT($E$25*1/$D175)-INT($E$25*(1-1)/$D175))*$C175/1000</f>
        <v>0.0</v>
      </c>
      <c r="F175" s="42">
        <f>(INT($E$25*2/$D175)-INT($E$25*(2-1)/$D175))*$C175/1000</f>
        <v>0.0</v>
      </c>
      <c r="G175" s="42">
        <f>(INT($E$25*3/$D175)-INT($E$25*(3-1)/$D175))*$C175/1000</f>
        <v>4.03653</v>
      </c>
      <c r="H175" s="42">
        <f>(INT($E$25*4/$D175)-INT($E$25*(4-1)/$D175))*$C175/1000</f>
        <v>0.0</v>
      </c>
      <c r="I175" s="42">
        <f>(INT($E$25*5/$D175)-INT($E$25*(5-1)/$D175))*$C175/1000</f>
        <v>4.03653</v>
      </c>
      <c r="J175" s="42">
        <f>(INT($E$25*6/$D175)-INT($E$25*(6-1)/$D175))*$C175/1000</f>
        <v>0.0</v>
      </c>
      <c r="K175" s="42">
        <f>(INT($E$25*7/$D175)-INT($E$25*(7-1)/$D175))*$C175/1000</f>
        <v>4.03653</v>
      </c>
      <c r="L175" s="42">
        <f>(INT($E$25*8/$D175)-INT($E$25*(8-1)/$D175))*$C175/1000</f>
        <v>0.0</v>
      </c>
      <c r="M175" s="42">
        <f>(INT($E$25*9/$D175)-INT($E$25*(9-1)/$D175))*$C175/1000</f>
        <v>4.03653</v>
      </c>
      <c r="N175" s="42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44" t="n">
        <v>65763.14</v>
      </c>
      <c r="D176" s="43" t="n">
        <v>15000</v>
      </c>
      <c r="E176" s="42">
        <f>(INT($E$25*1/$D176)-INT($E$25*(1-1)/$D176))*$C176/1000</f>
        <v>0.0</v>
      </c>
      <c r="F176" s="42">
        <f>(INT($E$25*2/$D176)-INT($E$25*(2-1)/$D176))*$C176/1000</f>
        <v>0.0</v>
      </c>
      <c r="G176" s="42">
        <f>(INT($E$25*3/$D176)-INT($E$25*(3-1)/$D176))*$C176/1000</f>
        <v>65.76313999999999</v>
      </c>
      <c r="H176" s="42">
        <f>(INT($E$25*4/$D176)-INT($E$25*(4-1)/$D176))*$C176/1000</f>
        <v>0.0</v>
      </c>
      <c r="I176" s="42">
        <f>(INT($E$25*5/$D176)-INT($E$25*(5-1)/$D176))*$C176/1000</f>
        <v>65.76313999999999</v>
      </c>
      <c r="J176" s="42">
        <f>(INT($E$25*6/$D176)-INT($E$25*(6-1)/$D176))*$C176/1000</f>
        <v>0.0</v>
      </c>
      <c r="K176" s="42">
        <f>(INT($E$25*7/$D176)-INT($E$25*(7-1)/$D176))*$C176/1000</f>
        <v>65.76313999999999</v>
      </c>
      <c r="L176" s="42">
        <f>(INT($E$25*8/$D176)-INT($E$25*(8-1)/$D176))*$C176/1000</f>
        <v>0.0</v>
      </c>
      <c r="M176" s="42">
        <f>(INT($E$25*9/$D176)-INT($E$25*(9-1)/$D176))*$C176/1000</f>
        <v>65.76313999999999</v>
      </c>
      <c r="N176" s="42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44" t="n">
        <v>229791.16</v>
      </c>
      <c r="D177" s="43" t="n">
        <v>22000</v>
      </c>
      <c r="E177" s="42">
        <f>(INT($E$25*1/$D177)-INT($E$25*(1-1)/$D177))*$C177/1000</f>
        <v>0.0</v>
      </c>
      <c r="F177" s="42">
        <f>(INT($E$25*2/$D177)-INT($E$25*(2-1)/$D177))*$C177/1000</f>
        <v>0.0</v>
      </c>
      <c r="G177" s="42">
        <f>(INT($E$25*3/$D177)-INT($E$25*(3-1)/$D177))*$C177/1000</f>
        <v>0.0</v>
      </c>
      <c r="H177" s="42">
        <f>(INT($E$25*4/$D177)-INT($E$25*(4-1)/$D177))*$C177/1000</f>
        <v>229.79116</v>
      </c>
      <c r="I177" s="42">
        <f>(INT($E$25*5/$D177)-INT($E$25*(5-1)/$D177))*$C177/1000</f>
        <v>0.0</v>
      </c>
      <c r="J177" s="42">
        <f>(INT($E$25*6/$D177)-INT($E$25*(6-1)/$D177))*$C177/1000</f>
        <v>0.0</v>
      </c>
      <c r="K177" s="42">
        <f>(INT($E$25*7/$D177)-INT($E$25*(7-1)/$D177))*$C177/1000</f>
        <v>229.79116</v>
      </c>
      <c r="L177" s="42">
        <f>(INT($E$25*8/$D177)-INT($E$25*(8-1)/$D177))*$C177/1000</f>
        <v>0.0</v>
      </c>
      <c r="M177" s="42">
        <f>(INT($E$25*9/$D177)-INT($E$25*(9-1)/$D177))*$C177/1000</f>
        <v>0.0</v>
      </c>
      <c r="N177" s="42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44" t="n">
        <v>1056.97</v>
      </c>
      <c r="D178" s="43" t="n">
        <v>6000</v>
      </c>
      <c r="E178" s="42">
        <f>(INT($E$25*1/$D178)-INT($E$25*(1-1)/$D178))*$C178/1000</f>
        <v>1.05697</v>
      </c>
      <c r="F178" s="42">
        <f>(INT($E$25*2/$D178)-INT($E$25*(2-1)/$D178))*$C178/1000</f>
        <v>1.05697</v>
      </c>
      <c r="G178" s="42">
        <f>(INT($E$25*3/$D178)-INT($E$25*(3-1)/$D178))*$C178/1000</f>
        <v>1.05697</v>
      </c>
      <c r="H178" s="42">
        <f>(INT($E$25*4/$D178)-INT($E$25*(4-1)/$D178))*$C178/1000</f>
        <v>1.05697</v>
      </c>
      <c r="I178" s="42">
        <f>(INT($E$25*5/$D178)-INT($E$25*(5-1)/$D178))*$C178/1000</f>
        <v>1.05697</v>
      </c>
      <c r="J178" s="42">
        <f>(INT($E$25*6/$D178)-INT($E$25*(6-1)/$D178))*$C178/1000</f>
        <v>2.11394</v>
      </c>
      <c r="K178" s="42">
        <f>(INT($E$25*7/$D178)-INT($E$25*(7-1)/$D178))*$C178/1000</f>
        <v>1.05697</v>
      </c>
      <c r="L178" s="42">
        <f>(INT($E$25*8/$D178)-INT($E$25*(8-1)/$D178))*$C178/1000</f>
        <v>1.05697</v>
      </c>
      <c r="M178" s="42">
        <f>(INT($E$25*9/$D178)-INT($E$25*(9-1)/$D178))*$C178/1000</f>
        <v>1.05697</v>
      </c>
      <c r="N178" s="42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44" t="n">
        <v>86.47</v>
      </c>
      <c r="D179" s="43" t="n">
        <v>6000</v>
      </c>
      <c r="E179" s="42">
        <f>(INT($E$25*1/$D179)-INT($E$25*(1-1)/$D179))*$C179/1000</f>
        <v>0.08647</v>
      </c>
      <c r="F179" s="42">
        <f>(INT($E$25*2/$D179)-INT($E$25*(2-1)/$D179))*$C179/1000</f>
        <v>0.08647</v>
      </c>
      <c r="G179" s="42">
        <f>(INT($E$25*3/$D179)-INT($E$25*(3-1)/$D179))*$C179/1000</f>
        <v>0.08647</v>
      </c>
      <c r="H179" s="42">
        <f>(INT($E$25*4/$D179)-INT($E$25*(4-1)/$D179))*$C179/1000</f>
        <v>0.08647</v>
      </c>
      <c r="I179" s="42">
        <f>(INT($E$25*5/$D179)-INT($E$25*(5-1)/$D179))*$C179/1000</f>
        <v>0.08647</v>
      </c>
      <c r="J179" s="42">
        <f>(INT($E$25*6/$D179)-INT($E$25*(6-1)/$D179))*$C179/1000</f>
        <v>0.17294</v>
      </c>
      <c r="K179" s="42">
        <f>(INT($E$25*7/$D179)-INT($E$25*(7-1)/$D179))*$C179/1000</f>
        <v>0.08647</v>
      </c>
      <c r="L179" s="42">
        <f>(INT($E$25*8/$D179)-INT($E$25*(8-1)/$D179))*$C179/1000</f>
        <v>0.08647</v>
      </c>
      <c r="M179" s="42">
        <f>(INT($E$25*9/$D179)-INT($E$25*(9-1)/$D179))*$C179/1000</f>
        <v>0.08647</v>
      </c>
      <c r="N179" s="42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44" t="n">
        <v>528.48</v>
      </c>
      <c r="D180" s="43" t="n">
        <v>6000</v>
      </c>
      <c r="E180" s="42">
        <f>(INT($E$25*1/$D180)-INT($E$25*(1-1)/$D180))*$C180/1000</f>
        <v>0.5284800000000001</v>
      </c>
      <c r="F180" s="42">
        <f>(INT($E$25*2/$D180)-INT($E$25*(2-1)/$D180))*$C180/1000</f>
        <v>0.5284800000000001</v>
      </c>
      <c r="G180" s="42">
        <f>(INT($E$25*3/$D180)-INT($E$25*(3-1)/$D180))*$C180/1000</f>
        <v>0.5284800000000001</v>
      </c>
      <c r="H180" s="42">
        <f>(INT($E$25*4/$D180)-INT($E$25*(4-1)/$D180))*$C180/1000</f>
        <v>0.5284800000000001</v>
      </c>
      <c r="I180" s="42">
        <f>(INT($E$25*5/$D180)-INT($E$25*(5-1)/$D180))*$C180/1000</f>
        <v>0.5284800000000001</v>
      </c>
      <c r="J180" s="42">
        <f>(INT($E$25*6/$D180)-INT($E$25*(6-1)/$D180))*$C180/1000</f>
        <v>1.0569600000000001</v>
      </c>
      <c r="K180" s="42">
        <f>(INT($E$25*7/$D180)-INT($E$25*(7-1)/$D180))*$C180/1000</f>
        <v>0.5284800000000001</v>
      </c>
      <c r="L180" s="42">
        <f>(INT($E$25*8/$D180)-INT($E$25*(8-1)/$D180))*$C180/1000</f>
        <v>0.5284800000000001</v>
      </c>
      <c r="M180" s="42">
        <f>(INT($E$25*9/$D180)-INT($E$25*(9-1)/$D180))*$C180/1000</f>
        <v>0.5284800000000001</v>
      </c>
      <c r="N180" s="42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44" t="n">
        <v>102.84</v>
      </c>
      <c r="D181" s="43" t="n">
        <v>6000</v>
      </c>
      <c r="E181" s="42">
        <f>(INT($E$25*1/$D181)-INT($E$25*(1-1)/$D181))*$C181/1000</f>
        <v>0.10284</v>
      </c>
      <c r="F181" s="42">
        <f>(INT($E$25*2/$D181)-INT($E$25*(2-1)/$D181))*$C181/1000</f>
        <v>0.10284</v>
      </c>
      <c r="G181" s="42">
        <f>(INT($E$25*3/$D181)-INT($E$25*(3-1)/$D181))*$C181/1000</f>
        <v>0.10284</v>
      </c>
      <c r="H181" s="42">
        <f>(INT($E$25*4/$D181)-INT($E$25*(4-1)/$D181))*$C181/1000</f>
        <v>0.10284</v>
      </c>
      <c r="I181" s="42">
        <f>(INT($E$25*5/$D181)-INT($E$25*(5-1)/$D181))*$C181/1000</f>
        <v>0.10284</v>
      </c>
      <c r="J181" s="42">
        <f>(INT($E$25*6/$D181)-INT($E$25*(6-1)/$D181))*$C181/1000</f>
        <v>0.20568</v>
      </c>
      <c r="K181" s="42">
        <f>(INT($E$25*7/$D181)-INT($E$25*(7-1)/$D181))*$C181/1000</f>
        <v>0.10284</v>
      </c>
      <c r="L181" s="42">
        <f>(INT($E$25*8/$D181)-INT($E$25*(8-1)/$D181))*$C181/1000</f>
        <v>0.10284</v>
      </c>
      <c r="M181" s="42">
        <f>(INT($E$25*9/$D181)-INT($E$25*(9-1)/$D181))*$C181/1000</f>
        <v>0.10284</v>
      </c>
      <c r="N181" s="42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44" t="n">
        <v>9255.559999999999</v>
      </c>
      <c r="D182" s="43" t="n">
        <v>12000</v>
      </c>
      <c r="E182" s="42">
        <f>(INT($E$25*1/$D182)-INT($E$25*(1-1)/$D182))*$C182/1000</f>
        <v>0.0</v>
      </c>
      <c r="F182" s="42">
        <f>(INT($E$25*2/$D182)-INT($E$25*(2-1)/$D182))*$C182/1000</f>
        <v>9.25556</v>
      </c>
      <c r="G182" s="42">
        <f>(INT($E$25*3/$D182)-INT($E$25*(3-1)/$D182))*$C182/1000</f>
        <v>0.0</v>
      </c>
      <c r="H182" s="42">
        <f>(INT($E$25*4/$D182)-INT($E$25*(4-1)/$D182))*$C182/1000</f>
        <v>9.25556</v>
      </c>
      <c r="I182" s="42">
        <f>(INT($E$25*5/$D182)-INT($E$25*(5-1)/$D182))*$C182/1000</f>
        <v>0.0</v>
      </c>
      <c r="J182" s="42">
        <f>(INT($E$25*6/$D182)-INT($E$25*(6-1)/$D182))*$C182/1000</f>
        <v>9.25556</v>
      </c>
      <c r="K182" s="42">
        <f>(INT($E$25*7/$D182)-INT($E$25*(7-1)/$D182))*$C182/1000</f>
        <v>9.25556</v>
      </c>
      <c r="L182" s="42">
        <f>(INT($E$25*8/$D182)-INT($E$25*(8-1)/$D182))*$C182/1000</f>
        <v>0.0</v>
      </c>
      <c r="M182" s="42">
        <f>(INT($E$25*9/$D182)-INT($E$25*(9-1)/$D182))*$C182/1000</f>
        <v>9.25556</v>
      </c>
      <c r="N182" s="42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44" t="n">
        <v>5299.62</v>
      </c>
      <c r="D183" s="43" t="n">
        <v>15000</v>
      </c>
      <c r="E183" s="42">
        <f>(INT($E$25*1/$D183)-INT($E$25*(1-1)/$D183))*$C183/1000</f>
        <v>0.0</v>
      </c>
      <c r="F183" s="42">
        <f>(INT($E$25*2/$D183)-INT($E$25*(2-1)/$D183))*$C183/1000</f>
        <v>0.0</v>
      </c>
      <c r="G183" s="42">
        <f>(INT($E$25*3/$D183)-INT($E$25*(3-1)/$D183))*$C183/1000</f>
        <v>5.29962</v>
      </c>
      <c r="H183" s="42">
        <f>(INT($E$25*4/$D183)-INT($E$25*(4-1)/$D183))*$C183/1000</f>
        <v>0.0</v>
      </c>
      <c r="I183" s="42">
        <f>(INT($E$25*5/$D183)-INT($E$25*(5-1)/$D183))*$C183/1000</f>
        <v>5.29962</v>
      </c>
      <c r="J183" s="42">
        <f>(INT($E$25*6/$D183)-INT($E$25*(6-1)/$D183))*$C183/1000</f>
        <v>0.0</v>
      </c>
      <c r="K183" s="42">
        <f>(INT($E$25*7/$D183)-INT($E$25*(7-1)/$D183))*$C183/1000</f>
        <v>5.29962</v>
      </c>
      <c r="L183" s="42">
        <f>(INT($E$25*8/$D183)-INT($E$25*(8-1)/$D183))*$C183/1000</f>
        <v>0.0</v>
      </c>
      <c r="M183" s="42">
        <f>(INT($E$25*9/$D183)-INT($E$25*(9-1)/$D183))*$C183/1000</f>
        <v>5.29962</v>
      </c>
      <c r="N183" s="42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44" t="n">
        <v>2066.45</v>
      </c>
      <c r="D184" s="43" t="n">
        <v>12000</v>
      </c>
      <c r="E184" s="42">
        <f>(INT($E$25*1/$D184)-INT($E$25*(1-1)/$D184))*$C184/1000</f>
        <v>0.0</v>
      </c>
      <c r="F184" s="42">
        <f>(INT($E$25*2/$D184)-INT($E$25*(2-1)/$D184))*$C184/1000</f>
        <v>2.0664499999999997</v>
      </c>
      <c r="G184" s="42">
        <f>(INT($E$25*3/$D184)-INT($E$25*(3-1)/$D184))*$C184/1000</f>
        <v>0.0</v>
      </c>
      <c r="H184" s="42">
        <f>(INT($E$25*4/$D184)-INT($E$25*(4-1)/$D184))*$C184/1000</f>
        <v>2.0664499999999997</v>
      </c>
      <c r="I184" s="42">
        <f>(INT($E$25*5/$D184)-INT($E$25*(5-1)/$D184))*$C184/1000</f>
        <v>0.0</v>
      </c>
      <c r="J184" s="42">
        <f>(INT($E$25*6/$D184)-INT($E$25*(6-1)/$D184))*$C184/1000</f>
        <v>2.0664499999999997</v>
      </c>
      <c r="K184" s="42">
        <f>(INT($E$25*7/$D184)-INT($E$25*(7-1)/$D184))*$C184/1000</f>
        <v>2.0664499999999997</v>
      </c>
      <c r="L184" s="42">
        <f>(INT($E$25*8/$D184)-INT($E$25*(8-1)/$D184))*$C184/1000</f>
        <v>0.0</v>
      </c>
      <c r="M184" s="42">
        <f>(INT($E$25*9/$D184)-INT($E$25*(9-1)/$D184))*$C184/1000</f>
        <v>2.0664499999999997</v>
      </c>
      <c r="N184" s="42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44" t="n">
        <v>2940.89</v>
      </c>
      <c r="D185" s="43" t="n">
        <v>8000</v>
      </c>
      <c r="E185" s="42">
        <f>(INT($E$25*1/$D185)-INT($E$25*(1-1)/$D185))*$C185/1000</f>
        <v>0.0</v>
      </c>
      <c r="F185" s="42">
        <f>(INT($E$25*2/$D185)-INT($E$25*(2-1)/$D185))*$C185/1000</f>
        <v>2.94089</v>
      </c>
      <c r="G185" s="42">
        <f>(INT($E$25*3/$D185)-INT($E$25*(3-1)/$D185))*$C185/1000</f>
        <v>2.94089</v>
      </c>
      <c r="H185" s="42">
        <f>(INT($E$25*4/$D185)-INT($E$25*(4-1)/$D185))*$C185/1000</f>
        <v>2.94089</v>
      </c>
      <c r="I185" s="42">
        <f>(INT($E$25*5/$D185)-INT($E$25*(5-1)/$D185))*$C185/1000</f>
        <v>2.94089</v>
      </c>
      <c r="J185" s="42">
        <f>(INT($E$25*6/$D185)-INT($E$25*(6-1)/$D185))*$C185/1000</f>
        <v>2.94089</v>
      </c>
      <c r="K185" s="42">
        <f>(INT($E$25*7/$D185)-INT($E$25*(7-1)/$D185))*$C185/1000</f>
        <v>2.94089</v>
      </c>
      <c r="L185" s="42">
        <f>(INT($E$25*8/$D185)-INT($E$25*(8-1)/$D185))*$C185/1000</f>
        <v>2.94089</v>
      </c>
      <c r="M185" s="42">
        <f>(INT($E$25*9/$D185)-INT($E$25*(9-1)/$D185))*$C185/1000</f>
        <v>0.0</v>
      </c>
      <c r="N185" s="42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44" t="n">
        <v>3810.03</v>
      </c>
      <c r="D186" s="43" t="n">
        <v>15000</v>
      </c>
      <c r="E186" s="42">
        <f>(INT($E$25*1/$D186)-INT($E$25*(1-1)/$D186))*$C186/1000</f>
        <v>0.0</v>
      </c>
      <c r="F186" s="42">
        <f>(INT($E$25*2/$D186)-INT($E$25*(2-1)/$D186))*$C186/1000</f>
        <v>0.0</v>
      </c>
      <c r="G186" s="42">
        <f>(INT($E$25*3/$D186)-INT($E$25*(3-1)/$D186))*$C186/1000</f>
        <v>3.8100300000000002</v>
      </c>
      <c r="H186" s="42">
        <f>(INT($E$25*4/$D186)-INT($E$25*(4-1)/$D186))*$C186/1000</f>
        <v>0.0</v>
      </c>
      <c r="I186" s="42">
        <f>(INT($E$25*5/$D186)-INT($E$25*(5-1)/$D186))*$C186/1000</f>
        <v>3.8100300000000002</v>
      </c>
      <c r="J186" s="42">
        <f>(INT($E$25*6/$D186)-INT($E$25*(6-1)/$D186))*$C186/1000</f>
        <v>0.0</v>
      </c>
      <c r="K186" s="42">
        <f>(INT($E$25*7/$D186)-INT($E$25*(7-1)/$D186))*$C186/1000</f>
        <v>3.8100300000000002</v>
      </c>
      <c r="L186" s="42">
        <f>(INT($E$25*8/$D186)-INT($E$25*(8-1)/$D186))*$C186/1000</f>
        <v>0.0</v>
      </c>
      <c r="M186" s="42">
        <f>(INT($E$25*9/$D186)-INT($E$25*(9-1)/$D186))*$C186/1000</f>
        <v>3.8100300000000002</v>
      </c>
      <c r="N186" s="42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44" t="n">
        <v>1497.69</v>
      </c>
      <c r="D187" s="43" t="n">
        <v>15000</v>
      </c>
      <c r="E187" s="42">
        <f>(INT($E$25*1/$D187)-INT($E$25*(1-1)/$D187))*$C187/1000</f>
        <v>0.0</v>
      </c>
      <c r="F187" s="42">
        <f>(INT($E$25*2/$D187)-INT($E$25*(2-1)/$D187))*$C187/1000</f>
        <v>0.0</v>
      </c>
      <c r="G187" s="42">
        <f>(INT($E$25*3/$D187)-INT($E$25*(3-1)/$D187))*$C187/1000</f>
        <v>1.49769</v>
      </c>
      <c r="H187" s="42">
        <f>(INT($E$25*4/$D187)-INT($E$25*(4-1)/$D187))*$C187/1000</f>
        <v>0.0</v>
      </c>
      <c r="I187" s="42">
        <f>(INT($E$25*5/$D187)-INT($E$25*(5-1)/$D187))*$C187/1000</f>
        <v>1.49769</v>
      </c>
      <c r="J187" s="42">
        <f>(INT($E$25*6/$D187)-INT($E$25*(6-1)/$D187))*$C187/1000</f>
        <v>0.0</v>
      </c>
      <c r="K187" s="42">
        <f>(INT($E$25*7/$D187)-INT($E$25*(7-1)/$D187))*$C187/1000</f>
        <v>1.49769</v>
      </c>
      <c r="L187" s="42">
        <f>(INT($E$25*8/$D187)-INT($E$25*(8-1)/$D187))*$C187/1000</f>
        <v>0.0</v>
      </c>
      <c r="M187" s="42">
        <f>(INT($E$25*9/$D187)-INT($E$25*(9-1)/$D187))*$C187/1000</f>
        <v>1.49769</v>
      </c>
      <c r="N187" s="42">
        <f>(INT($E$25*10/$D187)-INT($E$25*(10-1)/$D187))*$C187/1000</f>
        <v>0.0</v>
      </c>
    </row>
    <row r="188">
      <c r="B188" s="45" t="inlineStr">
        <is>
          <t>ИТОГО</t>
        </is>
      </c>
      <c r="E188" s="42">
        <f>SUM(E129:E187)</f>
        <v>7.382379999999999</v>
      </c>
      <c r="F188" s="42">
        <f>SUM(F129:F187)</f>
        <v>204.26495</v>
      </c>
      <c r="G188" s="42">
        <f>SUM(G129:G187)</f>
        <v>438.81584</v>
      </c>
      <c r="H188" s="42">
        <f>SUM(H129:H187)</f>
        <v>434.86339000000004</v>
      </c>
      <c r="I188" s="42">
        <f>SUM(I129:I187)</f>
        <v>610.36746</v>
      </c>
      <c r="J188" s="42">
        <f>SUM(J129:J187)</f>
        <v>366.36175000000003</v>
      </c>
      <c r="K188" s="42">
        <f>SUM(K129:K187)</f>
        <v>590.25823</v>
      </c>
      <c r="L188" s="42">
        <f>SUM(L129:L187)</f>
        <v>224.66392</v>
      </c>
      <c r="M188" s="42">
        <f>SUM(M129:M187)</f>
        <v>774.55654</v>
      </c>
      <c r="N188" s="42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44" t="n">
        <v>8</v>
      </c>
      <c r="D192" s="43" t="n">
        <v>12000</v>
      </c>
      <c r="E192" s="42">
        <f>(INT($E$25*1/$D192)-INT($E$25*(1-1)/$D192))*$C192</f>
        <v>0.0</v>
      </c>
      <c r="F192" s="42">
        <f>(INT($E$25*2/$D192)-INT($E$25*(2-1)/$D192))*$C192</f>
        <v>8.0</v>
      </c>
      <c r="G192" s="42">
        <f>(INT($E$25*3/$D192)-INT($E$25*(3-1)/$D192))*$C192</f>
        <v>0.0</v>
      </c>
      <c r="H192" s="42">
        <f>(INT($E$25*4/$D192)-INT($E$25*(4-1)/$D192))*$C192</f>
        <v>8.0</v>
      </c>
      <c r="I192" s="42">
        <f>(INT($E$25*5/$D192)-INT($E$25*(5-1)/$D192))*$C192</f>
        <v>0.0</v>
      </c>
      <c r="J192" s="42">
        <f>(INT($E$25*6/$D192)-INT($E$25*(6-1)/$D192))*$C192</f>
        <v>8.0</v>
      </c>
      <c r="K192" s="42">
        <f>(INT($E$25*7/$D192)-INT($E$25*(7-1)/$D192))*$C192</f>
        <v>8.0</v>
      </c>
      <c r="L192" s="42">
        <f>(INT($E$25*8/$D192)-INT($E$25*(8-1)/$D192))*$C192</f>
        <v>0.0</v>
      </c>
      <c r="M192" s="42">
        <f>(INT($E$25*9/$D192)-INT($E$25*(9-1)/$D192))*$C192</f>
        <v>8.0</v>
      </c>
      <c r="N192" s="42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44" t="n">
        <v>10</v>
      </c>
      <c r="D193" s="43" t="n">
        <v>11000</v>
      </c>
      <c r="E193" s="42">
        <f>(INT($E$25*1/$D193)-INT($E$25*(1-1)/$D193))*$C193</f>
        <v>0.0</v>
      </c>
      <c r="F193" s="42">
        <f>(INT($E$25*2/$D193)-INT($E$25*(2-1)/$D193))*$C193</f>
        <v>10.0</v>
      </c>
      <c r="G193" s="42">
        <f>(INT($E$25*3/$D193)-INT($E$25*(3-1)/$D193))*$C193</f>
        <v>0.0</v>
      </c>
      <c r="H193" s="42">
        <f>(INT($E$25*4/$D193)-INT($E$25*(4-1)/$D193))*$C193</f>
        <v>10.0</v>
      </c>
      <c r="I193" s="42">
        <f>(INT($E$25*5/$D193)-INT($E$25*(5-1)/$D193))*$C193</f>
        <v>10.0</v>
      </c>
      <c r="J193" s="42">
        <f>(INT($E$25*6/$D193)-INT($E$25*(6-1)/$D193))*$C193</f>
        <v>0.0</v>
      </c>
      <c r="K193" s="42">
        <f>(INT($E$25*7/$D193)-INT($E$25*(7-1)/$D193))*$C193</f>
        <v>10.0</v>
      </c>
      <c r="L193" s="42">
        <f>(INT($E$25*8/$D193)-INT($E$25*(8-1)/$D193))*$C193</f>
        <v>10.0</v>
      </c>
      <c r="M193" s="42">
        <f>(INT($E$25*9/$D193)-INT($E$25*(9-1)/$D193))*$C193</f>
        <v>0.0</v>
      </c>
      <c r="N193" s="42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44" t="n">
        <v>2</v>
      </c>
      <c r="D194" s="43" t="n">
        <v>12000</v>
      </c>
      <c r="E194" s="42">
        <f>(INT($E$25*1/$D194)-INT($E$25*(1-1)/$D194))*$C194</f>
        <v>0.0</v>
      </c>
      <c r="F194" s="42">
        <f>(INT($E$25*2/$D194)-INT($E$25*(2-1)/$D194))*$C194</f>
        <v>2.0</v>
      </c>
      <c r="G194" s="42">
        <f>(INT($E$25*3/$D194)-INT($E$25*(3-1)/$D194))*$C194</f>
        <v>0.0</v>
      </c>
      <c r="H194" s="42">
        <f>(INT($E$25*4/$D194)-INT($E$25*(4-1)/$D194))*$C194</f>
        <v>2.0</v>
      </c>
      <c r="I194" s="42">
        <f>(INT($E$25*5/$D194)-INT($E$25*(5-1)/$D194))*$C194</f>
        <v>0.0</v>
      </c>
      <c r="J194" s="42">
        <f>(INT($E$25*6/$D194)-INT($E$25*(6-1)/$D194))*$C194</f>
        <v>2.0</v>
      </c>
      <c r="K194" s="42">
        <f>(INT($E$25*7/$D194)-INT($E$25*(7-1)/$D194))*$C194</f>
        <v>2.0</v>
      </c>
      <c r="L194" s="42">
        <f>(INT($E$25*8/$D194)-INT($E$25*(8-1)/$D194))*$C194</f>
        <v>0.0</v>
      </c>
      <c r="M194" s="42">
        <f>(INT($E$25*9/$D194)-INT($E$25*(9-1)/$D194))*$C194</f>
        <v>2.0</v>
      </c>
      <c r="N194" s="42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44" t="n">
        <v>3.5</v>
      </c>
      <c r="D195" s="43" t="n">
        <v>8000</v>
      </c>
      <c r="E195" s="42">
        <f>(INT($E$25*1/$D195)-INT($E$25*(1-1)/$D195))*$C195</f>
        <v>0.0</v>
      </c>
      <c r="F195" s="42">
        <f>(INT($E$25*2/$D195)-INT($E$25*(2-1)/$D195))*$C195</f>
        <v>3.5</v>
      </c>
      <c r="G195" s="42">
        <f>(INT($E$25*3/$D195)-INT($E$25*(3-1)/$D195))*$C195</f>
        <v>3.5</v>
      </c>
      <c r="H195" s="42">
        <f>(INT($E$25*4/$D195)-INT($E$25*(4-1)/$D195))*$C195</f>
        <v>3.5</v>
      </c>
      <c r="I195" s="42">
        <f>(INT($E$25*5/$D195)-INT($E$25*(5-1)/$D195))*$C195</f>
        <v>3.5</v>
      </c>
      <c r="J195" s="42">
        <f>(INT($E$25*6/$D195)-INT($E$25*(6-1)/$D195))*$C195</f>
        <v>3.5</v>
      </c>
      <c r="K195" s="42">
        <f>(INT($E$25*7/$D195)-INT($E$25*(7-1)/$D195))*$C195</f>
        <v>3.5</v>
      </c>
      <c r="L195" s="42">
        <f>(INT($E$25*8/$D195)-INT($E$25*(8-1)/$D195))*$C195</f>
        <v>3.5</v>
      </c>
      <c r="M195" s="42">
        <f>(INT($E$25*9/$D195)-INT($E$25*(9-1)/$D195))*$C195</f>
        <v>0.0</v>
      </c>
      <c r="N195" s="42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44" t="n">
        <v>2.3</v>
      </c>
      <c r="D196" s="43" t="n">
        <v>25000</v>
      </c>
      <c r="E196" s="42">
        <f>(INT($E$25*1/$D196)-INT($E$25*(1-1)/$D196))*$C196</f>
        <v>0.0</v>
      </c>
      <c r="F196" s="42">
        <f>(INT($E$25*2/$D196)-INT($E$25*(2-1)/$D196))*$C196</f>
        <v>0.0</v>
      </c>
      <c r="G196" s="42">
        <f>(INT($E$25*3/$D196)-INT($E$25*(3-1)/$D196))*$C196</f>
        <v>0.0</v>
      </c>
      <c r="H196" s="42">
        <f>(INT($E$25*4/$D196)-INT($E$25*(4-1)/$D196))*$C196</f>
        <v>2.3</v>
      </c>
      <c r="I196" s="42">
        <f>(INT($E$25*5/$D196)-INT($E$25*(5-1)/$D196))*$C196</f>
        <v>0.0</v>
      </c>
      <c r="J196" s="42">
        <f>(INT($E$25*6/$D196)-INT($E$25*(6-1)/$D196))*$C196</f>
        <v>0.0</v>
      </c>
      <c r="K196" s="42">
        <f>(INT($E$25*7/$D196)-INT($E$25*(7-1)/$D196))*$C196</f>
        <v>0.0</v>
      </c>
      <c r="L196" s="42">
        <f>(INT($E$25*8/$D196)-INT($E$25*(8-1)/$D196))*$C196</f>
        <v>2.3</v>
      </c>
      <c r="M196" s="42">
        <f>(INT($E$25*9/$D196)-INT($E$25*(9-1)/$D196))*$C196</f>
        <v>0.0</v>
      </c>
      <c r="N196" s="42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44" t="n">
        <v>1.9</v>
      </c>
      <c r="D197" s="43" t="n">
        <v>22000</v>
      </c>
      <c r="E197" s="42">
        <f>(INT($E$25*1/$D197)-INT($E$25*(1-1)/$D197))*$C197</f>
        <v>0.0</v>
      </c>
      <c r="F197" s="42">
        <f>(INT($E$25*2/$D197)-INT($E$25*(2-1)/$D197))*$C197</f>
        <v>0.0</v>
      </c>
      <c r="G197" s="42">
        <f>(INT($E$25*3/$D197)-INT($E$25*(3-1)/$D197))*$C197</f>
        <v>0.0</v>
      </c>
      <c r="H197" s="42">
        <f>(INT($E$25*4/$D197)-INT($E$25*(4-1)/$D197))*$C197</f>
        <v>1.9</v>
      </c>
      <c r="I197" s="42">
        <f>(INT($E$25*5/$D197)-INT($E$25*(5-1)/$D197))*$C197</f>
        <v>0.0</v>
      </c>
      <c r="J197" s="42">
        <f>(INT($E$25*6/$D197)-INT($E$25*(6-1)/$D197))*$C197</f>
        <v>0.0</v>
      </c>
      <c r="K197" s="42">
        <f>(INT($E$25*7/$D197)-INT($E$25*(7-1)/$D197))*$C197</f>
        <v>1.9</v>
      </c>
      <c r="L197" s="42">
        <f>(INT($E$25*8/$D197)-INT($E$25*(8-1)/$D197))*$C197</f>
        <v>0.0</v>
      </c>
      <c r="M197" s="42">
        <f>(INT($E$25*9/$D197)-INT($E$25*(9-1)/$D197))*$C197</f>
        <v>0.0</v>
      </c>
      <c r="N197" s="42">
        <f>(INT($E$25*10/$D197)-INT($E$25*(10-1)/$D197))*$C197</f>
        <v>1.9</v>
      </c>
    </row>
    <row r="198">
      <c r="B198" s="22" t="inlineStr">
        <is>
          <t>VALVE,REGEN-HP (клапан)</t>
        </is>
      </c>
      <c r="C198" s="44" t="n">
        <v>1.5</v>
      </c>
      <c r="D198" s="43" t="n">
        <v>15000</v>
      </c>
      <c r="E198" s="42">
        <f>(INT($E$25*1/$D198)-INT($E$25*(1-1)/$D198))*$C198</f>
        <v>0.0</v>
      </c>
      <c r="F198" s="42">
        <f>(INT($E$25*2/$D198)-INT($E$25*(2-1)/$D198))*$C198</f>
        <v>0.0</v>
      </c>
      <c r="G198" s="42">
        <f>(INT($E$25*3/$D198)-INT($E$25*(3-1)/$D198))*$C198</f>
        <v>1.5</v>
      </c>
      <c r="H198" s="42">
        <f>(INT($E$25*4/$D198)-INT($E$25*(4-1)/$D198))*$C198</f>
        <v>0.0</v>
      </c>
      <c r="I198" s="42">
        <f>(INT($E$25*5/$D198)-INT($E$25*(5-1)/$D198))*$C198</f>
        <v>1.5</v>
      </c>
      <c r="J198" s="42">
        <f>(INT($E$25*6/$D198)-INT($E$25*(6-1)/$D198))*$C198</f>
        <v>0.0</v>
      </c>
      <c r="K198" s="42">
        <f>(INT($E$25*7/$D198)-INT($E$25*(7-1)/$D198))*$C198</f>
        <v>1.5</v>
      </c>
      <c r="L198" s="42">
        <f>(INT($E$25*8/$D198)-INT($E$25*(8-1)/$D198))*$C198</f>
        <v>0.0</v>
      </c>
      <c r="M198" s="42">
        <f>(INT($E$25*9/$D198)-INT($E$25*(9-1)/$D198))*$C198</f>
        <v>1.5</v>
      </c>
      <c r="N198" s="42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44" t="n">
        <v>10</v>
      </c>
      <c r="D199" s="43" t="n">
        <v>12500</v>
      </c>
      <c r="E199" s="42">
        <f>(INT($E$25*1/$D199)-INT($E$25*(1-1)/$D199))*$C199</f>
        <v>0.0</v>
      </c>
      <c r="F199" s="42">
        <f>(INT($E$25*2/$D199)-INT($E$25*(2-1)/$D199))*$C199</f>
        <v>10.0</v>
      </c>
      <c r="G199" s="42">
        <f>(INT($E$25*3/$D199)-INT($E$25*(3-1)/$D199))*$C199</f>
        <v>0.0</v>
      </c>
      <c r="H199" s="42">
        <f>(INT($E$25*4/$D199)-INT($E$25*(4-1)/$D199))*$C199</f>
        <v>10.0</v>
      </c>
      <c r="I199" s="42">
        <f>(INT($E$25*5/$D199)-INT($E$25*(5-1)/$D199))*$C199</f>
        <v>0.0</v>
      </c>
      <c r="J199" s="42">
        <f>(INT($E$25*6/$D199)-INT($E$25*(6-1)/$D199))*$C199</f>
        <v>10.0</v>
      </c>
      <c r="K199" s="42">
        <f>(INT($E$25*7/$D199)-INT($E$25*(7-1)/$D199))*$C199</f>
        <v>0.0</v>
      </c>
      <c r="L199" s="42">
        <f>(INT($E$25*8/$D199)-INT($E$25*(8-1)/$D199))*$C199</f>
        <v>10.0</v>
      </c>
      <c r="M199" s="42">
        <f>(INT($E$25*9/$D199)-INT($E$25*(9-1)/$D199))*$C199</f>
        <v>10.0</v>
      </c>
      <c r="N199" s="42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44" t="n">
        <v>0.8</v>
      </c>
      <c r="D200" s="43" t="n">
        <v>18000</v>
      </c>
      <c r="E200" s="42">
        <f>(INT($E$25*1/$D200)-INT($E$25*(1-1)/$D200))*$C200</f>
        <v>0.0</v>
      </c>
      <c r="F200" s="42">
        <f>(INT($E$25*2/$D200)-INT($E$25*(2-1)/$D200))*$C200</f>
        <v>0.0</v>
      </c>
      <c r="G200" s="42">
        <f>(INT($E$25*3/$D200)-INT($E$25*(3-1)/$D200))*$C200</f>
        <v>0.8</v>
      </c>
      <c r="H200" s="42">
        <f>(INT($E$25*4/$D200)-INT($E$25*(4-1)/$D200))*$C200</f>
        <v>0.0</v>
      </c>
      <c r="I200" s="42">
        <f>(INT($E$25*5/$D200)-INT($E$25*(5-1)/$D200))*$C200</f>
        <v>0.0</v>
      </c>
      <c r="J200" s="42">
        <f>(INT($E$25*6/$D200)-INT($E$25*(6-1)/$D200))*$C200</f>
        <v>0.8</v>
      </c>
      <c r="K200" s="42">
        <f>(INT($E$25*7/$D200)-INT($E$25*(7-1)/$D200))*$C200</f>
        <v>0.0</v>
      </c>
      <c r="L200" s="42">
        <f>(INT($E$25*8/$D200)-INT($E$25*(8-1)/$D200))*$C200</f>
        <v>0.8</v>
      </c>
      <c r="M200" s="42">
        <f>(INT($E$25*9/$D200)-INT($E$25*(9-1)/$D200))*$C200</f>
        <v>0.0</v>
      </c>
      <c r="N200" s="42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44" t="n">
        <v>5</v>
      </c>
      <c r="D201" s="43" t="n">
        <v>25000</v>
      </c>
      <c r="E201" s="42">
        <f>(INT($E$25*1/$D201)-INT($E$25*(1-1)/$D201))*$C201</f>
        <v>0.0</v>
      </c>
      <c r="F201" s="42">
        <f>(INT($E$25*2/$D201)-INT($E$25*(2-1)/$D201))*$C201</f>
        <v>0.0</v>
      </c>
      <c r="G201" s="42">
        <f>(INT($E$25*3/$D201)-INT($E$25*(3-1)/$D201))*$C201</f>
        <v>0.0</v>
      </c>
      <c r="H201" s="42">
        <f>(INT($E$25*4/$D201)-INT($E$25*(4-1)/$D201))*$C201</f>
        <v>5.0</v>
      </c>
      <c r="I201" s="42">
        <f>(INT($E$25*5/$D201)-INT($E$25*(5-1)/$D201))*$C201</f>
        <v>0.0</v>
      </c>
      <c r="J201" s="42">
        <f>(INT($E$25*6/$D201)-INT($E$25*(6-1)/$D201))*$C201</f>
        <v>0.0</v>
      </c>
      <c r="K201" s="42">
        <f>(INT($E$25*7/$D201)-INT($E$25*(7-1)/$D201))*$C201</f>
        <v>0.0</v>
      </c>
      <c r="L201" s="42">
        <f>(INT($E$25*8/$D201)-INT($E$25*(8-1)/$D201))*$C201</f>
        <v>5.0</v>
      </c>
      <c r="M201" s="42">
        <f>(INT($E$25*9/$D201)-INT($E$25*(9-1)/$D201))*$C201</f>
        <v>0.0</v>
      </c>
      <c r="N201" s="42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44" t="n">
        <v>2</v>
      </c>
      <c r="D202" s="43" t="n">
        <v>15100</v>
      </c>
      <c r="E202" s="42">
        <f>(INT($E$25*1/$D202)-INT($E$25*(1-1)/$D202))*$C202</f>
        <v>0.0</v>
      </c>
      <c r="F202" s="42">
        <f>(INT($E$25*2/$D202)-INT($E$25*(2-1)/$D202))*$C202</f>
        <v>0.0</v>
      </c>
      <c r="G202" s="42">
        <f>(INT($E$25*3/$D202)-INT($E$25*(3-1)/$D202))*$C202</f>
        <v>2.0</v>
      </c>
      <c r="H202" s="42">
        <f>(INT($E$25*4/$D202)-INT($E$25*(4-1)/$D202))*$C202</f>
        <v>0.0</v>
      </c>
      <c r="I202" s="42">
        <f>(INT($E$25*5/$D202)-INT($E$25*(5-1)/$D202))*$C202</f>
        <v>2.0</v>
      </c>
      <c r="J202" s="42">
        <f>(INT($E$25*6/$D202)-INT($E$25*(6-1)/$D202))*$C202</f>
        <v>0.0</v>
      </c>
      <c r="K202" s="42">
        <f>(INT($E$25*7/$D202)-INT($E$25*(7-1)/$D202))*$C202</f>
        <v>2.0</v>
      </c>
      <c r="L202" s="42">
        <f>(INT($E$25*8/$D202)-INT($E$25*(8-1)/$D202))*$C202</f>
        <v>0.0</v>
      </c>
      <c r="M202" s="42">
        <f>(INT($E$25*9/$D202)-INT($E$25*(9-1)/$D202))*$C202</f>
        <v>2.0</v>
      </c>
      <c r="N202" s="42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44" t="n">
        <v>2</v>
      </c>
      <c r="D203" s="43" t="n">
        <v>15100</v>
      </c>
      <c r="E203" s="42">
        <f>(INT($E$25*1/$D203)-INT($E$25*(1-1)/$D203))*$C203</f>
        <v>0.0</v>
      </c>
      <c r="F203" s="42">
        <f>(INT($E$25*2/$D203)-INT($E$25*(2-1)/$D203))*$C203</f>
        <v>0.0</v>
      </c>
      <c r="G203" s="42">
        <f>(INT($E$25*3/$D203)-INT($E$25*(3-1)/$D203))*$C203</f>
        <v>2.0</v>
      </c>
      <c r="H203" s="42">
        <f>(INT($E$25*4/$D203)-INT($E$25*(4-1)/$D203))*$C203</f>
        <v>0.0</v>
      </c>
      <c r="I203" s="42">
        <f>(INT($E$25*5/$D203)-INT($E$25*(5-1)/$D203))*$C203</f>
        <v>2.0</v>
      </c>
      <c r="J203" s="42">
        <f>(INT($E$25*6/$D203)-INT($E$25*(6-1)/$D203))*$C203</f>
        <v>0.0</v>
      </c>
      <c r="K203" s="42">
        <f>(INT($E$25*7/$D203)-INT($E$25*(7-1)/$D203))*$C203</f>
        <v>2.0</v>
      </c>
      <c r="L203" s="42">
        <f>(INT($E$25*8/$D203)-INT($E$25*(8-1)/$D203))*$C203</f>
        <v>0.0</v>
      </c>
      <c r="M203" s="42">
        <f>(INT($E$25*9/$D203)-INT($E$25*(9-1)/$D203))*$C203</f>
        <v>2.0</v>
      </c>
      <c r="N203" s="42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44" t="n">
        <v>3.5</v>
      </c>
      <c r="D204" s="43" t="n">
        <v>10100</v>
      </c>
      <c r="E204" s="42">
        <f>(INT($E$25*1/$D204)-INT($E$25*(1-1)/$D204))*$C204</f>
        <v>0.0</v>
      </c>
      <c r="F204" s="42">
        <f>(INT($E$25*2/$D204)-INT($E$25*(2-1)/$D204))*$C204</f>
        <v>3.5</v>
      </c>
      <c r="G204" s="42">
        <f>(INT($E$25*3/$D204)-INT($E$25*(3-1)/$D204))*$C204</f>
        <v>3.5</v>
      </c>
      <c r="H204" s="42">
        <f>(INT($E$25*4/$D204)-INT($E$25*(4-1)/$D204))*$C204</f>
        <v>0.0</v>
      </c>
      <c r="I204" s="42">
        <f>(INT($E$25*5/$D204)-INT($E$25*(5-1)/$D204))*$C204</f>
        <v>3.5</v>
      </c>
      <c r="J204" s="42">
        <f>(INT($E$25*6/$D204)-INT($E$25*(6-1)/$D204))*$C204</f>
        <v>3.5</v>
      </c>
      <c r="K204" s="42">
        <f>(INT($E$25*7/$D204)-INT($E$25*(7-1)/$D204))*$C204</f>
        <v>0.0</v>
      </c>
      <c r="L204" s="42">
        <f>(INT($E$25*8/$D204)-INT($E$25*(8-1)/$D204))*$C204</f>
        <v>3.5</v>
      </c>
      <c r="M204" s="42">
        <f>(INT($E$25*9/$D204)-INT($E$25*(9-1)/$D204))*$C204</f>
        <v>3.5</v>
      </c>
      <c r="N204" s="42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44" t="n">
        <v>2</v>
      </c>
      <c r="D205" s="43" t="n">
        <v>15000</v>
      </c>
      <c r="E205" s="42">
        <f>(INT($E$25*1/$D205)-INT($E$25*(1-1)/$D205))*$C205</f>
        <v>0.0</v>
      </c>
      <c r="F205" s="42">
        <f>(INT($E$25*2/$D205)-INT($E$25*(2-1)/$D205))*$C205</f>
        <v>0.0</v>
      </c>
      <c r="G205" s="42">
        <f>(INT($E$25*3/$D205)-INT($E$25*(3-1)/$D205))*$C205</f>
        <v>2.0</v>
      </c>
      <c r="H205" s="42">
        <f>(INT($E$25*4/$D205)-INT($E$25*(4-1)/$D205))*$C205</f>
        <v>0.0</v>
      </c>
      <c r="I205" s="42">
        <f>(INT($E$25*5/$D205)-INT($E$25*(5-1)/$D205))*$C205</f>
        <v>2.0</v>
      </c>
      <c r="J205" s="42">
        <f>(INT($E$25*6/$D205)-INT($E$25*(6-1)/$D205))*$C205</f>
        <v>0.0</v>
      </c>
      <c r="K205" s="42">
        <f>(INT($E$25*7/$D205)-INT($E$25*(7-1)/$D205))*$C205</f>
        <v>2.0</v>
      </c>
      <c r="L205" s="42">
        <f>(INT($E$25*8/$D205)-INT($E$25*(8-1)/$D205))*$C205</f>
        <v>0.0</v>
      </c>
      <c r="M205" s="42">
        <f>(INT($E$25*9/$D205)-INT($E$25*(9-1)/$D205))*$C205</f>
        <v>2.0</v>
      </c>
      <c r="N205" s="42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44" t="n">
        <v>2.97</v>
      </c>
      <c r="D206" s="43" t="n">
        <v>15000</v>
      </c>
      <c r="E206" s="42">
        <f>(INT($E$25*1/$D206)-INT($E$25*(1-1)/$D206))*$C206</f>
        <v>0.0</v>
      </c>
      <c r="F206" s="42">
        <f>(INT($E$25*2/$D206)-INT($E$25*(2-1)/$D206))*$C206</f>
        <v>0.0</v>
      </c>
      <c r="G206" s="42">
        <f>(INT($E$25*3/$D206)-INT($E$25*(3-1)/$D206))*$C206</f>
        <v>2.97</v>
      </c>
      <c r="H206" s="42">
        <f>(INT($E$25*4/$D206)-INT($E$25*(4-1)/$D206))*$C206</f>
        <v>0.0</v>
      </c>
      <c r="I206" s="42">
        <f>(INT($E$25*5/$D206)-INT($E$25*(5-1)/$D206))*$C206</f>
        <v>2.97</v>
      </c>
      <c r="J206" s="42">
        <f>(INT($E$25*6/$D206)-INT($E$25*(6-1)/$D206))*$C206</f>
        <v>0.0</v>
      </c>
      <c r="K206" s="42">
        <f>(INT($E$25*7/$D206)-INT($E$25*(7-1)/$D206))*$C206</f>
        <v>2.97</v>
      </c>
      <c r="L206" s="42">
        <f>(INT($E$25*8/$D206)-INT($E$25*(8-1)/$D206))*$C206</f>
        <v>0.0</v>
      </c>
      <c r="M206" s="42">
        <f>(INT($E$25*9/$D206)-INT($E$25*(9-1)/$D206))*$C206</f>
        <v>2.97</v>
      </c>
      <c r="N206" s="42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44" t="n">
        <v>1.5</v>
      </c>
      <c r="D207" s="43" t="n">
        <v>8000</v>
      </c>
      <c r="E207" s="42">
        <f>(INT($E$25*1/$D207)-INT($E$25*(1-1)/$D207))*$C207</f>
        <v>0.0</v>
      </c>
      <c r="F207" s="42">
        <f>(INT($E$25*2/$D207)-INT($E$25*(2-1)/$D207))*$C207</f>
        <v>1.5</v>
      </c>
      <c r="G207" s="42">
        <f>(INT($E$25*3/$D207)-INT($E$25*(3-1)/$D207))*$C207</f>
        <v>1.5</v>
      </c>
      <c r="H207" s="42">
        <f>(INT($E$25*4/$D207)-INT($E$25*(4-1)/$D207))*$C207</f>
        <v>1.5</v>
      </c>
      <c r="I207" s="42">
        <f>(INT($E$25*5/$D207)-INT($E$25*(5-1)/$D207))*$C207</f>
        <v>1.5</v>
      </c>
      <c r="J207" s="42">
        <f>(INT($E$25*6/$D207)-INT($E$25*(6-1)/$D207))*$C207</f>
        <v>1.5</v>
      </c>
      <c r="K207" s="42">
        <f>(INT($E$25*7/$D207)-INT($E$25*(7-1)/$D207))*$C207</f>
        <v>1.5</v>
      </c>
      <c r="L207" s="42">
        <f>(INT($E$25*8/$D207)-INT($E$25*(8-1)/$D207))*$C207</f>
        <v>1.5</v>
      </c>
      <c r="M207" s="42">
        <f>(INT($E$25*9/$D207)-INT($E$25*(9-1)/$D207))*$C207</f>
        <v>0.0</v>
      </c>
      <c r="N207" s="42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44" t="n">
        <v>22.68</v>
      </c>
      <c r="D208" s="43" t="n">
        <v>14900</v>
      </c>
      <c r="E208" s="42">
        <f>(INT($E$25*1/$D208)-INT($E$25*(1-1)/$D208))*$C208</f>
        <v>0.0</v>
      </c>
      <c r="F208" s="42">
        <f>(INT($E$25*2/$D208)-INT($E$25*(2-1)/$D208))*$C208</f>
        <v>0.0</v>
      </c>
      <c r="G208" s="42">
        <f>(INT($E$25*3/$D208)-INT($E$25*(3-1)/$D208))*$C208</f>
        <v>22.68</v>
      </c>
      <c r="H208" s="42">
        <f>(INT($E$25*4/$D208)-INT($E$25*(4-1)/$D208))*$C208</f>
        <v>0.0</v>
      </c>
      <c r="I208" s="42">
        <f>(INT($E$25*5/$D208)-INT($E$25*(5-1)/$D208))*$C208</f>
        <v>22.68</v>
      </c>
      <c r="J208" s="42">
        <f>(INT($E$25*6/$D208)-INT($E$25*(6-1)/$D208))*$C208</f>
        <v>0.0</v>
      </c>
      <c r="K208" s="42">
        <f>(INT($E$25*7/$D208)-INT($E$25*(7-1)/$D208))*$C208</f>
        <v>22.68</v>
      </c>
      <c r="L208" s="42">
        <f>(INT($E$25*8/$D208)-INT($E$25*(8-1)/$D208))*$C208</f>
        <v>0.0</v>
      </c>
      <c r="M208" s="42">
        <f>(INT($E$25*9/$D208)-INT($E$25*(9-1)/$D208))*$C208</f>
        <v>22.68</v>
      </c>
      <c r="N208" s="42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44" t="n">
        <v>19.5</v>
      </c>
      <c r="D209" s="43" t="n">
        <v>14900</v>
      </c>
      <c r="E209" s="42">
        <f>(INT($E$25*1/$D209)-INT($E$25*(1-1)/$D209))*$C209</f>
        <v>0.0</v>
      </c>
      <c r="F209" s="42">
        <f>(INT($E$25*2/$D209)-INT($E$25*(2-1)/$D209))*$C209</f>
        <v>0.0</v>
      </c>
      <c r="G209" s="42">
        <f>(INT($E$25*3/$D209)-INT($E$25*(3-1)/$D209))*$C209</f>
        <v>19.5</v>
      </c>
      <c r="H209" s="42">
        <f>(INT($E$25*4/$D209)-INT($E$25*(4-1)/$D209))*$C209</f>
        <v>0.0</v>
      </c>
      <c r="I209" s="42">
        <f>(INT($E$25*5/$D209)-INT($E$25*(5-1)/$D209))*$C209</f>
        <v>19.5</v>
      </c>
      <c r="J209" s="42">
        <f>(INT($E$25*6/$D209)-INT($E$25*(6-1)/$D209))*$C209</f>
        <v>0.0</v>
      </c>
      <c r="K209" s="42">
        <f>(INT($E$25*7/$D209)-INT($E$25*(7-1)/$D209))*$C209</f>
        <v>19.5</v>
      </c>
      <c r="L209" s="42">
        <f>(INT($E$25*8/$D209)-INT($E$25*(8-1)/$D209))*$C209</f>
        <v>0.0</v>
      </c>
      <c r="M209" s="42">
        <f>(INT($E$25*9/$D209)-INT($E$25*(9-1)/$D209))*$C209</f>
        <v>19.5</v>
      </c>
      <c r="N209" s="42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44" t="n">
        <v>10.6</v>
      </c>
      <c r="D210" s="43" t="n">
        <v>10400</v>
      </c>
      <c r="E210" s="42">
        <f>(INT($E$25*1/$D210)-INT($E$25*(1-1)/$D210))*$C210</f>
        <v>0.0</v>
      </c>
      <c r="F210" s="42">
        <f>(INT($E$25*2/$D210)-INT($E$25*(2-1)/$D210))*$C210</f>
        <v>10.6</v>
      </c>
      <c r="G210" s="42">
        <f>(INT($E$25*3/$D210)-INT($E$25*(3-1)/$D210))*$C210</f>
        <v>10.6</v>
      </c>
      <c r="H210" s="42">
        <f>(INT($E$25*4/$D210)-INT($E$25*(4-1)/$D210))*$C210</f>
        <v>0.0</v>
      </c>
      <c r="I210" s="42">
        <f>(INT($E$25*5/$D210)-INT($E$25*(5-1)/$D210))*$C210</f>
        <v>10.6</v>
      </c>
      <c r="J210" s="42">
        <f>(INT($E$25*6/$D210)-INT($E$25*(6-1)/$D210))*$C210</f>
        <v>10.6</v>
      </c>
      <c r="K210" s="42">
        <f>(INT($E$25*7/$D210)-INT($E$25*(7-1)/$D210))*$C210</f>
        <v>0.0</v>
      </c>
      <c r="L210" s="42">
        <f>(INT($E$25*8/$D210)-INT($E$25*(8-1)/$D210))*$C210</f>
        <v>10.6</v>
      </c>
      <c r="M210" s="42">
        <f>(INT($E$25*9/$D210)-INT($E$25*(9-1)/$D210))*$C210</f>
        <v>10.6</v>
      </c>
      <c r="N210" s="42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44" t="n">
        <v>6.6</v>
      </c>
      <c r="D211" s="43" t="n">
        <v>12000</v>
      </c>
      <c r="E211" s="42">
        <f>(INT($E$25*1/$D211)-INT($E$25*(1-1)/$D211))*$C211</f>
        <v>0.0</v>
      </c>
      <c r="F211" s="42">
        <f>(INT($E$25*2/$D211)-INT($E$25*(2-1)/$D211))*$C211</f>
        <v>6.6</v>
      </c>
      <c r="G211" s="42">
        <f>(INT($E$25*3/$D211)-INT($E$25*(3-1)/$D211))*$C211</f>
        <v>0.0</v>
      </c>
      <c r="H211" s="42">
        <f>(INT($E$25*4/$D211)-INT($E$25*(4-1)/$D211))*$C211</f>
        <v>6.6</v>
      </c>
      <c r="I211" s="42">
        <f>(INT($E$25*5/$D211)-INT($E$25*(5-1)/$D211))*$C211</f>
        <v>0.0</v>
      </c>
      <c r="J211" s="42">
        <f>(INT($E$25*6/$D211)-INT($E$25*(6-1)/$D211))*$C211</f>
        <v>6.6</v>
      </c>
      <c r="K211" s="42">
        <f>(INT($E$25*7/$D211)-INT($E$25*(7-1)/$D211))*$C211</f>
        <v>6.6</v>
      </c>
      <c r="L211" s="42">
        <f>(INT($E$25*8/$D211)-INT($E$25*(8-1)/$D211))*$C211</f>
        <v>0.0</v>
      </c>
      <c r="M211" s="42">
        <f>(INT($E$25*9/$D211)-INT($E$25*(9-1)/$D211))*$C211</f>
        <v>6.6</v>
      </c>
      <c r="N211" s="42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44" t="n">
        <v>1.1</v>
      </c>
      <c r="D212" s="43" t="n">
        <v>8000</v>
      </c>
      <c r="E212" s="42">
        <f>(INT($E$25*1/$D212)-INT($E$25*(1-1)/$D212))*$C212</f>
        <v>0.0</v>
      </c>
      <c r="F212" s="42">
        <f>(INT($E$25*2/$D212)-INT($E$25*(2-1)/$D212))*$C212</f>
        <v>1.1</v>
      </c>
      <c r="G212" s="42">
        <f>(INT($E$25*3/$D212)-INT($E$25*(3-1)/$D212))*$C212</f>
        <v>1.1</v>
      </c>
      <c r="H212" s="42">
        <f>(INT($E$25*4/$D212)-INT($E$25*(4-1)/$D212))*$C212</f>
        <v>1.1</v>
      </c>
      <c r="I212" s="42">
        <f>(INT($E$25*5/$D212)-INT($E$25*(5-1)/$D212))*$C212</f>
        <v>1.1</v>
      </c>
      <c r="J212" s="42">
        <f>(INT($E$25*6/$D212)-INT($E$25*(6-1)/$D212))*$C212</f>
        <v>1.1</v>
      </c>
      <c r="K212" s="42">
        <f>(INT($E$25*7/$D212)-INT($E$25*(7-1)/$D212))*$C212</f>
        <v>1.1</v>
      </c>
      <c r="L212" s="42">
        <f>(INT($E$25*8/$D212)-INT($E$25*(8-1)/$D212))*$C212</f>
        <v>1.1</v>
      </c>
      <c r="M212" s="42">
        <f>(INT($E$25*9/$D212)-INT($E$25*(9-1)/$D212))*$C212</f>
        <v>0.0</v>
      </c>
      <c r="N212" s="42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44" t="n">
        <v>1.1</v>
      </c>
      <c r="D213" s="43" t="n">
        <v>8000</v>
      </c>
      <c r="E213" s="42">
        <f>(INT($E$25*1/$D213)-INT($E$25*(1-1)/$D213))*$C213</f>
        <v>0.0</v>
      </c>
      <c r="F213" s="42">
        <f>(INT($E$25*2/$D213)-INT($E$25*(2-1)/$D213))*$C213</f>
        <v>1.1</v>
      </c>
      <c r="G213" s="42">
        <f>(INT($E$25*3/$D213)-INT($E$25*(3-1)/$D213))*$C213</f>
        <v>1.1</v>
      </c>
      <c r="H213" s="42">
        <f>(INT($E$25*4/$D213)-INT($E$25*(4-1)/$D213))*$C213</f>
        <v>1.1</v>
      </c>
      <c r="I213" s="42">
        <f>(INT($E$25*5/$D213)-INT($E$25*(5-1)/$D213))*$C213</f>
        <v>1.1</v>
      </c>
      <c r="J213" s="42">
        <f>(INT($E$25*6/$D213)-INT($E$25*(6-1)/$D213))*$C213</f>
        <v>1.1</v>
      </c>
      <c r="K213" s="42">
        <f>(INT($E$25*7/$D213)-INT($E$25*(7-1)/$D213))*$C213</f>
        <v>1.1</v>
      </c>
      <c r="L213" s="42">
        <f>(INT($E$25*8/$D213)-INT($E$25*(8-1)/$D213))*$C213</f>
        <v>1.1</v>
      </c>
      <c r="M213" s="42">
        <f>(INT($E$25*9/$D213)-INT($E$25*(9-1)/$D213))*$C213</f>
        <v>0.0</v>
      </c>
      <c r="N213" s="42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44" t="n">
        <v>1.5</v>
      </c>
      <c r="D214" s="43" t="n">
        <v>10400</v>
      </c>
      <c r="E214" s="42">
        <f>(INT($E$25*1/$D214)-INT($E$25*(1-1)/$D214))*$C214</f>
        <v>0.0</v>
      </c>
      <c r="F214" s="42">
        <f>(INT($E$25*2/$D214)-INT($E$25*(2-1)/$D214))*$C214</f>
        <v>1.5</v>
      </c>
      <c r="G214" s="42">
        <f>(INT($E$25*3/$D214)-INT($E$25*(3-1)/$D214))*$C214</f>
        <v>1.5</v>
      </c>
      <c r="H214" s="42">
        <f>(INT($E$25*4/$D214)-INT($E$25*(4-1)/$D214))*$C214</f>
        <v>0.0</v>
      </c>
      <c r="I214" s="42">
        <f>(INT($E$25*5/$D214)-INT($E$25*(5-1)/$D214))*$C214</f>
        <v>1.5</v>
      </c>
      <c r="J214" s="42">
        <f>(INT($E$25*6/$D214)-INT($E$25*(6-1)/$D214))*$C214</f>
        <v>1.5</v>
      </c>
      <c r="K214" s="42">
        <f>(INT($E$25*7/$D214)-INT($E$25*(7-1)/$D214))*$C214</f>
        <v>0.0</v>
      </c>
      <c r="L214" s="42">
        <f>(INT($E$25*8/$D214)-INT($E$25*(8-1)/$D214))*$C214</f>
        <v>1.5</v>
      </c>
      <c r="M214" s="42">
        <f>(INT($E$25*9/$D214)-INT($E$25*(9-1)/$D214))*$C214</f>
        <v>1.5</v>
      </c>
      <c r="N214" s="42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44" t="n">
        <v>0.9</v>
      </c>
      <c r="D215" s="43" t="n">
        <v>8000</v>
      </c>
      <c r="E215" s="42">
        <f>(INT($E$25*1/$D215)-INT($E$25*(1-1)/$D215))*$C215</f>
        <v>0.0</v>
      </c>
      <c r="F215" s="42">
        <f>(INT($E$25*2/$D215)-INT($E$25*(2-1)/$D215))*$C215</f>
        <v>0.9</v>
      </c>
      <c r="G215" s="42">
        <f>(INT($E$25*3/$D215)-INT($E$25*(3-1)/$D215))*$C215</f>
        <v>0.9</v>
      </c>
      <c r="H215" s="42">
        <f>(INT($E$25*4/$D215)-INT($E$25*(4-1)/$D215))*$C215</f>
        <v>0.9</v>
      </c>
      <c r="I215" s="42">
        <f>(INT($E$25*5/$D215)-INT($E$25*(5-1)/$D215))*$C215</f>
        <v>0.9</v>
      </c>
      <c r="J215" s="42">
        <f>(INT($E$25*6/$D215)-INT($E$25*(6-1)/$D215))*$C215</f>
        <v>0.9</v>
      </c>
      <c r="K215" s="42">
        <f>(INT($E$25*7/$D215)-INT($E$25*(7-1)/$D215))*$C215</f>
        <v>0.9</v>
      </c>
      <c r="L215" s="42">
        <f>(INT($E$25*8/$D215)-INT($E$25*(8-1)/$D215))*$C215</f>
        <v>0.9</v>
      </c>
      <c r="M215" s="42">
        <f>(INT($E$25*9/$D215)-INT($E$25*(9-1)/$D215))*$C215</f>
        <v>0.0</v>
      </c>
      <c r="N215" s="42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44" t="n">
        <v>11</v>
      </c>
      <c r="D216" s="43" t="n">
        <v>18000</v>
      </c>
      <c r="E216" s="42">
        <f>(INT($E$25*1/$D216)-INT($E$25*(1-1)/$D216))*$C216</f>
        <v>0.0</v>
      </c>
      <c r="F216" s="42">
        <f>(INT($E$25*2/$D216)-INT($E$25*(2-1)/$D216))*$C216</f>
        <v>0.0</v>
      </c>
      <c r="G216" s="42">
        <f>(INT($E$25*3/$D216)-INT($E$25*(3-1)/$D216))*$C216</f>
        <v>11.0</v>
      </c>
      <c r="H216" s="42">
        <f>(INT($E$25*4/$D216)-INT($E$25*(4-1)/$D216))*$C216</f>
        <v>0.0</v>
      </c>
      <c r="I216" s="42">
        <f>(INT($E$25*5/$D216)-INT($E$25*(5-1)/$D216))*$C216</f>
        <v>0.0</v>
      </c>
      <c r="J216" s="42">
        <f>(INT($E$25*6/$D216)-INT($E$25*(6-1)/$D216))*$C216</f>
        <v>11.0</v>
      </c>
      <c r="K216" s="42">
        <f>(INT($E$25*7/$D216)-INT($E$25*(7-1)/$D216))*$C216</f>
        <v>0.0</v>
      </c>
      <c r="L216" s="42">
        <f>(INT($E$25*8/$D216)-INT($E$25*(8-1)/$D216))*$C216</f>
        <v>11.0</v>
      </c>
      <c r="M216" s="42">
        <f>(INT($E$25*9/$D216)-INT($E$25*(9-1)/$D216))*$C216</f>
        <v>0.0</v>
      </c>
      <c r="N216" s="42">
        <f>(INT($E$25*10/$D216)-INT($E$25*(10-1)/$D216))*$C216</f>
        <v>0.0</v>
      </c>
    </row>
    <row r="217">
      <c r="B217" s="22" t="inlineStr">
        <is>
          <t>AIREND (компрессор)</t>
        </is>
      </c>
      <c r="C217" s="44" t="n">
        <v>8</v>
      </c>
      <c r="D217" s="43" t="n">
        <v>30000</v>
      </c>
      <c r="E217" s="42">
        <f>(INT($E$25*1/$D217)-INT($E$25*(1-1)/$D217))*$C217</f>
        <v>0.0</v>
      </c>
      <c r="F217" s="42">
        <f>(INT($E$25*2/$D217)-INT($E$25*(2-1)/$D217))*$C217</f>
        <v>0.0</v>
      </c>
      <c r="G217" s="42">
        <f>(INT($E$25*3/$D217)-INT($E$25*(3-1)/$D217))*$C217</f>
        <v>0.0</v>
      </c>
      <c r="H217" s="42">
        <f>(INT($E$25*4/$D217)-INT($E$25*(4-1)/$D217))*$C217</f>
        <v>0.0</v>
      </c>
      <c r="I217" s="42">
        <f>(INT($E$25*5/$D217)-INT($E$25*(5-1)/$D217))*$C217</f>
        <v>8.0</v>
      </c>
      <c r="J217" s="42">
        <f>(INT($E$25*6/$D217)-INT($E$25*(6-1)/$D217))*$C217</f>
        <v>0.0</v>
      </c>
      <c r="K217" s="42">
        <f>(INT($E$25*7/$D217)-INT($E$25*(7-1)/$D217))*$C217</f>
        <v>0.0</v>
      </c>
      <c r="L217" s="42">
        <f>(INT($E$25*8/$D217)-INT($E$25*(8-1)/$D217))*$C217</f>
        <v>0.0</v>
      </c>
      <c r="M217" s="42">
        <f>(INT($E$25*9/$D217)-INT($E$25*(9-1)/$D217))*$C217</f>
        <v>8.0</v>
      </c>
      <c r="N217" s="42">
        <f>(INT($E$25*10/$D217)-INT($E$25*(10-1)/$D217))*$C217</f>
        <v>0.0</v>
      </c>
    </row>
    <row r="218">
      <c r="B218" s="22" t="inlineStr">
        <is>
          <t>COUPLING (муфта)</t>
        </is>
      </c>
      <c r="C218" s="44" t="n">
        <v>8.300000000000001</v>
      </c>
      <c r="D218" s="43" t="n">
        <v>20000</v>
      </c>
      <c r="E218" s="42">
        <f>(INT($E$25*1/$D218)-INT($E$25*(1-1)/$D218))*$C218</f>
        <v>0.0</v>
      </c>
      <c r="F218" s="42">
        <f>(INT($E$25*2/$D218)-INT($E$25*(2-1)/$D218))*$C218</f>
        <v>0.0</v>
      </c>
      <c r="G218" s="42">
        <f>(INT($E$25*3/$D218)-INT($E$25*(3-1)/$D218))*$C218</f>
        <v>8.3</v>
      </c>
      <c r="H218" s="42">
        <f>(INT($E$25*4/$D218)-INT($E$25*(4-1)/$D218))*$C218</f>
        <v>0.0</v>
      </c>
      <c r="I218" s="42">
        <f>(INT($E$25*5/$D218)-INT($E$25*(5-1)/$D218))*$C218</f>
        <v>0.0</v>
      </c>
      <c r="J218" s="42">
        <f>(INT($E$25*6/$D218)-INT($E$25*(6-1)/$D218))*$C218</f>
        <v>8.3</v>
      </c>
      <c r="K218" s="42">
        <f>(INT($E$25*7/$D218)-INT($E$25*(7-1)/$D218))*$C218</f>
        <v>0.0</v>
      </c>
      <c r="L218" s="42">
        <f>(INT($E$25*8/$D218)-INT($E$25*(8-1)/$D218))*$C218</f>
        <v>0.0</v>
      </c>
      <c r="M218" s="42">
        <f>(INT($E$25*9/$D218)-INT($E$25*(9-1)/$D218))*$C218</f>
        <v>8.3</v>
      </c>
      <c r="N218" s="42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44" t="n">
        <v>3.5</v>
      </c>
      <c r="D219" s="43" t="n">
        <v>10000</v>
      </c>
      <c r="E219" s="42">
        <f>(INT($E$25*1/$D219)-INT($E$25*(1-1)/$D219))*$C219</f>
        <v>0.0</v>
      </c>
      <c r="F219" s="42">
        <f>(INT($E$25*2/$D219)-INT($E$25*(2-1)/$D219))*$C219</f>
        <v>3.5</v>
      </c>
      <c r="G219" s="42">
        <f>(INT($E$25*3/$D219)-INT($E$25*(3-1)/$D219))*$C219</f>
        <v>3.5</v>
      </c>
      <c r="H219" s="42">
        <f>(INT($E$25*4/$D219)-INT($E$25*(4-1)/$D219))*$C219</f>
        <v>0.0</v>
      </c>
      <c r="I219" s="42">
        <f>(INT($E$25*5/$D219)-INT($E$25*(5-1)/$D219))*$C219</f>
        <v>3.5</v>
      </c>
      <c r="J219" s="42">
        <f>(INT($E$25*6/$D219)-INT($E$25*(6-1)/$D219))*$C219</f>
        <v>3.5</v>
      </c>
      <c r="K219" s="42">
        <f>(INT($E$25*7/$D219)-INT($E$25*(7-1)/$D219))*$C219</f>
        <v>0.0</v>
      </c>
      <c r="L219" s="42">
        <f>(INT($E$25*8/$D219)-INT($E$25*(8-1)/$D219))*$C219</f>
        <v>3.5</v>
      </c>
      <c r="M219" s="42">
        <f>(INT($E$25*9/$D219)-INT($E$25*(9-1)/$D219))*$C219</f>
        <v>3.5</v>
      </c>
      <c r="N219" s="42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44" t="n">
        <v>8</v>
      </c>
      <c r="D220" s="43" t="n">
        <v>20000</v>
      </c>
      <c r="E220" s="42">
        <f>(INT($E$25*1/$D220)-INT($E$25*(1-1)/$D220))*$C220</f>
        <v>0.0</v>
      </c>
      <c r="F220" s="42">
        <f>(INT($E$25*2/$D220)-INT($E$25*(2-1)/$D220))*$C220</f>
        <v>0.0</v>
      </c>
      <c r="G220" s="42">
        <f>(INT($E$25*3/$D220)-INT($E$25*(3-1)/$D220))*$C220</f>
        <v>8.0</v>
      </c>
      <c r="H220" s="42">
        <f>(INT($E$25*4/$D220)-INT($E$25*(4-1)/$D220))*$C220</f>
        <v>0.0</v>
      </c>
      <c r="I220" s="42">
        <f>(INT($E$25*5/$D220)-INT($E$25*(5-1)/$D220))*$C220</f>
        <v>0.0</v>
      </c>
      <c r="J220" s="42">
        <f>(INT($E$25*6/$D220)-INT($E$25*(6-1)/$D220))*$C220</f>
        <v>8.0</v>
      </c>
      <c r="K220" s="42">
        <f>(INT($E$25*7/$D220)-INT($E$25*(7-1)/$D220))*$C220</f>
        <v>0.0</v>
      </c>
      <c r="L220" s="42">
        <f>(INT($E$25*8/$D220)-INT($E$25*(8-1)/$D220))*$C220</f>
        <v>0.0</v>
      </c>
      <c r="M220" s="42">
        <f>(INT($E$25*9/$D220)-INT($E$25*(9-1)/$D220))*$C220</f>
        <v>8.0</v>
      </c>
      <c r="N220" s="42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44" t="n">
        <v>2.8</v>
      </c>
      <c r="D221" s="43" t="n">
        <v>22000</v>
      </c>
      <c r="E221" s="42">
        <f>(INT($E$25*1/$D221)-INT($E$25*(1-1)/$D221))*$C221</f>
        <v>0.0</v>
      </c>
      <c r="F221" s="42">
        <f>(INT($E$25*2/$D221)-INT($E$25*(2-1)/$D221))*$C221</f>
        <v>0.0</v>
      </c>
      <c r="G221" s="42">
        <f>(INT($E$25*3/$D221)-INT($E$25*(3-1)/$D221))*$C221</f>
        <v>0.0</v>
      </c>
      <c r="H221" s="42">
        <f>(INT($E$25*4/$D221)-INT($E$25*(4-1)/$D221))*$C221</f>
        <v>2.8</v>
      </c>
      <c r="I221" s="42">
        <f>(INT($E$25*5/$D221)-INT($E$25*(5-1)/$D221))*$C221</f>
        <v>0.0</v>
      </c>
      <c r="J221" s="42">
        <f>(INT($E$25*6/$D221)-INT($E$25*(6-1)/$D221))*$C221</f>
        <v>0.0</v>
      </c>
      <c r="K221" s="42">
        <f>(INT($E$25*7/$D221)-INT($E$25*(7-1)/$D221))*$C221</f>
        <v>2.8</v>
      </c>
      <c r="L221" s="42">
        <f>(INT($E$25*8/$D221)-INT($E$25*(8-1)/$D221))*$C221</f>
        <v>0.0</v>
      </c>
      <c r="M221" s="42">
        <f>(INT($E$25*9/$D221)-INT($E$25*(9-1)/$D221))*$C221</f>
        <v>0.0</v>
      </c>
      <c r="N221" s="42">
        <f>(INT($E$25*10/$D221)-INT($E$25*(10-1)/$D221))*$C221</f>
        <v>2.8</v>
      </c>
    </row>
    <row r="222">
      <c r="B222" s="22" t="inlineStr">
        <is>
          <t>SILENCER (глушитель)</t>
        </is>
      </c>
      <c r="C222" s="44" t="n">
        <v>2.1</v>
      </c>
      <c r="D222" s="43" t="n">
        <v>20000</v>
      </c>
      <c r="E222" s="42">
        <f>(INT($E$25*1/$D222)-INT($E$25*(1-1)/$D222))*$C222</f>
        <v>0.0</v>
      </c>
      <c r="F222" s="42">
        <f>(INT($E$25*2/$D222)-INT($E$25*(2-1)/$D222))*$C222</f>
        <v>0.0</v>
      </c>
      <c r="G222" s="42">
        <f>(INT($E$25*3/$D222)-INT($E$25*(3-1)/$D222))*$C222</f>
        <v>2.1</v>
      </c>
      <c r="H222" s="42">
        <f>(INT($E$25*4/$D222)-INT($E$25*(4-1)/$D222))*$C222</f>
        <v>0.0</v>
      </c>
      <c r="I222" s="42">
        <f>(INT($E$25*5/$D222)-INT($E$25*(5-1)/$D222))*$C222</f>
        <v>0.0</v>
      </c>
      <c r="J222" s="42">
        <f>(INT($E$25*6/$D222)-INT($E$25*(6-1)/$D222))*$C222</f>
        <v>2.1</v>
      </c>
      <c r="K222" s="42">
        <f>(INT($E$25*7/$D222)-INT($E$25*(7-1)/$D222))*$C222</f>
        <v>0.0</v>
      </c>
      <c r="L222" s="42">
        <f>(INT($E$25*8/$D222)-INT($E$25*(8-1)/$D222))*$C222</f>
        <v>0.0</v>
      </c>
      <c r="M222" s="42">
        <f>(INT($E$25*9/$D222)-INT($E$25*(9-1)/$D222))*$C222</f>
        <v>2.1</v>
      </c>
      <c r="N222" s="42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44" t="n">
        <v>1.7</v>
      </c>
      <c r="D223" s="43" t="n">
        <v>13000</v>
      </c>
      <c r="E223" s="42">
        <f>(INT($E$25*1/$D223)-INT($E$25*(1-1)/$D223))*$C223</f>
        <v>0.0</v>
      </c>
      <c r="F223" s="42">
        <f>(INT($E$25*2/$D223)-INT($E$25*(2-1)/$D223))*$C223</f>
        <v>1.7</v>
      </c>
      <c r="G223" s="42">
        <f>(INT($E$25*3/$D223)-INT($E$25*(3-1)/$D223))*$C223</f>
        <v>0.0</v>
      </c>
      <c r="H223" s="42">
        <f>(INT($E$25*4/$D223)-INT($E$25*(4-1)/$D223))*$C223</f>
        <v>1.7</v>
      </c>
      <c r="I223" s="42">
        <f>(INT($E$25*5/$D223)-INT($E$25*(5-1)/$D223))*$C223</f>
        <v>0.0</v>
      </c>
      <c r="J223" s="42">
        <f>(INT($E$25*6/$D223)-INT($E$25*(6-1)/$D223))*$C223</f>
        <v>1.7</v>
      </c>
      <c r="K223" s="42">
        <f>(INT($E$25*7/$D223)-INT($E$25*(7-1)/$D223))*$C223</f>
        <v>0.0</v>
      </c>
      <c r="L223" s="42">
        <f>(INT($E$25*8/$D223)-INT($E$25*(8-1)/$D223))*$C223</f>
        <v>1.7</v>
      </c>
      <c r="M223" s="42">
        <f>(INT($E$25*9/$D223)-INT($E$25*(9-1)/$D223))*$C223</f>
        <v>0.0</v>
      </c>
      <c r="N223" s="42">
        <f>(INT($E$25*10/$D223)-INT($E$25*(10-1)/$D223))*$C223</f>
        <v>1.7</v>
      </c>
    </row>
    <row r="224">
      <c r="B224" s="22" t="inlineStr">
        <is>
          <t>ENG (двигатель)</t>
        </is>
      </c>
      <c r="C224" s="44" t="n">
        <v>20</v>
      </c>
      <c r="D224" s="43" t="n">
        <v>30000</v>
      </c>
      <c r="E224" s="42">
        <f>(INT($E$25*1/$D224)-INT($E$25*(1-1)/$D224))*$C224</f>
        <v>0.0</v>
      </c>
      <c r="F224" s="42">
        <f>(INT($E$25*2/$D224)-INT($E$25*(2-1)/$D224))*$C224</f>
        <v>0.0</v>
      </c>
      <c r="G224" s="42">
        <f>(INT($E$25*3/$D224)-INT($E$25*(3-1)/$D224))*$C224</f>
        <v>0.0</v>
      </c>
      <c r="H224" s="42">
        <f>(INT($E$25*4/$D224)-INT($E$25*(4-1)/$D224))*$C224</f>
        <v>0.0</v>
      </c>
      <c r="I224" s="42">
        <f>(INT($E$25*5/$D224)-INT($E$25*(5-1)/$D224))*$C224</f>
        <v>20.0</v>
      </c>
      <c r="J224" s="42">
        <f>(INT($E$25*6/$D224)-INT($E$25*(6-1)/$D224))*$C224</f>
        <v>0.0</v>
      </c>
      <c r="K224" s="42">
        <f>(INT($E$25*7/$D224)-INT($E$25*(7-1)/$D224))*$C224</f>
        <v>0.0</v>
      </c>
      <c r="L224" s="42">
        <f>(INT($E$25*8/$D224)-INT($E$25*(8-1)/$D224))*$C224</f>
        <v>0.0</v>
      </c>
      <c r="M224" s="42">
        <f>(INT($E$25*9/$D224)-INT($E$25*(9-1)/$D224))*$C224</f>
        <v>20.0</v>
      </c>
      <c r="N224" s="42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44" t="n">
        <v>1</v>
      </c>
      <c r="D225" s="43" t="n">
        <v>11000</v>
      </c>
      <c r="E225" s="42">
        <f>(INT($E$25*1/$D225)-INT($E$25*(1-1)/$D225))*$C225</f>
        <v>0.0</v>
      </c>
      <c r="F225" s="42">
        <f>(INT($E$25*2/$D225)-INT($E$25*(2-1)/$D225))*$C225</f>
        <v>1.0</v>
      </c>
      <c r="G225" s="42">
        <f>(INT($E$25*3/$D225)-INT($E$25*(3-1)/$D225))*$C225</f>
        <v>0.0</v>
      </c>
      <c r="H225" s="42">
        <f>(INT($E$25*4/$D225)-INT($E$25*(4-1)/$D225))*$C225</f>
        <v>1.0</v>
      </c>
      <c r="I225" s="42">
        <f>(INT($E$25*5/$D225)-INT($E$25*(5-1)/$D225))*$C225</f>
        <v>1.0</v>
      </c>
      <c r="J225" s="42">
        <f>(INT($E$25*6/$D225)-INT($E$25*(6-1)/$D225))*$C225</f>
        <v>0.0</v>
      </c>
      <c r="K225" s="42">
        <f>(INT($E$25*7/$D225)-INT($E$25*(7-1)/$D225))*$C225</f>
        <v>1.0</v>
      </c>
      <c r="L225" s="42">
        <f>(INT($E$25*8/$D225)-INT($E$25*(8-1)/$D225))*$C225</f>
        <v>1.0</v>
      </c>
      <c r="M225" s="42">
        <f>(INT($E$25*9/$D225)-INT($E$25*(9-1)/$D225))*$C225</f>
        <v>0.0</v>
      </c>
      <c r="N225" s="42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44" t="n">
        <v>1.1</v>
      </c>
      <c r="D226" s="43" t="n">
        <v>11000</v>
      </c>
      <c r="E226" s="42">
        <f>(INT($E$25*1/$D226)-INT($E$25*(1-1)/$D226))*$C226</f>
        <v>0.0</v>
      </c>
      <c r="F226" s="42">
        <f>(INT($E$25*2/$D226)-INT($E$25*(2-1)/$D226))*$C226</f>
        <v>1.1</v>
      </c>
      <c r="G226" s="42">
        <f>(INT($E$25*3/$D226)-INT($E$25*(3-1)/$D226))*$C226</f>
        <v>0.0</v>
      </c>
      <c r="H226" s="42">
        <f>(INT($E$25*4/$D226)-INT($E$25*(4-1)/$D226))*$C226</f>
        <v>1.1</v>
      </c>
      <c r="I226" s="42">
        <f>(INT($E$25*5/$D226)-INT($E$25*(5-1)/$D226))*$C226</f>
        <v>1.1</v>
      </c>
      <c r="J226" s="42">
        <f>(INT($E$25*6/$D226)-INT($E$25*(6-1)/$D226))*$C226</f>
        <v>0.0</v>
      </c>
      <c r="K226" s="42">
        <f>(INT($E$25*7/$D226)-INT($E$25*(7-1)/$D226))*$C226</f>
        <v>1.1</v>
      </c>
      <c r="L226" s="42">
        <f>(INT($E$25*8/$D226)-INT($E$25*(8-1)/$D226))*$C226</f>
        <v>1.1</v>
      </c>
      <c r="M226" s="42">
        <f>(INT($E$25*9/$D226)-INT($E$25*(9-1)/$D226))*$C226</f>
        <v>0.0</v>
      </c>
      <c r="N226" s="42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44" t="n">
        <v>3.8</v>
      </c>
      <c r="D227" s="43" t="n">
        <v>11900</v>
      </c>
      <c r="E227" s="42">
        <f>(INT($E$25*1/$D227)-INT($E$25*(1-1)/$D227))*$C227</f>
        <v>0.0</v>
      </c>
      <c r="F227" s="42">
        <f>(INT($E$25*2/$D227)-INT($E$25*(2-1)/$D227))*$C227</f>
        <v>3.8</v>
      </c>
      <c r="G227" s="42">
        <f>(INT($E$25*3/$D227)-INT($E$25*(3-1)/$D227))*$C227</f>
        <v>0.0</v>
      </c>
      <c r="H227" s="42">
        <f>(INT($E$25*4/$D227)-INT($E$25*(4-1)/$D227))*$C227</f>
        <v>3.8</v>
      </c>
      <c r="I227" s="42">
        <f>(INT($E$25*5/$D227)-INT($E$25*(5-1)/$D227))*$C227</f>
        <v>0.0</v>
      </c>
      <c r="J227" s="42">
        <f>(INT($E$25*6/$D227)-INT($E$25*(6-1)/$D227))*$C227</f>
        <v>3.8</v>
      </c>
      <c r="K227" s="42">
        <f>(INT($E$25*7/$D227)-INT($E$25*(7-1)/$D227))*$C227</f>
        <v>3.8</v>
      </c>
      <c r="L227" s="42">
        <f>(INT($E$25*8/$D227)-INT($E$25*(8-1)/$D227))*$C227</f>
        <v>0.0</v>
      </c>
      <c r="M227" s="42">
        <f>(INT($E$25*9/$D227)-INT($E$25*(9-1)/$D227))*$C227</f>
        <v>3.8</v>
      </c>
      <c r="N227" s="42">
        <f>(INT($E$25*10/$D227)-INT($E$25*(10-1)/$D227))*$C227</f>
        <v>0.0</v>
      </c>
    </row>
    <row r="228">
      <c r="B228" s="22" t="inlineStr">
        <is>
          <t>DRIVE SHAFT (кардан)</t>
        </is>
      </c>
      <c r="C228" s="44" t="n">
        <v>2.5</v>
      </c>
      <c r="D228" s="43" t="n">
        <v>15000</v>
      </c>
      <c r="E228" s="42">
        <f>(INT($E$25*1/$D228)-INT($E$25*(1-1)/$D228))*$C228</f>
        <v>0.0</v>
      </c>
      <c r="F228" s="42">
        <f>(INT($E$25*2/$D228)-INT($E$25*(2-1)/$D228))*$C228</f>
        <v>0.0</v>
      </c>
      <c r="G228" s="42">
        <f>(INT($E$25*3/$D228)-INT($E$25*(3-1)/$D228))*$C228</f>
        <v>2.5</v>
      </c>
      <c r="H228" s="42">
        <f>(INT($E$25*4/$D228)-INT($E$25*(4-1)/$D228))*$C228</f>
        <v>0.0</v>
      </c>
      <c r="I228" s="42">
        <f>(INT($E$25*5/$D228)-INT($E$25*(5-1)/$D228))*$C228</f>
        <v>2.5</v>
      </c>
      <c r="J228" s="42">
        <f>(INT($E$25*6/$D228)-INT($E$25*(6-1)/$D228))*$C228</f>
        <v>0.0</v>
      </c>
      <c r="K228" s="42">
        <f>(INT($E$25*7/$D228)-INT($E$25*(7-1)/$D228))*$C228</f>
        <v>2.5</v>
      </c>
      <c r="L228" s="42">
        <f>(INT($E$25*8/$D228)-INT($E$25*(8-1)/$D228))*$C228</f>
        <v>0.0</v>
      </c>
      <c r="M228" s="42">
        <f>(INT($E$25*9/$D228)-INT($E$25*(9-1)/$D228))*$C228</f>
        <v>2.5</v>
      </c>
      <c r="N228" s="42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44" t="n">
        <v>16</v>
      </c>
      <c r="D229" s="43" t="n">
        <v>18000</v>
      </c>
      <c r="E229" s="42">
        <f>(INT($E$25*1/$D229)-INT($E$25*(1-1)/$D229))*$C229</f>
        <v>0.0</v>
      </c>
      <c r="F229" s="42">
        <f>(INT($E$25*2/$D229)-INT($E$25*(2-1)/$D229))*$C229</f>
        <v>0.0</v>
      </c>
      <c r="G229" s="42">
        <f>(INT($E$25*3/$D229)-INT($E$25*(3-1)/$D229))*$C229</f>
        <v>16.0</v>
      </c>
      <c r="H229" s="42">
        <f>(INT($E$25*4/$D229)-INT($E$25*(4-1)/$D229))*$C229</f>
        <v>0.0</v>
      </c>
      <c r="I229" s="42">
        <f>(INT($E$25*5/$D229)-INT($E$25*(5-1)/$D229))*$C229</f>
        <v>0.0</v>
      </c>
      <c r="J229" s="42">
        <f>(INT($E$25*6/$D229)-INT($E$25*(6-1)/$D229))*$C229</f>
        <v>16.0</v>
      </c>
      <c r="K229" s="42">
        <f>(INT($E$25*7/$D229)-INT($E$25*(7-1)/$D229))*$C229</f>
        <v>0.0</v>
      </c>
      <c r="L229" s="42">
        <f>(INT($E$25*8/$D229)-INT($E$25*(8-1)/$D229))*$C229</f>
        <v>16.0</v>
      </c>
      <c r="M229" s="42">
        <f>(INT($E$25*9/$D229)-INT($E$25*(9-1)/$D229))*$C229</f>
        <v>0.0</v>
      </c>
      <c r="N229" s="42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44" t="n">
        <v>20</v>
      </c>
      <c r="D230" s="43" t="n">
        <v>14000</v>
      </c>
      <c r="E230" s="42">
        <f>(INT($E$25*1/$D230)-INT($E$25*(1-1)/$D230))*$C230</f>
        <v>0.0</v>
      </c>
      <c r="F230" s="42">
        <f>(INT($E$25*2/$D230)-INT($E$25*(2-1)/$D230))*$C230</f>
        <v>20.0</v>
      </c>
      <c r="G230" s="42">
        <f>(INT($E$25*3/$D230)-INT($E$25*(3-1)/$D230))*$C230</f>
        <v>0.0</v>
      </c>
      <c r="H230" s="42">
        <f>(INT($E$25*4/$D230)-INT($E$25*(4-1)/$D230))*$C230</f>
        <v>20.0</v>
      </c>
      <c r="I230" s="42">
        <f>(INT($E$25*5/$D230)-INT($E$25*(5-1)/$D230))*$C230</f>
        <v>0.0</v>
      </c>
      <c r="J230" s="42">
        <f>(INT($E$25*6/$D230)-INT($E$25*(6-1)/$D230))*$C230</f>
        <v>20.0</v>
      </c>
      <c r="K230" s="42">
        <f>(INT($E$25*7/$D230)-INT($E$25*(7-1)/$D230))*$C230</f>
        <v>0.0</v>
      </c>
      <c r="L230" s="42">
        <f>(INT($E$25*8/$D230)-INT($E$25*(8-1)/$D230))*$C230</f>
        <v>20.0</v>
      </c>
      <c r="M230" s="42">
        <f>(INT($E$25*9/$D230)-INT($E$25*(9-1)/$D230))*$C230</f>
        <v>0.0</v>
      </c>
      <c r="N230" s="42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44" t="n">
        <v>3</v>
      </c>
      <c r="D231" s="43" t="n">
        <v>12000</v>
      </c>
      <c r="E231" s="42">
        <f>(INT($E$25*1/$D231)-INT($E$25*(1-1)/$D231))*$C231</f>
        <v>0.0</v>
      </c>
      <c r="F231" s="42">
        <f>(INT($E$25*2/$D231)-INT($E$25*(2-1)/$D231))*$C231</f>
        <v>3.0</v>
      </c>
      <c r="G231" s="42">
        <f>(INT($E$25*3/$D231)-INT($E$25*(3-1)/$D231))*$C231</f>
        <v>0.0</v>
      </c>
      <c r="H231" s="42">
        <f>(INT($E$25*4/$D231)-INT($E$25*(4-1)/$D231))*$C231</f>
        <v>3.0</v>
      </c>
      <c r="I231" s="42">
        <f>(INT($E$25*5/$D231)-INT($E$25*(5-1)/$D231))*$C231</f>
        <v>0.0</v>
      </c>
      <c r="J231" s="42">
        <f>(INT($E$25*6/$D231)-INT($E$25*(6-1)/$D231))*$C231</f>
        <v>3.0</v>
      </c>
      <c r="K231" s="42">
        <f>(INT($E$25*7/$D231)-INT($E$25*(7-1)/$D231))*$C231</f>
        <v>3.0</v>
      </c>
      <c r="L231" s="42">
        <f>(INT($E$25*8/$D231)-INT($E$25*(8-1)/$D231))*$C231</f>
        <v>0.0</v>
      </c>
      <c r="M231" s="42">
        <f>(INT($E$25*9/$D231)-INT($E$25*(9-1)/$D231))*$C231</f>
        <v>3.0</v>
      </c>
      <c r="N231" s="42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44" t="n">
        <v>23</v>
      </c>
      <c r="D232" s="43" t="n">
        <v>21000</v>
      </c>
      <c r="E232" s="42">
        <f>(INT($E$25*1/$D232)-INT($E$25*(1-1)/$D232))*$C232</f>
        <v>0.0</v>
      </c>
      <c r="F232" s="42">
        <f>(INT($E$25*2/$D232)-INT($E$25*(2-1)/$D232))*$C232</f>
        <v>0.0</v>
      </c>
      <c r="G232" s="42">
        <f>(INT($E$25*3/$D232)-INT($E$25*(3-1)/$D232))*$C232</f>
        <v>23.0</v>
      </c>
      <c r="H232" s="42">
        <f>(INT($E$25*4/$D232)-INT($E$25*(4-1)/$D232))*$C232</f>
        <v>0.0</v>
      </c>
      <c r="I232" s="42">
        <f>(INT($E$25*5/$D232)-INT($E$25*(5-1)/$D232))*$C232</f>
        <v>0.0</v>
      </c>
      <c r="J232" s="42">
        <f>(INT($E$25*6/$D232)-INT($E$25*(6-1)/$D232))*$C232</f>
        <v>23.0</v>
      </c>
      <c r="K232" s="42">
        <f>(INT($E$25*7/$D232)-INT($E$25*(7-1)/$D232))*$C232</f>
        <v>0.0</v>
      </c>
      <c r="L232" s="42">
        <f>(INT($E$25*8/$D232)-INT($E$25*(8-1)/$D232))*$C232</f>
        <v>0.0</v>
      </c>
      <c r="M232" s="42">
        <f>(INT($E$25*9/$D232)-INT($E$25*(9-1)/$D232))*$C232</f>
        <v>23.0</v>
      </c>
      <c r="N232" s="42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44" t="n">
        <v>11.2</v>
      </c>
      <c r="D233" s="43" t="n">
        <v>14000</v>
      </c>
      <c r="E233" s="42">
        <f>(INT($E$25*1/$D233)-INT($E$25*(1-1)/$D233))*$C233</f>
        <v>0.0</v>
      </c>
      <c r="F233" s="42">
        <f>(INT($E$25*2/$D233)-INT($E$25*(2-1)/$D233))*$C233</f>
        <v>11.2</v>
      </c>
      <c r="G233" s="42">
        <f>(INT($E$25*3/$D233)-INT($E$25*(3-1)/$D233))*$C233</f>
        <v>0.0</v>
      </c>
      <c r="H233" s="42">
        <f>(INT($E$25*4/$D233)-INT($E$25*(4-1)/$D233))*$C233</f>
        <v>11.2</v>
      </c>
      <c r="I233" s="42">
        <f>(INT($E$25*5/$D233)-INT($E$25*(5-1)/$D233))*$C233</f>
        <v>0.0</v>
      </c>
      <c r="J233" s="42">
        <f>(INT($E$25*6/$D233)-INT($E$25*(6-1)/$D233))*$C233</f>
        <v>11.2</v>
      </c>
      <c r="K233" s="42">
        <f>(INT($E$25*7/$D233)-INT($E$25*(7-1)/$D233))*$C233</f>
        <v>0.0</v>
      </c>
      <c r="L233" s="42">
        <f>(INT($E$25*8/$D233)-INT($E$25*(8-1)/$D233))*$C233</f>
        <v>11.2</v>
      </c>
      <c r="M233" s="42">
        <f>(INT($E$25*9/$D233)-INT($E$25*(9-1)/$D233))*$C233</f>
        <v>0.0</v>
      </c>
      <c r="N233" s="42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44" t="n">
        <v>6.7</v>
      </c>
      <c r="D234" s="43" t="n">
        <v>6000</v>
      </c>
      <c r="E234" s="42">
        <f>(INT($E$25*1/$D234)-INT($E$25*(1-1)/$D234))*$C234</f>
        <v>6.7</v>
      </c>
      <c r="F234" s="42">
        <f>(INT($E$25*2/$D234)-INT($E$25*(2-1)/$D234))*$C234</f>
        <v>6.7</v>
      </c>
      <c r="G234" s="42">
        <f>(INT($E$25*3/$D234)-INT($E$25*(3-1)/$D234))*$C234</f>
        <v>6.7</v>
      </c>
      <c r="H234" s="42">
        <f>(INT($E$25*4/$D234)-INT($E$25*(4-1)/$D234))*$C234</f>
        <v>6.7</v>
      </c>
      <c r="I234" s="42">
        <f>(INT($E$25*5/$D234)-INT($E$25*(5-1)/$D234))*$C234</f>
        <v>6.7</v>
      </c>
      <c r="J234" s="42">
        <f>(INT($E$25*6/$D234)-INT($E$25*(6-1)/$D234))*$C234</f>
        <v>13.4</v>
      </c>
      <c r="K234" s="42">
        <f>(INT($E$25*7/$D234)-INT($E$25*(7-1)/$D234))*$C234</f>
        <v>6.7</v>
      </c>
      <c r="L234" s="42">
        <f>(INT($E$25*8/$D234)-INT($E$25*(8-1)/$D234))*$C234</f>
        <v>6.7</v>
      </c>
      <c r="M234" s="42">
        <f>(INT($E$25*9/$D234)-INT($E$25*(9-1)/$D234))*$C234</f>
        <v>6.7</v>
      </c>
      <c r="N234" s="42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44" t="n">
        <v>6.7</v>
      </c>
      <c r="D235" s="43" t="n">
        <v>6000</v>
      </c>
      <c r="E235" s="42">
        <f>(INT($E$25*1/$D235)-INT($E$25*(1-1)/$D235))*$C235</f>
        <v>6.7</v>
      </c>
      <c r="F235" s="42">
        <f>(INT($E$25*2/$D235)-INT($E$25*(2-1)/$D235))*$C235</f>
        <v>6.7</v>
      </c>
      <c r="G235" s="42">
        <f>(INT($E$25*3/$D235)-INT($E$25*(3-1)/$D235))*$C235</f>
        <v>6.7</v>
      </c>
      <c r="H235" s="42">
        <f>(INT($E$25*4/$D235)-INT($E$25*(4-1)/$D235))*$C235</f>
        <v>6.7</v>
      </c>
      <c r="I235" s="42">
        <f>(INT($E$25*5/$D235)-INT($E$25*(5-1)/$D235))*$C235</f>
        <v>6.7</v>
      </c>
      <c r="J235" s="42">
        <f>(INT($E$25*6/$D235)-INT($E$25*(6-1)/$D235))*$C235</f>
        <v>13.4</v>
      </c>
      <c r="K235" s="42">
        <f>(INT($E$25*7/$D235)-INT($E$25*(7-1)/$D235))*$C235</f>
        <v>6.7</v>
      </c>
      <c r="L235" s="42">
        <f>(INT($E$25*8/$D235)-INT($E$25*(8-1)/$D235))*$C235</f>
        <v>6.7</v>
      </c>
      <c r="M235" s="42">
        <f>(INT($E$25*9/$D235)-INT($E$25*(9-1)/$D235))*$C235</f>
        <v>6.7</v>
      </c>
      <c r="N235" s="42">
        <f>(INT($E$25*10/$D235)-INT($E$25*(10-1)/$D235))*$C235</f>
        <v>6.7</v>
      </c>
    </row>
    <row r="236">
      <c r="B236" s="22" t="inlineStr">
        <is>
          <t>Accumulator (Recoil Spring)</t>
        </is>
      </c>
      <c r="C236" s="44" t="n">
        <v>10.86</v>
      </c>
      <c r="D236" s="43" t="n">
        <v>12000</v>
      </c>
      <c r="E236" s="42">
        <f>(INT($E$25*1/$D236)-INT($E$25*(1-1)/$D236))*$C236</f>
        <v>0.0</v>
      </c>
      <c r="F236" s="42">
        <f>(INT($E$25*2/$D236)-INT($E$25*(2-1)/$D236))*$C236</f>
        <v>10.86</v>
      </c>
      <c r="G236" s="42">
        <f>(INT($E$25*3/$D236)-INT($E$25*(3-1)/$D236))*$C236</f>
        <v>0.0</v>
      </c>
      <c r="H236" s="42">
        <f>(INT($E$25*4/$D236)-INT($E$25*(4-1)/$D236))*$C236</f>
        <v>10.86</v>
      </c>
      <c r="I236" s="42">
        <f>(INT($E$25*5/$D236)-INT($E$25*(5-1)/$D236))*$C236</f>
        <v>0.0</v>
      </c>
      <c r="J236" s="42">
        <f>(INT($E$25*6/$D236)-INT($E$25*(6-1)/$D236))*$C236</f>
        <v>10.86</v>
      </c>
      <c r="K236" s="42">
        <f>(INT($E$25*7/$D236)-INT($E$25*(7-1)/$D236))*$C236</f>
        <v>10.86</v>
      </c>
      <c r="L236" s="42">
        <f>(INT($E$25*8/$D236)-INT($E$25*(8-1)/$D236))*$C236</f>
        <v>0.0</v>
      </c>
      <c r="M236" s="42">
        <f>(INT($E$25*9/$D236)-INT($E$25*(9-1)/$D236))*$C236</f>
        <v>10.86</v>
      </c>
      <c r="N236" s="42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44" t="n">
        <v>33.6</v>
      </c>
      <c r="D237" s="43" t="n">
        <v>21000</v>
      </c>
      <c r="E237" s="42">
        <f>(INT($E$25*1/$D237)-INT($E$25*(1-1)/$D237))*$C237</f>
        <v>0.0</v>
      </c>
      <c r="F237" s="42">
        <f>(INT($E$25*2/$D237)-INT($E$25*(2-1)/$D237))*$C237</f>
        <v>0.0</v>
      </c>
      <c r="G237" s="42">
        <f>(INT($E$25*3/$D237)-INT($E$25*(3-1)/$D237))*$C237</f>
        <v>33.6</v>
      </c>
      <c r="H237" s="42">
        <f>(INT($E$25*4/$D237)-INT($E$25*(4-1)/$D237))*$C237</f>
        <v>0.0</v>
      </c>
      <c r="I237" s="42">
        <f>(INT($E$25*5/$D237)-INT($E$25*(5-1)/$D237))*$C237</f>
        <v>0.0</v>
      </c>
      <c r="J237" s="42">
        <f>(INT($E$25*6/$D237)-INT($E$25*(6-1)/$D237))*$C237</f>
        <v>33.6</v>
      </c>
      <c r="K237" s="42">
        <f>(INT($E$25*7/$D237)-INT($E$25*(7-1)/$D237))*$C237</f>
        <v>0.0</v>
      </c>
      <c r="L237" s="42">
        <f>(INT($E$25*8/$D237)-INT($E$25*(8-1)/$D237))*$C237</f>
        <v>0.0</v>
      </c>
      <c r="M237" s="42">
        <f>(INT($E$25*9/$D237)-INT($E$25*(9-1)/$D237))*$C237</f>
        <v>33.6</v>
      </c>
      <c r="N237" s="42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44" t="n">
        <v>19.2</v>
      </c>
      <c r="D238" s="43" t="n">
        <v>15000</v>
      </c>
      <c r="E238" s="42">
        <f>(INT($E$25*1/$D238)-INT($E$25*(1-1)/$D238))*$C238</f>
        <v>0.0</v>
      </c>
      <c r="F238" s="42">
        <f>(INT($E$25*2/$D238)-INT($E$25*(2-1)/$D238))*$C238</f>
        <v>0.0</v>
      </c>
      <c r="G238" s="42">
        <f>(INT($E$25*3/$D238)-INT($E$25*(3-1)/$D238))*$C238</f>
        <v>19.2</v>
      </c>
      <c r="H238" s="42">
        <f>(INT($E$25*4/$D238)-INT($E$25*(4-1)/$D238))*$C238</f>
        <v>0.0</v>
      </c>
      <c r="I238" s="42">
        <f>(INT($E$25*5/$D238)-INT($E$25*(5-1)/$D238))*$C238</f>
        <v>19.2</v>
      </c>
      <c r="J238" s="42">
        <f>(INT($E$25*6/$D238)-INT($E$25*(6-1)/$D238))*$C238</f>
        <v>0.0</v>
      </c>
      <c r="K238" s="42">
        <f>(INT($E$25*7/$D238)-INT($E$25*(7-1)/$D238))*$C238</f>
        <v>19.2</v>
      </c>
      <c r="L238" s="42">
        <f>(INT($E$25*8/$D238)-INT($E$25*(8-1)/$D238))*$C238</f>
        <v>0.0</v>
      </c>
      <c r="M238" s="42">
        <f>(INT($E$25*9/$D238)-INT($E$25*(9-1)/$D238))*$C238</f>
        <v>19.2</v>
      </c>
      <c r="N238" s="42">
        <f>(INT($E$25*10/$D238)-INT($E$25*(10-1)/$D238))*$C238</f>
        <v>0.0</v>
      </c>
    </row>
    <row r="239">
      <c r="B239" s="22" t="inlineStr">
        <is>
          <t>TRACK GROUP (гусеница)</t>
        </is>
      </c>
      <c r="C239" s="44" t="n">
        <v>8</v>
      </c>
      <c r="D239" s="43" t="n">
        <v>15000</v>
      </c>
      <c r="E239" s="42">
        <f>(INT($E$25*1/$D239)-INT($E$25*(1-1)/$D239))*$C239</f>
        <v>0.0</v>
      </c>
      <c r="F239" s="42">
        <f>(INT($E$25*2/$D239)-INT($E$25*(2-1)/$D239))*$C239</f>
        <v>0.0</v>
      </c>
      <c r="G239" s="42">
        <f>(INT($E$25*3/$D239)-INT($E$25*(3-1)/$D239))*$C239</f>
        <v>8.0</v>
      </c>
      <c r="H239" s="42">
        <f>(INT($E$25*4/$D239)-INT($E$25*(4-1)/$D239))*$C239</f>
        <v>0.0</v>
      </c>
      <c r="I239" s="42">
        <f>(INT($E$25*5/$D239)-INT($E$25*(5-1)/$D239))*$C239</f>
        <v>8.0</v>
      </c>
      <c r="J239" s="42">
        <f>(INT($E$25*6/$D239)-INT($E$25*(6-1)/$D239))*$C239</f>
        <v>0.0</v>
      </c>
      <c r="K239" s="42">
        <f>(INT($E$25*7/$D239)-INT($E$25*(7-1)/$D239))*$C239</f>
        <v>8.0</v>
      </c>
      <c r="L239" s="42">
        <f>(INT($E$25*8/$D239)-INT($E$25*(8-1)/$D239))*$C239</f>
        <v>0.0</v>
      </c>
      <c r="M239" s="42">
        <f>(INT($E$25*9/$D239)-INT($E$25*(9-1)/$D239))*$C239</f>
        <v>8.0</v>
      </c>
      <c r="N239" s="42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44" t="n">
        <v>3</v>
      </c>
      <c r="D240" s="43" t="n">
        <v>22000</v>
      </c>
      <c r="E240" s="42">
        <f>(INT($E$25*1/$D240)-INT($E$25*(1-1)/$D240))*$C240</f>
        <v>0.0</v>
      </c>
      <c r="F240" s="42">
        <f>(INT($E$25*2/$D240)-INT($E$25*(2-1)/$D240))*$C240</f>
        <v>0.0</v>
      </c>
      <c r="G240" s="42">
        <f>(INT($E$25*3/$D240)-INT($E$25*(3-1)/$D240))*$C240</f>
        <v>0.0</v>
      </c>
      <c r="H240" s="42">
        <f>(INT($E$25*4/$D240)-INT($E$25*(4-1)/$D240))*$C240</f>
        <v>3.0</v>
      </c>
      <c r="I240" s="42">
        <f>(INT($E$25*5/$D240)-INT($E$25*(5-1)/$D240))*$C240</f>
        <v>0.0</v>
      </c>
      <c r="J240" s="42">
        <f>(INT($E$25*6/$D240)-INT($E$25*(6-1)/$D240))*$C240</f>
        <v>0.0</v>
      </c>
      <c r="K240" s="42">
        <f>(INT($E$25*7/$D240)-INT($E$25*(7-1)/$D240))*$C240</f>
        <v>3.0</v>
      </c>
      <c r="L240" s="42">
        <f>(INT($E$25*8/$D240)-INT($E$25*(8-1)/$D240))*$C240</f>
        <v>0.0</v>
      </c>
      <c r="M240" s="42">
        <f>(INT($E$25*9/$D240)-INT($E$25*(9-1)/$D240))*$C240</f>
        <v>0.0</v>
      </c>
      <c r="N240" s="42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44" t="n">
        <v>8.800000000000001</v>
      </c>
      <c r="D241" s="43" t="n">
        <v>6000</v>
      </c>
      <c r="E241" s="42">
        <f>(INT($E$25*1/$D241)-INT($E$25*(1-1)/$D241))*$C241</f>
        <v>8.8</v>
      </c>
      <c r="F241" s="42">
        <f>(INT($E$25*2/$D241)-INT($E$25*(2-1)/$D241))*$C241</f>
        <v>8.8</v>
      </c>
      <c r="G241" s="42">
        <f>(INT($E$25*3/$D241)-INT($E$25*(3-1)/$D241))*$C241</f>
        <v>8.8</v>
      </c>
      <c r="H241" s="42">
        <f>(INT($E$25*4/$D241)-INT($E$25*(4-1)/$D241))*$C241</f>
        <v>8.8</v>
      </c>
      <c r="I241" s="42">
        <f>(INT($E$25*5/$D241)-INT($E$25*(5-1)/$D241))*$C241</f>
        <v>8.8</v>
      </c>
      <c r="J241" s="42">
        <f>(INT($E$25*6/$D241)-INT($E$25*(6-1)/$D241))*$C241</f>
        <v>17.6</v>
      </c>
      <c r="K241" s="42">
        <f>(INT($E$25*7/$D241)-INT($E$25*(7-1)/$D241))*$C241</f>
        <v>8.8</v>
      </c>
      <c r="L241" s="42">
        <f>(INT($E$25*8/$D241)-INT($E$25*(8-1)/$D241))*$C241</f>
        <v>8.8</v>
      </c>
      <c r="M241" s="42">
        <f>(INT($E$25*9/$D241)-INT($E$25*(9-1)/$D241))*$C241</f>
        <v>8.8</v>
      </c>
      <c r="N241" s="42">
        <f>(INT($E$25*10/$D241)-INT($E$25*(10-1)/$D241))*$C241</f>
        <v>8.8</v>
      </c>
    </row>
    <row r="242">
      <c r="B242" s="22" t="inlineStr">
        <is>
          <t>SHIM (прокладки)</t>
        </is>
      </c>
      <c r="C242" s="44" t="n">
        <v>8.800000000000001</v>
      </c>
      <c r="D242" s="43" t="n">
        <v>6000</v>
      </c>
      <c r="E242" s="42">
        <f>(INT($E$25*1/$D242)-INT($E$25*(1-1)/$D242))*$C242</f>
        <v>8.8</v>
      </c>
      <c r="F242" s="42">
        <f>(INT($E$25*2/$D242)-INT($E$25*(2-1)/$D242))*$C242</f>
        <v>8.8</v>
      </c>
      <c r="G242" s="42">
        <f>(INT($E$25*3/$D242)-INT($E$25*(3-1)/$D242))*$C242</f>
        <v>8.8</v>
      </c>
      <c r="H242" s="42">
        <f>(INT($E$25*4/$D242)-INT($E$25*(4-1)/$D242))*$C242</f>
        <v>8.8</v>
      </c>
      <c r="I242" s="42">
        <f>(INT($E$25*5/$D242)-INT($E$25*(5-1)/$D242))*$C242</f>
        <v>8.8</v>
      </c>
      <c r="J242" s="42">
        <f>(INT($E$25*6/$D242)-INT($E$25*(6-1)/$D242))*$C242</f>
        <v>17.6</v>
      </c>
      <c r="K242" s="42">
        <f>(INT($E$25*7/$D242)-INT($E$25*(7-1)/$D242))*$C242</f>
        <v>8.8</v>
      </c>
      <c r="L242" s="42">
        <f>(INT($E$25*8/$D242)-INT($E$25*(8-1)/$D242))*$C242</f>
        <v>8.8</v>
      </c>
      <c r="M242" s="42">
        <f>(INT($E$25*9/$D242)-INT($E$25*(9-1)/$D242))*$C242</f>
        <v>8.8</v>
      </c>
      <c r="N242" s="42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44" t="n">
        <v>2.4</v>
      </c>
      <c r="D243" s="43" t="n">
        <v>6000</v>
      </c>
      <c r="E243" s="42">
        <f>(INT($E$25*1/$D243)-INT($E$25*(1-1)/$D243))*$C243</f>
        <v>2.4</v>
      </c>
      <c r="F243" s="42">
        <f>(INT($E$25*2/$D243)-INT($E$25*(2-1)/$D243))*$C243</f>
        <v>2.4</v>
      </c>
      <c r="G243" s="42">
        <f>(INT($E$25*3/$D243)-INT($E$25*(3-1)/$D243))*$C243</f>
        <v>2.4</v>
      </c>
      <c r="H243" s="42">
        <f>(INT($E$25*4/$D243)-INT($E$25*(4-1)/$D243))*$C243</f>
        <v>2.4</v>
      </c>
      <c r="I243" s="42">
        <f>(INT($E$25*5/$D243)-INT($E$25*(5-1)/$D243))*$C243</f>
        <v>2.4</v>
      </c>
      <c r="J243" s="42">
        <f>(INT($E$25*6/$D243)-INT($E$25*(6-1)/$D243))*$C243</f>
        <v>4.8</v>
      </c>
      <c r="K243" s="42">
        <f>(INT($E$25*7/$D243)-INT($E$25*(7-1)/$D243))*$C243</f>
        <v>2.4</v>
      </c>
      <c r="L243" s="42">
        <f>(INT($E$25*8/$D243)-INT($E$25*(8-1)/$D243))*$C243</f>
        <v>2.4</v>
      </c>
      <c r="M243" s="42">
        <f>(INT($E$25*9/$D243)-INT($E$25*(9-1)/$D243))*$C243</f>
        <v>2.4</v>
      </c>
      <c r="N243" s="42">
        <f>(INT($E$25*10/$D243)-INT($E$25*(10-1)/$D243))*$C243</f>
        <v>2.4</v>
      </c>
    </row>
    <row r="244">
      <c r="B244" s="22" t="inlineStr">
        <is>
          <t>SHIM, GUIDE (прокладки)</t>
        </is>
      </c>
      <c r="C244" s="44" t="n">
        <v>3.2</v>
      </c>
      <c r="D244" s="43" t="n">
        <v>6000</v>
      </c>
      <c r="E244" s="42">
        <f>(INT($E$25*1/$D244)-INT($E$25*(1-1)/$D244))*$C244</f>
        <v>3.2</v>
      </c>
      <c r="F244" s="42">
        <f>(INT($E$25*2/$D244)-INT($E$25*(2-1)/$D244))*$C244</f>
        <v>3.2</v>
      </c>
      <c r="G244" s="42">
        <f>(INT($E$25*3/$D244)-INT($E$25*(3-1)/$D244))*$C244</f>
        <v>3.2</v>
      </c>
      <c r="H244" s="42">
        <f>(INT($E$25*4/$D244)-INT($E$25*(4-1)/$D244))*$C244</f>
        <v>3.2</v>
      </c>
      <c r="I244" s="42">
        <f>(INT($E$25*5/$D244)-INT($E$25*(5-1)/$D244))*$C244</f>
        <v>3.2</v>
      </c>
      <c r="J244" s="42">
        <f>(INT($E$25*6/$D244)-INT($E$25*(6-1)/$D244))*$C244</f>
        <v>6.4</v>
      </c>
      <c r="K244" s="42">
        <f>(INT($E$25*7/$D244)-INT($E$25*(7-1)/$D244))*$C244</f>
        <v>3.2</v>
      </c>
      <c r="L244" s="42">
        <f>(INT($E$25*8/$D244)-INT($E$25*(8-1)/$D244))*$C244</f>
        <v>3.2</v>
      </c>
      <c r="M244" s="42">
        <f>(INT($E$25*9/$D244)-INT($E$25*(9-1)/$D244))*$C244</f>
        <v>3.2</v>
      </c>
      <c r="N244" s="42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44" t="n">
        <v>36</v>
      </c>
      <c r="D245" s="43" t="n">
        <v>12000</v>
      </c>
      <c r="E245" s="42">
        <f>(INT($E$25*1/$D245)-INT($E$25*(1-1)/$D245))*$C245</f>
        <v>0.0</v>
      </c>
      <c r="F245" s="42">
        <f>(INT($E$25*2/$D245)-INT($E$25*(2-1)/$D245))*$C245</f>
        <v>36.0</v>
      </c>
      <c r="G245" s="42">
        <f>(INT($E$25*3/$D245)-INT($E$25*(3-1)/$D245))*$C245</f>
        <v>0.0</v>
      </c>
      <c r="H245" s="42">
        <f>(INT($E$25*4/$D245)-INT($E$25*(4-1)/$D245))*$C245</f>
        <v>36.0</v>
      </c>
      <c r="I245" s="42">
        <f>(INT($E$25*5/$D245)-INT($E$25*(5-1)/$D245))*$C245</f>
        <v>0.0</v>
      </c>
      <c r="J245" s="42">
        <f>(INT($E$25*6/$D245)-INT($E$25*(6-1)/$D245))*$C245</f>
        <v>36.0</v>
      </c>
      <c r="K245" s="42">
        <f>(INT($E$25*7/$D245)-INT($E$25*(7-1)/$D245))*$C245</f>
        <v>36.0</v>
      </c>
      <c r="L245" s="42">
        <f>(INT($E$25*8/$D245)-INT($E$25*(8-1)/$D245))*$C245</f>
        <v>0.0</v>
      </c>
      <c r="M245" s="42">
        <f>(INT($E$25*9/$D245)-INT($E$25*(9-1)/$D245))*$C245</f>
        <v>36.0</v>
      </c>
      <c r="N245" s="42">
        <f>(INT($E$25*10/$D245)-INT($E$25*(10-1)/$D245))*$C245</f>
        <v>0.0</v>
      </c>
    </row>
    <row r="246">
      <c r="B246" s="22" t="inlineStr">
        <is>
          <t>SHEAVE W/BUSH-1 ROPE (шкив)</t>
        </is>
      </c>
      <c r="C246" s="44" t="n">
        <v>14</v>
      </c>
      <c r="D246" s="43" t="n">
        <v>15000</v>
      </c>
      <c r="E246" s="42">
        <f>(INT($E$25*1/$D246)-INT($E$25*(1-1)/$D246))*$C246</f>
        <v>0.0</v>
      </c>
      <c r="F246" s="42">
        <f>(INT($E$25*2/$D246)-INT($E$25*(2-1)/$D246))*$C246</f>
        <v>0.0</v>
      </c>
      <c r="G246" s="42">
        <f>(INT($E$25*3/$D246)-INT($E$25*(3-1)/$D246))*$C246</f>
        <v>14.0</v>
      </c>
      <c r="H246" s="42">
        <f>(INT($E$25*4/$D246)-INT($E$25*(4-1)/$D246))*$C246</f>
        <v>0.0</v>
      </c>
      <c r="I246" s="42">
        <f>(INT($E$25*5/$D246)-INT($E$25*(5-1)/$D246))*$C246</f>
        <v>14.0</v>
      </c>
      <c r="J246" s="42">
        <f>(INT($E$25*6/$D246)-INT($E$25*(6-1)/$D246))*$C246</f>
        <v>0.0</v>
      </c>
      <c r="K246" s="42">
        <f>(INT($E$25*7/$D246)-INT($E$25*(7-1)/$D246))*$C246</f>
        <v>14.0</v>
      </c>
      <c r="L246" s="42">
        <f>(INT($E$25*8/$D246)-INT($E$25*(8-1)/$D246))*$C246</f>
        <v>0.0</v>
      </c>
      <c r="M246" s="42">
        <f>(INT($E$25*9/$D246)-INT($E$25*(9-1)/$D246))*$C246</f>
        <v>14.0</v>
      </c>
      <c r="N246" s="42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44" t="n">
        <v>2.1</v>
      </c>
      <c r="D247" s="43" t="n">
        <v>12000</v>
      </c>
      <c r="E247" s="42">
        <f>(INT($E$25*1/$D247)-INT($E$25*(1-1)/$D247))*$C247</f>
        <v>0.0</v>
      </c>
      <c r="F247" s="42">
        <f>(INT($E$25*2/$D247)-INT($E$25*(2-1)/$D247))*$C247</f>
        <v>2.1</v>
      </c>
      <c r="G247" s="42">
        <f>(INT($E$25*3/$D247)-INT($E$25*(3-1)/$D247))*$C247</f>
        <v>0.0</v>
      </c>
      <c r="H247" s="42">
        <f>(INT($E$25*4/$D247)-INT($E$25*(4-1)/$D247))*$C247</f>
        <v>2.1</v>
      </c>
      <c r="I247" s="42">
        <f>(INT($E$25*5/$D247)-INT($E$25*(5-1)/$D247))*$C247</f>
        <v>0.0</v>
      </c>
      <c r="J247" s="42">
        <f>(INT($E$25*6/$D247)-INT($E$25*(6-1)/$D247))*$C247</f>
        <v>2.1</v>
      </c>
      <c r="K247" s="42">
        <f>(INT($E$25*7/$D247)-INT($E$25*(7-1)/$D247))*$C247</f>
        <v>2.1</v>
      </c>
      <c r="L247" s="42">
        <f>(INT($E$25*8/$D247)-INT($E$25*(8-1)/$D247))*$C247</f>
        <v>0.0</v>
      </c>
      <c r="M247" s="42">
        <f>(INT($E$25*9/$D247)-INT($E$25*(9-1)/$D247))*$C247</f>
        <v>2.1</v>
      </c>
      <c r="N247" s="42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44" t="n">
        <v>1.5</v>
      </c>
      <c r="D248" s="43" t="n">
        <v>8000</v>
      </c>
      <c r="E248" s="42">
        <f>(INT($E$25*1/$D248)-INT($E$25*(1-1)/$D248))*$C248</f>
        <v>0.0</v>
      </c>
      <c r="F248" s="42">
        <f>(INT($E$25*2/$D248)-INT($E$25*(2-1)/$D248))*$C248</f>
        <v>1.5</v>
      </c>
      <c r="G248" s="42">
        <f>(INT($E$25*3/$D248)-INT($E$25*(3-1)/$D248))*$C248</f>
        <v>1.5</v>
      </c>
      <c r="H248" s="42">
        <f>(INT($E$25*4/$D248)-INT($E$25*(4-1)/$D248))*$C248</f>
        <v>1.5</v>
      </c>
      <c r="I248" s="42">
        <f>(INT($E$25*5/$D248)-INT($E$25*(5-1)/$D248))*$C248</f>
        <v>1.5</v>
      </c>
      <c r="J248" s="42">
        <f>(INT($E$25*6/$D248)-INT($E$25*(6-1)/$D248))*$C248</f>
        <v>1.5</v>
      </c>
      <c r="K248" s="42">
        <f>(INT($E$25*7/$D248)-INT($E$25*(7-1)/$D248))*$C248</f>
        <v>1.5</v>
      </c>
      <c r="L248" s="42">
        <f>(INT($E$25*8/$D248)-INT($E$25*(8-1)/$D248))*$C248</f>
        <v>1.5</v>
      </c>
      <c r="M248" s="42">
        <f>(INT($E$25*9/$D248)-INT($E$25*(9-1)/$D248))*$C248</f>
        <v>0.0</v>
      </c>
      <c r="N248" s="42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44" t="n">
        <v>36</v>
      </c>
      <c r="D249" s="43" t="n">
        <v>15000</v>
      </c>
      <c r="E249" s="42">
        <f>(INT($E$25*1/$D249)-INT($E$25*(1-1)/$D249))*$C249</f>
        <v>0.0</v>
      </c>
      <c r="F249" s="42">
        <f>(INT($E$25*2/$D249)-INT($E$25*(2-1)/$D249))*$C249</f>
        <v>0.0</v>
      </c>
      <c r="G249" s="42">
        <f>(INT($E$25*3/$D249)-INT($E$25*(3-1)/$D249))*$C249</f>
        <v>36.0</v>
      </c>
      <c r="H249" s="42">
        <f>(INT($E$25*4/$D249)-INT($E$25*(4-1)/$D249))*$C249</f>
        <v>0.0</v>
      </c>
      <c r="I249" s="42">
        <f>(INT($E$25*5/$D249)-INT($E$25*(5-1)/$D249))*$C249</f>
        <v>36.0</v>
      </c>
      <c r="J249" s="42">
        <f>(INT($E$25*6/$D249)-INT($E$25*(6-1)/$D249))*$C249</f>
        <v>0.0</v>
      </c>
      <c r="K249" s="42">
        <f>(INT($E$25*7/$D249)-INT($E$25*(7-1)/$D249))*$C249</f>
        <v>36.0</v>
      </c>
      <c r="L249" s="42">
        <f>(INT($E$25*8/$D249)-INT($E$25*(8-1)/$D249))*$C249</f>
        <v>0.0</v>
      </c>
      <c r="M249" s="42">
        <f>(INT($E$25*9/$D249)-INT($E$25*(9-1)/$D249))*$C249</f>
        <v>36.0</v>
      </c>
      <c r="N249" s="42">
        <f>(INT($E$25*10/$D249)-INT($E$25*(10-1)/$D249))*$C249</f>
        <v>0.0</v>
      </c>
    </row>
    <row r="250">
      <c r="B250" s="22" t="inlineStr">
        <is>
          <t>Valve,solenoid (соленоид)</t>
        </is>
      </c>
      <c r="C250" s="44" t="n">
        <v>30</v>
      </c>
      <c r="D250" s="43" t="n">
        <v>15000</v>
      </c>
      <c r="E250" s="42">
        <f>(INT($E$25*1/$D250)-INT($E$25*(1-1)/$D250))*$C250</f>
        <v>0.0</v>
      </c>
      <c r="F250" s="42">
        <f>(INT($E$25*2/$D250)-INT($E$25*(2-1)/$D250))*$C250</f>
        <v>0.0</v>
      </c>
      <c r="G250" s="42">
        <f>(INT($E$25*3/$D250)-INT($E$25*(3-1)/$D250))*$C250</f>
        <v>30.0</v>
      </c>
      <c r="H250" s="42">
        <f>(INT($E$25*4/$D250)-INT($E$25*(4-1)/$D250))*$C250</f>
        <v>0.0</v>
      </c>
      <c r="I250" s="42">
        <f>(INT($E$25*5/$D250)-INT($E$25*(5-1)/$D250))*$C250</f>
        <v>30.0</v>
      </c>
      <c r="J250" s="42">
        <f>(INT($E$25*6/$D250)-INT($E$25*(6-1)/$D250))*$C250</f>
        <v>0.0</v>
      </c>
      <c r="K250" s="42">
        <f>(INT($E$25*7/$D250)-INT($E$25*(7-1)/$D250))*$C250</f>
        <v>30.0</v>
      </c>
      <c r="L250" s="42">
        <f>(INT($E$25*8/$D250)-INT($E$25*(8-1)/$D250))*$C250</f>
        <v>0.0</v>
      </c>
      <c r="M250" s="42">
        <f>(INT($E$25*9/$D250)-INT($E$25*(9-1)/$D250))*$C250</f>
        <v>30.0</v>
      </c>
      <c r="N250" s="42">
        <f>(INT($E$25*10/$D250)-INT($E$25*(10-1)/$D250))*$C250</f>
        <v>0.0</v>
      </c>
    </row>
    <row r="251">
      <c r="B251" s="45" t="inlineStr">
        <is>
          <t>ИТОГО</t>
        </is>
      </c>
      <c r="E251" s="42">
        <f>SUM(E192:E250)</f>
        <v>36.60000000000001</v>
      </c>
      <c r="F251" s="42">
        <f>SUM(F192:F250)</f>
        <v>192.66</v>
      </c>
      <c r="G251" s="42">
        <f>SUM(G192:G250)</f>
        <v>330.45</v>
      </c>
      <c r="H251" s="42">
        <f>SUM(H192:H250)</f>
        <v>188.56</v>
      </c>
      <c r="I251" s="42">
        <f>SUM(I192:I250)</f>
        <v>267.75</v>
      </c>
      <c r="J251" s="42">
        <f>SUM(J192:J250)</f>
        <v>319.96000000000004</v>
      </c>
      <c r="K251" s="42">
        <f>SUM(K192:K250)</f>
        <v>300.71</v>
      </c>
      <c r="L251" s="42">
        <f>SUM(L192:L250)</f>
        <v>155.4</v>
      </c>
      <c r="M251" s="42">
        <f>SUM(M192:M250)</f>
        <v>403.40999999999997</v>
      </c>
      <c r="N251" s="42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4" t="inlineStr">
        <is>
          <t>шт./тыс.пог.м</t>
        </is>
      </c>
      <c r="D255" s="46" t="n">
        <v>0</v>
      </c>
      <c r="E255" s="44" t="n">
        <v>0</v>
      </c>
    </row>
    <row r="256">
      <c r="B256" s="22" t="inlineStr">
        <is>
          <t>Штанги буровые / адаптеры</t>
        </is>
      </c>
      <c r="C256" s="24" t="inlineStr">
        <is>
          <t>шт./тыс.пог.м</t>
        </is>
      </c>
      <c r="D256" s="46" t="n">
        <v>0</v>
      </c>
      <c r="E256" s="44" t="n">
        <v>0</v>
      </c>
    </row>
    <row r="257">
      <c r="B257" s="22" t="inlineStr">
        <is>
          <t>Прочие расходники</t>
        </is>
      </c>
      <c r="C257" s="24" t="inlineStr">
        <is>
          <t>руб/пог.м</t>
        </is>
      </c>
      <c r="D257" s="44" t="n">
        <v>0</v>
      </c>
    </row>
    <row r="259">
      <c r="B259" s="47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3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37" t="str">
        <f>'Ввод данных'!F7</f>
        <v>Sunward
SWDRT270SM</v>
      </c>
    </row>
    <row r="5">
      <c r="B5" s="9" t="inlineStr">
        <is>
          <t>Валюта затрат ТОиР:</t>
        </is>
      </c>
      <c r="D5" s="38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E40</f>
        <v>636.3723333333335</v>
      </c>
      <c r="F8" s="40">
        <f>F40</f>
        <v>636.3723333333335</v>
      </c>
      <c r="G8" s="40">
        <f>G40</f>
        <v>636.3723333333335</v>
      </c>
      <c r="H8" s="40">
        <f>H40</f>
        <v>636.3723333333335</v>
      </c>
      <c r="I8" s="40">
        <f>I40</f>
        <v>636.3723333333335</v>
      </c>
      <c r="J8" s="40">
        <f>J40</f>
        <v>636.3723333333335</v>
      </c>
      <c r="K8" s="40">
        <f>K40</f>
        <v>636.3723333333335</v>
      </c>
      <c r="L8" s="40">
        <f>L40</f>
        <v>636.3723333333335</v>
      </c>
      <c r="M8" s="40">
        <f>M40</f>
        <v>636.3723333333335</v>
      </c>
      <c r="N8" s="40">
        <f>N40</f>
        <v>636.3723333333335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425.645</v>
      </c>
      <c r="F9" s="32" t="n">
        <v>690.645</v>
      </c>
      <c r="G9" s="32" t="n">
        <v>870.645</v>
      </c>
      <c r="H9" s="32" t="n">
        <v>605.645</v>
      </c>
      <c r="I9" s="32" t="n">
        <v>690.645</v>
      </c>
      <c r="J9" s="32" t="n">
        <v>890.645</v>
      </c>
      <c r="K9" s="32" t="n">
        <v>720.645</v>
      </c>
      <c r="L9" s="32" t="n">
        <v>690.645</v>
      </c>
      <c r="M9" s="32" t="n">
        <v>830.645</v>
      </c>
      <c r="N9" s="32" t="n">
        <v>790.645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('Параметры'!C27-E8-E9)/'Параметры'!C28*20/60</f>
        <v>213.83285185185184</v>
      </c>
      <c r="F10" s="41">
        <f>('Параметры'!C27-F8-F9)/'Параметры'!C28*20/60</f>
        <v>206.47174074074076</v>
      </c>
      <c r="G10" s="41">
        <f>('Параметры'!C27-G8-G9)/'Параметры'!C28*20/60</f>
        <v>201.47174074074076</v>
      </c>
      <c r="H10" s="41">
        <f>('Параметры'!C27-H8-H9)/'Параметры'!C28*20/60</f>
        <v>208.83285185185184</v>
      </c>
      <c r="I10" s="41">
        <f>('Параметры'!C27-I8-I9)/'Параметры'!C28*20/60</f>
        <v>206.47174074074076</v>
      </c>
      <c r="J10" s="41">
        <f>('Параметры'!C27-J8-J9)/'Параметры'!C28*20/60</f>
        <v>200.91618518518516</v>
      </c>
      <c r="K10" s="41">
        <f>('Параметры'!C27-K8-K9)/'Параметры'!C28*20/60</f>
        <v>205.63840740740744</v>
      </c>
      <c r="L10" s="41">
        <f>('Параметры'!C27-L8-L9)/'Параметры'!C28*20/60</f>
        <v>206.47174074074076</v>
      </c>
      <c r="M10" s="41">
        <f>('Параметры'!C27-M8-M9)/'Параметры'!C28*20/60</f>
        <v>202.58285185185184</v>
      </c>
      <c r="N10" s="41">
        <f>('Параметры'!C27-N8-N9)/'Параметры'!C28*20/60</f>
        <v>203.69396296296296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0.8948</v>
      </c>
      <c r="F11" s="33" t="n">
        <v>0.8653999999999999</v>
      </c>
      <c r="G11" s="33" t="n">
        <v>0.8454</v>
      </c>
      <c r="H11" s="33" t="n">
        <v>0.8748</v>
      </c>
      <c r="I11" s="33" t="n">
        <v>0.8653999999999999</v>
      </c>
      <c r="J11" s="33" t="n">
        <v>0.8431999999999999</v>
      </c>
      <c r="K11" s="33" t="n">
        <v>0.8621</v>
      </c>
      <c r="L11" s="33" t="n">
        <v>0.8653999999999999</v>
      </c>
      <c r="M11" s="33" t="n">
        <v>0.8498</v>
      </c>
      <c r="N11" s="33" t="n">
        <v>0.8542999999999999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E85</f>
        <v>136.07378843333333</v>
      </c>
      <c r="F12" s="42">
        <f>F85</f>
        <v>136.07378843333333</v>
      </c>
      <c r="G12" s="42">
        <f>G85</f>
        <v>136.07378843333333</v>
      </c>
      <c r="H12" s="42">
        <f>H85</f>
        <v>136.07378843333333</v>
      </c>
      <c r="I12" s="42">
        <f>I85</f>
        <v>136.07378843333333</v>
      </c>
      <c r="J12" s="42">
        <f>J85</f>
        <v>136.07378843333333</v>
      </c>
      <c r="K12" s="42">
        <f>K85</f>
        <v>136.07378843333333</v>
      </c>
      <c r="L12" s="42">
        <f>L85</f>
        <v>136.07378843333333</v>
      </c>
      <c r="M12" s="42">
        <f>M85</f>
        <v>136.07378843333333</v>
      </c>
      <c r="N12" s="42">
        <f>N85</f>
        <v>136.07378843333333</v>
      </c>
    </row>
    <row r="13">
      <c r="B13" s="39" t="inlineStr">
        <is>
          <t>Затраты на ЗЧ текущих ремонтов (по ресурсу)</t>
        </is>
      </c>
      <c r="C13" s="24" t="inlineStr">
        <is>
          <t>тыс.вал/г</t>
        </is>
      </c>
      <c r="E13" s="42">
        <f>E105</f>
        <v>4.506819999999999</v>
      </c>
      <c r="F13" s="42">
        <f>F105</f>
        <v>60.109840000000005</v>
      </c>
      <c r="G13" s="42">
        <f>G105</f>
        <v>145.1624</v>
      </c>
      <c r="H13" s="42">
        <f>H105</f>
        <v>60.109840000000005</v>
      </c>
      <c r="I13" s="42">
        <f>I105</f>
        <v>144.82518</v>
      </c>
      <c r="J13" s="42">
        <f>J105</f>
        <v>67.22701</v>
      </c>
      <c r="K13" s="42">
        <f>K105</f>
        <v>145.21432</v>
      </c>
      <c r="L13" s="42">
        <f>L105</f>
        <v>60.057919999999996</v>
      </c>
      <c r="M13" s="42">
        <f>M105</f>
        <v>111.9831</v>
      </c>
      <c r="N13" s="42">
        <f>N105</f>
        <v>105.58931</v>
      </c>
    </row>
    <row r="14">
      <c r="B14" s="39" t="inlineStr">
        <is>
          <t>Затраты на ЗЧ капремонтов (по ресурсу)</t>
        </is>
      </c>
      <c r="C14" s="24" t="inlineStr">
        <is>
          <t>тыс.вал/г</t>
        </is>
      </c>
      <c r="E14" s="42">
        <f>E188</f>
        <v>7.382379999999999</v>
      </c>
      <c r="F14" s="42">
        <f>F188</f>
        <v>204.26495</v>
      </c>
      <c r="G14" s="42">
        <f>G188</f>
        <v>438.81584</v>
      </c>
      <c r="H14" s="42">
        <f>H188</f>
        <v>434.86339000000004</v>
      </c>
      <c r="I14" s="42">
        <f>I188</f>
        <v>610.36746</v>
      </c>
      <c r="J14" s="42">
        <f>J188</f>
        <v>366.36175000000003</v>
      </c>
      <c r="K14" s="42">
        <f>K188</f>
        <v>590.25823</v>
      </c>
      <c r="L14" s="42">
        <f>L188</f>
        <v>224.66392</v>
      </c>
      <c r="M14" s="42">
        <f>M188</f>
        <v>774.55654</v>
      </c>
      <c r="N14" s="42">
        <f>N188</f>
        <v>283.30237000000005</v>
      </c>
    </row>
    <row r="15">
      <c r="B15" s="39" t="inlineStr">
        <is>
          <t>Трудозатраты ТО (авто)</t>
        </is>
      </c>
      <c r="C15" s="24" t="inlineStr">
        <is>
          <t>ч-час/г</t>
        </is>
      </c>
      <c r="E15" s="40">
        <f>E47</f>
        <v>636.3723333333335</v>
      </c>
      <c r="F15" s="40">
        <f>F47</f>
        <v>636.3723333333335</v>
      </c>
      <c r="G15" s="40">
        <f>G47</f>
        <v>636.3723333333335</v>
      </c>
      <c r="H15" s="40">
        <f>H47</f>
        <v>636.3723333333335</v>
      </c>
      <c r="I15" s="40">
        <f>I47</f>
        <v>636.3723333333335</v>
      </c>
      <c r="J15" s="40">
        <f>J47</f>
        <v>636.3723333333335</v>
      </c>
      <c r="K15" s="40">
        <f>K47</f>
        <v>636.3723333333335</v>
      </c>
      <c r="L15" s="40">
        <f>L47</f>
        <v>636.3723333333335</v>
      </c>
      <c r="M15" s="40">
        <f>M47</f>
        <v>636.3723333333335</v>
      </c>
      <c r="N15" s="40">
        <f>N47</f>
        <v>636.3723333333335</v>
      </c>
    </row>
    <row r="16">
      <c r="B16" s="39" t="inlineStr">
        <is>
          <t>Трудозатраты текущих ремонтов (авто)</t>
        </is>
      </c>
      <c r="C16" s="24" t="inlineStr">
        <is>
          <t>ч-час/г</t>
        </is>
      </c>
      <c r="E16" s="40">
        <f>E125</f>
        <v>48.4</v>
      </c>
      <c r="F16" s="40">
        <f>F125</f>
        <v>174.3</v>
      </c>
      <c r="G16" s="40">
        <f>G125</f>
        <v>228.3</v>
      </c>
      <c r="H16" s="40">
        <f>H125</f>
        <v>174.3</v>
      </c>
      <c r="I16" s="40">
        <f>I125</f>
        <v>220.4</v>
      </c>
      <c r="J16" s="40">
        <f>J125</f>
        <v>255.8</v>
      </c>
      <c r="K16" s="40">
        <f>K125</f>
        <v>226.3</v>
      </c>
      <c r="L16" s="40">
        <f>L125</f>
        <v>176.3</v>
      </c>
      <c r="M16" s="40">
        <f>M125</f>
        <v>214.4</v>
      </c>
      <c r="N16" s="40">
        <f>N125</f>
        <v>365.3</v>
      </c>
    </row>
    <row r="17">
      <c r="B17" s="39" t="inlineStr">
        <is>
          <t>Трудозатраты капремонтов (авто)</t>
        </is>
      </c>
      <c r="C17" s="24" t="inlineStr">
        <is>
          <t>ч-час/г</t>
        </is>
      </c>
      <c r="E17" s="40">
        <f>E251</f>
        <v>36.60000000000001</v>
      </c>
      <c r="F17" s="40">
        <f>F251</f>
        <v>192.66</v>
      </c>
      <c r="G17" s="40">
        <f>G251</f>
        <v>330.45</v>
      </c>
      <c r="H17" s="40">
        <f>H251</f>
        <v>188.56</v>
      </c>
      <c r="I17" s="40">
        <f>I251</f>
        <v>267.75</v>
      </c>
      <c r="J17" s="40">
        <f>J251</f>
        <v>319.96000000000004</v>
      </c>
      <c r="K17" s="40">
        <f>K251</f>
        <v>300.71</v>
      </c>
      <c r="L17" s="40">
        <f>L251</f>
        <v>155.4</v>
      </c>
      <c r="M17" s="40">
        <f>M251</f>
        <v>403.40999999999997</v>
      </c>
      <c r="N17" s="40">
        <f>N251</f>
        <v>102.4</v>
      </c>
    </row>
    <row r="18">
      <c r="B18" s="39" t="inlineStr">
        <is>
          <t>Сервис (трудозатраты ТО+ТР+КР)</t>
        </is>
      </c>
      <c r="C18" s="24" t="inlineStr">
        <is>
          <t>тыс.вал/г</t>
        </is>
      </c>
      <c r="E18" s="42">
        <f>(E15+E16+E17)*$E$23/1000</f>
        <v>41.76292665221791</v>
      </c>
      <c r="F18" s="42">
        <f>(F15+F16+F17)*$E$23/1000</f>
        <v>58.08663946283677</v>
      </c>
      <c r="G18" s="42">
        <f>(G15+G16+G17)*$E$23/1000</f>
        <v>69.19007569474411</v>
      </c>
      <c r="H18" s="42">
        <f>(H15+H16+H17)*$E$23/1000</f>
        <v>57.84927521782494</v>
      </c>
      <c r="I18" s="42">
        <f>(I15+I16+I17)*$E$23/1000</f>
        <v>65.10277918307688</v>
      </c>
      <c r="J18" s="42">
        <f>(J15+J16+J17)*$E$23/1000</f>
        <v>70.17484784295176</v>
      </c>
      <c r="K18" s="42">
        <f>(K15+K16+K17)*$E$23/1000</f>
        <v>67.35252907604273</v>
      </c>
      <c r="L18" s="42">
        <f>(L15+L16+L17)*$E$23/1000</f>
        <v>56.04530695573498</v>
      </c>
      <c r="M18" s="42">
        <f>(M15+M16+M17)*$E$23/1000</f>
        <v>72.60927869728047</v>
      </c>
      <c r="N18" s="42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4" t="inlineStr">
        <is>
          <t>коэф.</t>
        </is>
      </c>
      <c r="E19" s="27" t="n">
        <v>0.8225</v>
      </c>
    </row>
    <row r="20">
      <c r="B20" s="39" t="inlineStr">
        <is>
          <t>ИТОГО ТОиР → «Данные по годам»</t>
        </is>
      </c>
      <c r="C20" s="24" t="inlineStr">
        <is>
          <t>тыс.вал/г</t>
        </is>
      </c>
      <c r="E20" s="42">
        <f>(E12+E13+E14+E18)*$E$19</f>
        <v>156.0495651578659</v>
      </c>
      <c r="F20" s="42">
        <f>(F12+F13+F14+F18)*$E$19</f>
        <v>377.14521671959994</v>
      </c>
      <c r="G20" s="42">
        <f>(G12+G13+G14+G18)*$E$19</f>
        <v>649.1516306453437</v>
      </c>
      <c r="H20" s="42">
        <f>(H12+H13+H14+H18)*$E$19</f>
        <v>566.6172015280778</v>
      </c>
      <c r="I20" s="42">
        <f>(I12+I13+I14+I18)*$E$19</f>
        <v>786.6136732644975</v>
      </c>
      <c r="J20" s="42">
        <f>(J12+J13+J14+J18)*$E$19</f>
        <v>526.2662584372445</v>
      </c>
      <c r="K20" s="42">
        <f>(K12+K13+K14+K18)*$E$19</f>
        <v>772.2443185264619</v>
      </c>
      <c r="L20" s="42">
        <f>(L12+L13+L14+L18)*$E$19</f>
        <v>392.2016693575087</v>
      </c>
      <c r="M20" s="42">
        <f>(M12+M13+M14+M18)*$E$19</f>
        <v>900.8206766149299</v>
      </c>
      <c r="N20" s="42">
        <f>(N12+N13+N14+N18)*$E$19</f>
        <v>484.3573540860512</v>
      </c>
    </row>
    <row r="21">
      <c r="B21" s="22" t="inlineStr">
        <is>
          <t>Удельный расход ДТ / энергии</t>
        </is>
      </c>
      <c r="C21" s="24" t="inlineStr">
        <is>
          <t>кг(кВт)/час</t>
        </is>
      </c>
      <c r="E21" s="34" t="n">
        <v>50.1</v>
      </c>
      <c r="F21" s="34" t="n">
        <v>50.1</v>
      </c>
      <c r="G21" s="34" t="n">
        <v>50.1</v>
      </c>
      <c r="H21" s="34" t="n">
        <v>50.1</v>
      </c>
      <c r="I21" s="34" t="n">
        <v>50.1</v>
      </c>
      <c r="J21" s="34" t="n">
        <v>50.1</v>
      </c>
      <c r="K21" s="34" t="n">
        <v>50.1</v>
      </c>
      <c r="L21" s="34" t="n">
        <v>50.1</v>
      </c>
      <c r="M21" s="34" t="n">
        <v>50.1</v>
      </c>
      <c r="N21" s="34" t="n">
        <v>50.1</v>
      </c>
    </row>
    <row r="23">
      <c r="B23" s="22" t="inlineStr">
        <is>
          <t>Ставка сервиса</t>
        </is>
      </c>
      <c r="C23" s="24" t="inlineStr">
        <is>
          <t>вал/ч·час</t>
        </is>
      </c>
      <c r="E23" s="27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2" t="n">
        <v>7000</v>
      </c>
      <c r="F25" s="32" t="n">
        <v>7000</v>
      </c>
      <c r="G25" s="32" t="n">
        <v>7000</v>
      </c>
      <c r="H25" s="32" t="n">
        <v>7000</v>
      </c>
      <c r="I25" s="32" t="n">
        <v>7000</v>
      </c>
      <c r="J25" s="32" t="n">
        <v>7000</v>
      </c>
      <c r="K25" s="32" t="n">
        <v>7000</v>
      </c>
      <c r="L25" s="32" t="n">
        <v>7000</v>
      </c>
      <c r="M25" s="32" t="n">
        <v>7000</v>
      </c>
      <c r="N25" s="32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3" t="n">
        <v>250</v>
      </c>
      <c r="D27" s="44" t="n">
        <v>10.9</v>
      </c>
      <c r="E27" s="43" t="n">
        <v>1</v>
      </c>
    </row>
    <row r="28">
      <c r="B28" s="22" t="inlineStr">
        <is>
          <t>ТО-2</t>
        </is>
      </c>
      <c r="C28" s="43" t="n">
        <v>500</v>
      </c>
      <c r="D28" s="44" t="n">
        <v>13.5</v>
      </c>
      <c r="E28" s="43" t="n">
        <v>1</v>
      </c>
    </row>
    <row r="29">
      <c r="B29" s="22" t="inlineStr">
        <is>
          <t>ТО-3</t>
        </is>
      </c>
      <c r="C29" s="43" t="n">
        <v>1000</v>
      </c>
      <c r="D29" s="44" t="n">
        <v>12.43</v>
      </c>
      <c r="E29" s="43" t="n">
        <v>1</v>
      </c>
    </row>
    <row r="30">
      <c r="B30" s="22" t="inlineStr">
        <is>
          <t>ТО-4</t>
        </is>
      </c>
      <c r="C30" s="43" t="n">
        <v>2000</v>
      </c>
      <c r="D30" s="44" t="n">
        <v>5.67</v>
      </c>
      <c r="E30" s="43" t="n">
        <v>1</v>
      </c>
    </row>
    <row r="31">
      <c r="B31" s="22" t="inlineStr">
        <is>
          <t>ТО-5</t>
        </is>
      </c>
      <c r="C31" s="43" t="n">
        <v>3000</v>
      </c>
      <c r="D31" s="44" t="n">
        <v>10.06</v>
      </c>
      <c r="E31" s="43" t="n">
        <v>1</v>
      </c>
    </row>
    <row r="32">
      <c r="B32" s="22" t="inlineStr">
        <is>
          <t>ТО-6</t>
        </is>
      </c>
      <c r="C32" s="43" t="n">
        <v>5000</v>
      </c>
      <c r="D32" s="44" t="n">
        <v>8.460000000000001</v>
      </c>
      <c r="E32" s="43" t="n">
        <v>1</v>
      </c>
    </row>
    <row r="34">
      <c r="B34" s="39" t="inlineStr">
        <is>
          <t>ТО-1: простои, ч/год</t>
        </is>
      </c>
      <c r="C34" s="24" t="inlineStr">
        <is>
          <t>ч</t>
        </is>
      </c>
      <c r="E34" s="42">
        <f>E$25/$C27*$D27</f>
        <v>305.2</v>
      </c>
      <c r="F34" s="42">
        <f>F$25/$C27*$D27</f>
        <v>305.2</v>
      </c>
      <c r="G34" s="42">
        <f>G$25/$C27*$D27</f>
        <v>305.2</v>
      </c>
      <c r="H34" s="42">
        <f>H$25/$C27*$D27</f>
        <v>305.2</v>
      </c>
      <c r="I34" s="42">
        <f>I$25/$C27*$D27</f>
        <v>305.2</v>
      </c>
      <c r="J34" s="42">
        <f>J$25/$C27*$D27</f>
        <v>305.2</v>
      </c>
      <c r="K34" s="42">
        <f>K$25/$C27*$D27</f>
        <v>305.2</v>
      </c>
      <c r="L34" s="42">
        <f>L$25/$C27*$D27</f>
        <v>305.2</v>
      </c>
      <c r="M34" s="42">
        <f>M$25/$C27*$D27</f>
        <v>305.2</v>
      </c>
      <c r="N34" s="42">
        <f>N$25/$C27*$D27</f>
        <v>305.2</v>
      </c>
    </row>
    <row r="35">
      <c r="B35" s="39" t="inlineStr">
        <is>
          <t>ТО-2: простои, ч/год</t>
        </is>
      </c>
      <c r="C35" s="24" t="inlineStr">
        <is>
          <t>ч</t>
        </is>
      </c>
      <c r="E35" s="42">
        <f>E$25/$C28*$D28</f>
        <v>189.0</v>
      </c>
      <c r="F35" s="42">
        <f>F$25/$C28*$D28</f>
        <v>189.0</v>
      </c>
      <c r="G35" s="42">
        <f>G$25/$C28*$D28</f>
        <v>189.0</v>
      </c>
      <c r="H35" s="42">
        <f>H$25/$C28*$D28</f>
        <v>189.0</v>
      </c>
      <c r="I35" s="42">
        <f>I$25/$C28*$D28</f>
        <v>189.0</v>
      </c>
      <c r="J35" s="42">
        <f>J$25/$C28*$D28</f>
        <v>189.0</v>
      </c>
      <c r="K35" s="42">
        <f>K$25/$C28*$D28</f>
        <v>189.0</v>
      </c>
      <c r="L35" s="42">
        <f>L$25/$C28*$D28</f>
        <v>189.0</v>
      </c>
      <c r="M35" s="42">
        <f>M$25/$C28*$D28</f>
        <v>189.0</v>
      </c>
      <c r="N35" s="42">
        <f>N$25/$C28*$D28</f>
        <v>189.0</v>
      </c>
    </row>
    <row r="36">
      <c r="B36" s="39" t="inlineStr">
        <is>
          <t>ТО-3: простои, ч/год</t>
        </is>
      </c>
      <c r="C36" s="24" t="inlineStr">
        <is>
          <t>ч</t>
        </is>
      </c>
      <c r="E36" s="42">
        <f>E$25/$C29*$D29</f>
        <v>87.00999999999999</v>
      </c>
      <c r="F36" s="42">
        <f>F$25/$C29*$D29</f>
        <v>87.00999999999999</v>
      </c>
      <c r="G36" s="42">
        <f>G$25/$C29*$D29</f>
        <v>87.00999999999999</v>
      </c>
      <c r="H36" s="42">
        <f>H$25/$C29*$D29</f>
        <v>87.00999999999999</v>
      </c>
      <c r="I36" s="42">
        <f>I$25/$C29*$D29</f>
        <v>87.00999999999999</v>
      </c>
      <c r="J36" s="42">
        <f>J$25/$C29*$D29</f>
        <v>87.00999999999999</v>
      </c>
      <c r="K36" s="42">
        <f>K$25/$C29*$D29</f>
        <v>87.00999999999999</v>
      </c>
      <c r="L36" s="42">
        <f>L$25/$C29*$D29</f>
        <v>87.00999999999999</v>
      </c>
      <c r="M36" s="42">
        <f>M$25/$C29*$D29</f>
        <v>87.00999999999999</v>
      </c>
      <c r="N36" s="42">
        <f>N$25/$C29*$D29</f>
        <v>87.00999999999999</v>
      </c>
    </row>
    <row r="37">
      <c r="B37" s="39" t="inlineStr">
        <is>
          <t>ТО-4: простои, ч/год</t>
        </is>
      </c>
      <c r="C37" s="24" t="inlineStr">
        <is>
          <t>ч</t>
        </is>
      </c>
      <c r="E37" s="42">
        <f>E$25/$C30*$D30</f>
        <v>19.845</v>
      </c>
      <c r="F37" s="42">
        <f>F$25/$C30*$D30</f>
        <v>19.845</v>
      </c>
      <c r="G37" s="42">
        <f>G$25/$C30*$D30</f>
        <v>19.845</v>
      </c>
      <c r="H37" s="42">
        <f>H$25/$C30*$D30</f>
        <v>19.845</v>
      </c>
      <c r="I37" s="42">
        <f>I$25/$C30*$D30</f>
        <v>19.845</v>
      </c>
      <c r="J37" s="42">
        <f>J$25/$C30*$D30</f>
        <v>19.845</v>
      </c>
      <c r="K37" s="42">
        <f>K$25/$C30*$D30</f>
        <v>19.845</v>
      </c>
      <c r="L37" s="42">
        <f>L$25/$C30*$D30</f>
        <v>19.845</v>
      </c>
      <c r="M37" s="42">
        <f>M$25/$C30*$D30</f>
        <v>19.845</v>
      </c>
      <c r="N37" s="42">
        <f>N$25/$C30*$D30</f>
        <v>19.845</v>
      </c>
    </row>
    <row r="38">
      <c r="B38" s="39" t="inlineStr">
        <is>
          <t>ТО-5: простои, ч/год</t>
        </is>
      </c>
      <c r="C38" s="24" t="inlineStr">
        <is>
          <t>ч</t>
        </is>
      </c>
      <c r="E38" s="42">
        <f>E$25/$C31*$D31</f>
        <v>23.473333333333336</v>
      </c>
      <c r="F38" s="42">
        <f>F$25/$C31*$D31</f>
        <v>23.473333333333336</v>
      </c>
      <c r="G38" s="42">
        <f>G$25/$C31*$D31</f>
        <v>23.473333333333336</v>
      </c>
      <c r="H38" s="42">
        <f>H$25/$C31*$D31</f>
        <v>23.473333333333336</v>
      </c>
      <c r="I38" s="42">
        <f>I$25/$C31*$D31</f>
        <v>23.473333333333336</v>
      </c>
      <c r="J38" s="42">
        <f>J$25/$C31*$D31</f>
        <v>23.473333333333336</v>
      </c>
      <c r="K38" s="42">
        <f>K$25/$C31*$D31</f>
        <v>23.473333333333336</v>
      </c>
      <c r="L38" s="42">
        <f>L$25/$C31*$D31</f>
        <v>23.473333333333336</v>
      </c>
      <c r="M38" s="42">
        <f>M$25/$C31*$D31</f>
        <v>23.473333333333336</v>
      </c>
      <c r="N38" s="42">
        <f>N$25/$C31*$D31</f>
        <v>23.473333333333336</v>
      </c>
    </row>
    <row r="39">
      <c r="B39" s="39" t="inlineStr">
        <is>
          <t>ТО-6: простои, ч/год</t>
        </is>
      </c>
      <c r="C39" s="24" t="inlineStr">
        <is>
          <t>ч</t>
        </is>
      </c>
      <c r="E39" s="42">
        <f>E$25/$C32*$D32</f>
        <v>11.844000000000001</v>
      </c>
      <c r="F39" s="42">
        <f>F$25/$C32*$D32</f>
        <v>11.844000000000001</v>
      </c>
      <c r="G39" s="42">
        <f>G$25/$C32*$D32</f>
        <v>11.844000000000001</v>
      </c>
      <c r="H39" s="42">
        <f>H$25/$C32*$D32</f>
        <v>11.844000000000001</v>
      </c>
      <c r="I39" s="42">
        <f>I$25/$C32*$D32</f>
        <v>11.844000000000001</v>
      </c>
      <c r="J39" s="42">
        <f>J$25/$C32*$D32</f>
        <v>11.844000000000001</v>
      </c>
      <c r="K39" s="42">
        <f>K$25/$C32*$D32</f>
        <v>11.844000000000001</v>
      </c>
      <c r="L39" s="42">
        <f>L$25/$C32*$D32</f>
        <v>11.844000000000001</v>
      </c>
      <c r="M39" s="42">
        <f>M$25/$C32*$D32</f>
        <v>11.844000000000001</v>
      </c>
      <c r="N39" s="42">
        <f>N$25/$C32*$D32</f>
        <v>11.844000000000001</v>
      </c>
    </row>
    <row r="40">
      <c r="B40" s="39" t="inlineStr">
        <is>
          <t>Итого простои ТО</t>
        </is>
      </c>
      <c r="E40" s="42">
        <f>SUM(E34:E39)</f>
        <v>636.3723333333335</v>
      </c>
      <c r="F40" s="42">
        <f>SUM(F34:F39)</f>
        <v>636.3723333333335</v>
      </c>
      <c r="G40" s="42">
        <f>SUM(G34:G39)</f>
        <v>636.3723333333335</v>
      </c>
      <c r="H40" s="42">
        <f>SUM(H34:H39)</f>
        <v>636.3723333333335</v>
      </c>
      <c r="I40" s="42">
        <f>SUM(I34:I39)</f>
        <v>636.3723333333335</v>
      </c>
      <c r="J40" s="42">
        <f>SUM(J34:J39)</f>
        <v>636.3723333333335</v>
      </c>
      <c r="K40" s="42">
        <f>SUM(K34:K39)</f>
        <v>636.3723333333335</v>
      </c>
      <c r="L40" s="42">
        <f>SUM(L34:L39)</f>
        <v>636.3723333333335</v>
      </c>
      <c r="M40" s="42">
        <f>SUM(M34:M39)</f>
        <v>636.3723333333335</v>
      </c>
      <c r="N40" s="42">
        <f>SUM(N34:N39)</f>
        <v>636.3723333333335</v>
      </c>
    </row>
    <row r="41">
      <c r="B41" s="39" t="inlineStr">
        <is>
          <t>ТО-1: чел-часы/год</t>
        </is>
      </c>
      <c r="C41" s="24" t="inlineStr">
        <is>
          <t>ч-час</t>
        </is>
      </c>
      <c r="E41" s="42">
        <f>E34*$E27</f>
        <v>305.2</v>
      </c>
      <c r="F41" s="42">
        <f>F34*$E27</f>
        <v>305.2</v>
      </c>
      <c r="G41" s="42">
        <f>G34*$E27</f>
        <v>305.2</v>
      </c>
      <c r="H41" s="42">
        <f>H34*$E27</f>
        <v>305.2</v>
      </c>
      <c r="I41" s="42">
        <f>I34*$E27</f>
        <v>305.2</v>
      </c>
      <c r="J41" s="42">
        <f>J34*$E27</f>
        <v>305.2</v>
      </c>
      <c r="K41" s="42">
        <f>K34*$E27</f>
        <v>305.2</v>
      </c>
      <c r="L41" s="42">
        <f>L34*$E27</f>
        <v>305.2</v>
      </c>
      <c r="M41" s="42">
        <f>M34*$E27</f>
        <v>305.2</v>
      </c>
      <c r="N41" s="42">
        <f>N34*$E27</f>
        <v>305.2</v>
      </c>
    </row>
    <row r="42">
      <c r="B42" s="39" t="inlineStr">
        <is>
          <t>ТО-2: чел-часы/год</t>
        </is>
      </c>
      <c r="C42" s="24" t="inlineStr">
        <is>
          <t>ч-час</t>
        </is>
      </c>
      <c r="E42" s="42">
        <f>E35*$E28</f>
        <v>189.0</v>
      </c>
      <c r="F42" s="42">
        <f>F35*$E28</f>
        <v>189.0</v>
      </c>
      <c r="G42" s="42">
        <f>G35*$E28</f>
        <v>189.0</v>
      </c>
      <c r="H42" s="42">
        <f>H35*$E28</f>
        <v>189.0</v>
      </c>
      <c r="I42" s="42">
        <f>I35*$E28</f>
        <v>189.0</v>
      </c>
      <c r="J42" s="42">
        <f>J35*$E28</f>
        <v>189.0</v>
      </c>
      <c r="K42" s="42">
        <f>K35*$E28</f>
        <v>189.0</v>
      </c>
      <c r="L42" s="42">
        <f>L35*$E28</f>
        <v>189.0</v>
      </c>
      <c r="M42" s="42">
        <f>M35*$E28</f>
        <v>189.0</v>
      </c>
      <c r="N42" s="42">
        <f>N35*$E28</f>
        <v>189.0</v>
      </c>
    </row>
    <row r="43">
      <c r="B43" s="39" t="inlineStr">
        <is>
          <t>ТО-3: чел-часы/год</t>
        </is>
      </c>
      <c r="C43" s="24" t="inlineStr">
        <is>
          <t>ч-час</t>
        </is>
      </c>
      <c r="E43" s="42">
        <f>E36*$E29</f>
        <v>87.00999999999999</v>
      </c>
      <c r="F43" s="42">
        <f>F36*$E29</f>
        <v>87.00999999999999</v>
      </c>
      <c r="G43" s="42">
        <f>G36*$E29</f>
        <v>87.00999999999999</v>
      </c>
      <c r="H43" s="42">
        <f>H36*$E29</f>
        <v>87.00999999999999</v>
      </c>
      <c r="I43" s="42">
        <f>I36*$E29</f>
        <v>87.00999999999999</v>
      </c>
      <c r="J43" s="42">
        <f>J36*$E29</f>
        <v>87.00999999999999</v>
      </c>
      <c r="K43" s="42">
        <f>K36*$E29</f>
        <v>87.00999999999999</v>
      </c>
      <c r="L43" s="42">
        <f>L36*$E29</f>
        <v>87.00999999999999</v>
      </c>
      <c r="M43" s="42">
        <f>M36*$E29</f>
        <v>87.00999999999999</v>
      </c>
      <c r="N43" s="42">
        <f>N36*$E29</f>
        <v>87.00999999999999</v>
      </c>
    </row>
    <row r="44">
      <c r="B44" s="39" t="inlineStr">
        <is>
          <t>ТО-4: чел-часы/год</t>
        </is>
      </c>
      <c r="C44" s="24" t="inlineStr">
        <is>
          <t>ч-час</t>
        </is>
      </c>
      <c r="E44" s="42">
        <f>E37*$E30</f>
        <v>19.845</v>
      </c>
      <c r="F44" s="42">
        <f>F37*$E30</f>
        <v>19.845</v>
      </c>
      <c r="G44" s="42">
        <f>G37*$E30</f>
        <v>19.845</v>
      </c>
      <c r="H44" s="42">
        <f>H37*$E30</f>
        <v>19.845</v>
      </c>
      <c r="I44" s="42">
        <f>I37*$E30</f>
        <v>19.845</v>
      </c>
      <c r="J44" s="42">
        <f>J37*$E30</f>
        <v>19.845</v>
      </c>
      <c r="K44" s="42">
        <f>K37*$E30</f>
        <v>19.845</v>
      </c>
      <c r="L44" s="42">
        <f>L37*$E30</f>
        <v>19.845</v>
      </c>
      <c r="M44" s="42">
        <f>M37*$E30</f>
        <v>19.845</v>
      </c>
      <c r="N44" s="42">
        <f>N37*$E30</f>
        <v>19.845</v>
      </c>
    </row>
    <row r="45">
      <c r="B45" s="39" t="inlineStr">
        <is>
          <t>ТО-5: чел-часы/год</t>
        </is>
      </c>
      <c r="C45" s="24" t="inlineStr">
        <is>
          <t>ч-час</t>
        </is>
      </c>
      <c r="E45" s="42">
        <f>E38*$E31</f>
        <v>23.473333333333336</v>
      </c>
      <c r="F45" s="42">
        <f>F38*$E31</f>
        <v>23.473333333333336</v>
      </c>
      <c r="G45" s="42">
        <f>G38*$E31</f>
        <v>23.473333333333336</v>
      </c>
      <c r="H45" s="42">
        <f>H38*$E31</f>
        <v>23.473333333333336</v>
      </c>
      <c r="I45" s="42">
        <f>I38*$E31</f>
        <v>23.473333333333336</v>
      </c>
      <c r="J45" s="42">
        <f>J38*$E31</f>
        <v>23.473333333333336</v>
      </c>
      <c r="K45" s="42">
        <f>K38*$E31</f>
        <v>23.473333333333336</v>
      </c>
      <c r="L45" s="42">
        <f>L38*$E31</f>
        <v>23.473333333333336</v>
      </c>
      <c r="M45" s="42">
        <f>M38*$E31</f>
        <v>23.473333333333336</v>
      </c>
      <c r="N45" s="42">
        <f>N38*$E31</f>
        <v>23.473333333333336</v>
      </c>
    </row>
    <row r="46">
      <c r="B46" s="39" t="inlineStr">
        <is>
          <t>ТО-6: чел-часы/год</t>
        </is>
      </c>
      <c r="C46" s="24" t="inlineStr">
        <is>
          <t>ч-час</t>
        </is>
      </c>
      <c r="E46" s="42">
        <f>E39*$E32</f>
        <v>11.844000000000001</v>
      </c>
      <c r="F46" s="42">
        <f>F39*$E32</f>
        <v>11.844000000000001</v>
      </c>
      <c r="G46" s="42">
        <f>G39*$E32</f>
        <v>11.844000000000001</v>
      </c>
      <c r="H46" s="42">
        <f>H39*$E32</f>
        <v>11.844000000000001</v>
      </c>
      <c r="I46" s="42">
        <f>I39*$E32</f>
        <v>11.844000000000001</v>
      </c>
      <c r="J46" s="42">
        <f>J39*$E32</f>
        <v>11.844000000000001</v>
      </c>
      <c r="K46" s="42">
        <f>K39*$E32</f>
        <v>11.844000000000001</v>
      </c>
      <c r="L46" s="42">
        <f>L39*$E32</f>
        <v>11.844000000000001</v>
      </c>
      <c r="M46" s="42">
        <f>M39*$E32</f>
        <v>11.844000000000001</v>
      </c>
      <c r="N46" s="42">
        <f>N39*$E32</f>
        <v>11.844000000000001</v>
      </c>
    </row>
    <row r="47">
      <c r="B47" s="39" t="inlineStr">
        <is>
          <t>Итого чел-часы ТО</t>
        </is>
      </c>
      <c r="E47" s="42">
        <f>SUM(E41:E46)</f>
        <v>636.3723333333335</v>
      </c>
      <c r="F47" s="42">
        <f>SUM(F41:F46)</f>
        <v>636.3723333333335</v>
      </c>
      <c r="G47" s="42">
        <f>SUM(G41:G46)</f>
        <v>636.3723333333335</v>
      </c>
      <c r="H47" s="42">
        <f>SUM(H41:H46)</f>
        <v>636.3723333333335</v>
      </c>
      <c r="I47" s="42">
        <f>SUM(I41:I46)</f>
        <v>636.3723333333335</v>
      </c>
      <c r="J47" s="42">
        <f>SUM(J41:J46)</f>
        <v>636.3723333333335</v>
      </c>
      <c r="K47" s="42">
        <f>SUM(K41:K46)</f>
        <v>636.3723333333335</v>
      </c>
      <c r="L47" s="42">
        <f>SUM(L41:L46)</f>
        <v>636.3723333333335</v>
      </c>
      <c r="M47" s="42">
        <f>SUM(M41:M46)</f>
        <v>636.3723333333335</v>
      </c>
      <c r="N47" s="42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44" t="n">
        <v>6.77</v>
      </c>
      <c r="D51" s="44" t="n">
        <v>70</v>
      </c>
      <c r="E51" s="42">
        <f>E$25/INDEX($C$27:$C$32,$P51)*D51*C51/1000</f>
        <v>13.2692</v>
      </c>
      <c r="F51" s="42">
        <f>F$25/INDEX($C$27:$C$32,$P51)*D51*C51/1000</f>
        <v>13.2692</v>
      </c>
      <c r="G51" s="42">
        <f>G$25/INDEX($C$27:$C$32,$P51)*D51*C51/1000</f>
        <v>13.2692</v>
      </c>
      <c r="H51" s="42">
        <f>H$25/INDEX($C$27:$C$32,$P51)*D51*C51/1000</f>
        <v>13.2692</v>
      </c>
      <c r="I51" s="42">
        <f>I$25/INDEX($C$27:$C$32,$P51)*D51*C51/1000</f>
        <v>13.2692</v>
      </c>
      <c r="J51" s="42">
        <f>J$25/INDEX($C$27:$C$32,$P51)*D51*C51/1000</f>
        <v>13.2692</v>
      </c>
      <c r="K51" s="42">
        <f>K$25/INDEX($C$27:$C$32,$P51)*D51*C51/1000</f>
        <v>13.2692</v>
      </c>
      <c r="L51" s="42">
        <f>L$25/INDEX($C$27:$C$32,$P51)*D51*C51/1000</f>
        <v>13.2692</v>
      </c>
      <c r="M51" s="42">
        <f>M$25/INDEX($C$27:$C$32,$P51)*D51*C51/1000</f>
        <v>13.2692</v>
      </c>
      <c r="N51" s="42">
        <f>N$25/INDEX($C$27:$C$32,$P51)*D51*C51/1000</f>
        <v>13.2692</v>
      </c>
      <c r="P51" s="43" t="n">
        <v>1</v>
      </c>
    </row>
    <row r="52">
      <c r="B52" s="22" t="inlineStr">
        <is>
          <t>Масляный фильтр двигателя</t>
        </is>
      </c>
      <c r="C52" s="44" t="n">
        <v>75.788</v>
      </c>
      <c r="D52" s="44" t="n">
        <v>2</v>
      </c>
      <c r="E52" s="42">
        <f>E$25/INDEX($C$27:$C$32,$P52)*D52*C52/1000</f>
        <v>4.244128</v>
      </c>
      <c r="F52" s="42">
        <f>F$25/INDEX($C$27:$C$32,$P52)*D52*C52/1000</f>
        <v>4.244128</v>
      </c>
      <c r="G52" s="42">
        <f>G$25/INDEX($C$27:$C$32,$P52)*D52*C52/1000</f>
        <v>4.244128</v>
      </c>
      <c r="H52" s="42">
        <f>H$25/INDEX($C$27:$C$32,$P52)*D52*C52/1000</f>
        <v>4.244128</v>
      </c>
      <c r="I52" s="42">
        <f>I$25/INDEX($C$27:$C$32,$P52)*D52*C52/1000</f>
        <v>4.244128</v>
      </c>
      <c r="J52" s="42">
        <f>J$25/INDEX($C$27:$C$32,$P52)*D52*C52/1000</f>
        <v>4.244128</v>
      </c>
      <c r="K52" s="42">
        <f>K$25/INDEX($C$27:$C$32,$P52)*D52*C52/1000</f>
        <v>4.244128</v>
      </c>
      <c r="L52" s="42">
        <f>L$25/INDEX($C$27:$C$32,$P52)*D52*C52/1000</f>
        <v>4.244128</v>
      </c>
      <c r="M52" s="42">
        <f>M$25/INDEX($C$27:$C$32,$P52)*D52*C52/1000</f>
        <v>4.244128</v>
      </c>
      <c r="N52" s="42">
        <f>N$25/INDEX($C$27:$C$32,$P52)*D52*C52/1000</f>
        <v>4.244128</v>
      </c>
      <c r="P52" s="43" t="n">
        <v>1</v>
      </c>
    </row>
    <row r="53">
      <c r="B53" s="22" t="inlineStr">
        <is>
          <t>Охлаждающая жидкость</t>
        </is>
      </c>
      <c r="C53" s="44" t="n">
        <v>4.368</v>
      </c>
      <c r="D53" s="44" t="n">
        <v>3</v>
      </c>
      <c r="E53" s="42">
        <f>E$25/INDEX($C$27:$C$32,$P53)*D53*C53/1000</f>
        <v>0.366912</v>
      </c>
      <c r="F53" s="42">
        <f>F$25/INDEX($C$27:$C$32,$P53)*D53*C53/1000</f>
        <v>0.366912</v>
      </c>
      <c r="G53" s="42">
        <f>G$25/INDEX($C$27:$C$32,$P53)*D53*C53/1000</f>
        <v>0.366912</v>
      </c>
      <c r="H53" s="42">
        <f>H$25/INDEX($C$27:$C$32,$P53)*D53*C53/1000</f>
        <v>0.366912</v>
      </c>
      <c r="I53" s="42">
        <f>I$25/INDEX($C$27:$C$32,$P53)*D53*C53/1000</f>
        <v>0.366912</v>
      </c>
      <c r="J53" s="42">
        <f>J$25/INDEX($C$27:$C$32,$P53)*D53*C53/1000</f>
        <v>0.366912</v>
      </c>
      <c r="K53" s="42">
        <f>K$25/INDEX($C$27:$C$32,$P53)*D53*C53/1000</f>
        <v>0.366912</v>
      </c>
      <c r="L53" s="42">
        <f>L$25/INDEX($C$27:$C$32,$P53)*D53*C53/1000</f>
        <v>0.366912</v>
      </c>
      <c r="M53" s="42">
        <f>M$25/INDEX($C$27:$C$32,$P53)*D53*C53/1000</f>
        <v>0.366912</v>
      </c>
      <c r="N53" s="42">
        <f>N$25/INDEX($C$27:$C$32,$P53)*D53*C53/1000</f>
        <v>0.366912</v>
      </c>
      <c r="P53" s="43" t="n">
        <v>1</v>
      </c>
    </row>
    <row r="54">
      <c r="B54" s="22" t="inlineStr">
        <is>
          <t>Воздушный фильтр первичный</t>
        </is>
      </c>
      <c r="C54" s="44" t="n">
        <v>51.588</v>
      </c>
      <c r="D54" s="44" t="n">
        <v>3</v>
      </c>
      <c r="E54" s="42">
        <f>E$25/INDEX($C$27:$C$32,$P54)*D54*C54/1000</f>
        <v>4.333392</v>
      </c>
      <c r="F54" s="42">
        <f>F$25/INDEX($C$27:$C$32,$P54)*D54*C54/1000</f>
        <v>4.333392</v>
      </c>
      <c r="G54" s="42">
        <f>G$25/INDEX($C$27:$C$32,$P54)*D54*C54/1000</f>
        <v>4.333392</v>
      </c>
      <c r="H54" s="42">
        <f>H$25/INDEX($C$27:$C$32,$P54)*D54*C54/1000</f>
        <v>4.333392</v>
      </c>
      <c r="I54" s="42">
        <f>I$25/INDEX($C$27:$C$32,$P54)*D54*C54/1000</f>
        <v>4.333392</v>
      </c>
      <c r="J54" s="42">
        <f>J$25/INDEX($C$27:$C$32,$P54)*D54*C54/1000</f>
        <v>4.333392</v>
      </c>
      <c r="K54" s="42">
        <f>K$25/INDEX($C$27:$C$32,$P54)*D54*C54/1000</f>
        <v>4.333392</v>
      </c>
      <c r="L54" s="42">
        <f>L$25/INDEX($C$27:$C$32,$P54)*D54*C54/1000</f>
        <v>4.333392</v>
      </c>
      <c r="M54" s="42">
        <f>M$25/INDEX($C$27:$C$32,$P54)*D54*C54/1000</f>
        <v>4.333392</v>
      </c>
      <c r="N54" s="42">
        <f>N$25/INDEX($C$27:$C$32,$P54)*D54*C54/1000</f>
        <v>4.333392</v>
      </c>
      <c r="P54" s="43" t="n">
        <v>1</v>
      </c>
    </row>
    <row r="55">
      <c r="B55" s="22" t="inlineStr">
        <is>
          <t>Воздушный фильтр вторичный</t>
        </is>
      </c>
      <c r="C55" s="44" t="n">
        <v>37.65</v>
      </c>
      <c r="D55" s="44" t="n">
        <v>3</v>
      </c>
      <c r="E55" s="42">
        <f>E$25/INDEX($C$27:$C$32,$P55)*D55*C55/1000</f>
        <v>3.1626</v>
      </c>
      <c r="F55" s="42">
        <f>F$25/INDEX($C$27:$C$32,$P55)*D55*C55/1000</f>
        <v>3.1626</v>
      </c>
      <c r="G55" s="42">
        <f>G$25/INDEX($C$27:$C$32,$P55)*D55*C55/1000</f>
        <v>3.1626</v>
      </c>
      <c r="H55" s="42">
        <f>H$25/INDEX($C$27:$C$32,$P55)*D55*C55/1000</f>
        <v>3.1626</v>
      </c>
      <c r="I55" s="42">
        <f>I$25/INDEX($C$27:$C$32,$P55)*D55*C55/1000</f>
        <v>3.1626</v>
      </c>
      <c r="J55" s="42">
        <f>J$25/INDEX($C$27:$C$32,$P55)*D55*C55/1000</f>
        <v>3.1626</v>
      </c>
      <c r="K55" s="42">
        <f>K$25/INDEX($C$27:$C$32,$P55)*D55*C55/1000</f>
        <v>3.1626</v>
      </c>
      <c r="L55" s="42">
        <f>L$25/INDEX($C$27:$C$32,$P55)*D55*C55/1000</f>
        <v>3.1626</v>
      </c>
      <c r="M55" s="42">
        <f>M$25/INDEX($C$27:$C$32,$P55)*D55*C55/1000</f>
        <v>3.1626</v>
      </c>
      <c r="N55" s="42">
        <f>N$25/INDEX($C$27:$C$32,$P55)*D55*C55/1000</f>
        <v>3.1626</v>
      </c>
      <c r="P55" s="43" t="n">
        <v>1</v>
      </c>
    </row>
    <row r="56">
      <c r="B56" s="22" t="inlineStr">
        <is>
          <t>Фильтр системы охл. ДВС</t>
        </is>
      </c>
      <c r="C56" s="44" t="n">
        <v>27.113</v>
      </c>
      <c r="D56" s="44" t="n">
        <v>2</v>
      </c>
      <c r="E56" s="42">
        <f>E$25/INDEX($C$27:$C$32,$P56)*D56*C56/1000</f>
        <v>1.518328</v>
      </c>
      <c r="F56" s="42">
        <f>F$25/INDEX($C$27:$C$32,$P56)*D56*C56/1000</f>
        <v>1.518328</v>
      </c>
      <c r="G56" s="42">
        <f>G$25/INDEX($C$27:$C$32,$P56)*D56*C56/1000</f>
        <v>1.518328</v>
      </c>
      <c r="H56" s="42">
        <f>H$25/INDEX($C$27:$C$32,$P56)*D56*C56/1000</f>
        <v>1.518328</v>
      </c>
      <c r="I56" s="42">
        <f>I$25/INDEX($C$27:$C$32,$P56)*D56*C56/1000</f>
        <v>1.518328</v>
      </c>
      <c r="J56" s="42">
        <f>J$25/INDEX($C$27:$C$32,$P56)*D56*C56/1000</f>
        <v>1.518328</v>
      </c>
      <c r="K56" s="42">
        <f>K$25/INDEX($C$27:$C$32,$P56)*D56*C56/1000</f>
        <v>1.518328</v>
      </c>
      <c r="L56" s="42">
        <f>L$25/INDEX($C$27:$C$32,$P56)*D56*C56/1000</f>
        <v>1.518328</v>
      </c>
      <c r="M56" s="42">
        <f>M$25/INDEX($C$27:$C$32,$P56)*D56*C56/1000</f>
        <v>1.518328</v>
      </c>
      <c r="N56" s="42">
        <f>N$25/INDEX($C$27:$C$32,$P56)*D56*C56/1000</f>
        <v>1.518328</v>
      </c>
      <c r="P56" s="43" t="n">
        <v>1</v>
      </c>
    </row>
    <row r="57">
      <c r="B57" s="22" t="inlineStr">
        <is>
          <t>Топливный фильтр первичный</t>
        </is>
      </c>
      <c r="C57" s="44" t="n">
        <v>65.66200000000001</v>
      </c>
      <c r="D57" s="44" t="n">
        <v>1</v>
      </c>
      <c r="E57" s="42">
        <f>E$25/INDEX($C$27:$C$32,$P57)*D57*C57/1000</f>
        <v>1.838536</v>
      </c>
      <c r="F57" s="42">
        <f>F$25/INDEX($C$27:$C$32,$P57)*D57*C57/1000</f>
        <v>1.838536</v>
      </c>
      <c r="G57" s="42">
        <f>G$25/INDEX($C$27:$C$32,$P57)*D57*C57/1000</f>
        <v>1.838536</v>
      </c>
      <c r="H57" s="42">
        <f>H$25/INDEX($C$27:$C$32,$P57)*D57*C57/1000</f>
        <v>1.838536</v>
      </c>
      <c r="I57" s="42">
        <f>I$25/INDEX($C$27:$C$32,$P57)*D57*C57/1000</f>
        <v>1.838536</v>
      </c>
      <c r="J57" s="42">
        <f>J$25/INDEX($C$27:$C$32,$P57)*D57*C57/1000</f>
        <v>1.838536</v>
      </c>
      <c r="K57" s="42">
        <f>K$25/INDEX($C$27:$C$32,$P57)*D57*C57/1000</f>
        <v>1.838536</v>
      </c>
      <c r="L57" s="42">
        <f>L$25/INDEX($C$27:$C$32,$P57)*D57*C57/1000</f>
        <v>1.838536</v>
      </c>
      <c r="M57" s="42">
        <f>M$25/INDEX($C$27:$C$32,$P57)*D57*C57/1000</f>
        <v>1.838536</v>
      </c>
      <c r="N57" s="42">
        <f>N$25/INDEX($C$27:$C$32,$P57)*D57*C57/1000</f>
        <v>1.838536</v>
      </c>
      <c r="P57" s="43" t="n">
        <v>1</v>
      </c>
    </row>
    <row r="58">
      <c r="B58" s="22" t="inlineStr">
        <is>
          <t>Топливный фильтр вторичный</t>
        </is>
      </c>
      <c r="C58" s="44" t="n">
        <v>127.662</v>
      </c>
      <c r="D58" s="44" t="n">
        <v>1</v>
      </c>
      <c r="E58" s="42">
        <f>E$25/INDEX($C$27:$C$32,$P58)*D58*C58/1000</f>
        <v>3.574536</v>
      </c>
      <c r="F58" s="42">
        <f>F$25/INDEX($C$27:$C$32,$P58)*D58*C58/1000</f>
        <v>3.574536</v>
      </c>
      <c r="G58" s="42">
        <f>G$25/INDEX($C$27:$C$32,$P58)*D58*C58/1000</f>
        <v>3.574536</v>
      </c>
      <c r="H58" s="42">
        <f>H$25/INDEX($C$27:$C$32,$P58)*D58*C58/1000</f>
        <v>3.574536</v>
      </c>
      <c r="I58" s="42">
        <f>I$25/INDEX($C$27:$C$32,$P58)*D58*C58/1000</f>
        <v>3.574536</v>
      </c>
      <c r="J58" s="42">
        <f>J$25/INDEX($C$27:$C$32,$P58)*D58*C58/1000</f>
        <v>3.574536</v>
      </c>
      <c r="K58" s="42">
        <f>K$25/INDEX($C$27:$C$32,$P58)*D58*C58/1000</f>
        <v>3.574536</v>
      </c>
      <c r="L58" s="42">
        <f>L$25/INDEX($C$27:$C$32,$P58)*D58*C58/1000</f>
        <v>3.574536</v>
      </c>
      <c r="M58" s="42">
        <f>M$25/INDEX($C$27:$C$32,$P58)*D58*C58/1000</f>
        <v>3.574536</v>
      </c>
      <c r="N58" s="42">
        <f>N$25/INDEX($C$27:$C$32,$P58)*D58*C58/1000</f>
        <v>3.574536</v>
      </c>
      <c r="P58" s="43" t="n">
        <v>1</v>
      </c>
    </row>
    <row r="59">
      <c r="B59" s="22" t="inlineStr">
        <is>
          <t>Влагоотделитель</t>
        </is>
      </c>
      <c r="C59" s="44" t="n">
        <v>14.612</v>
      </c>
      <c r="D59" s="44" t="n">
        <v>2</v>
      </c>
      <c r="E59" s="42">
        <f>E$25/INDEX($C$27:$C$32,$P59)*D59*C59/1000</f>
        <v>0.818272</v>
      </c>
      <c r="F59" s="42">
        <f>F$25/INDEX($C$27:$C$32,$P59)*D59*C59/1000</f>
        <v>0.818272</v>
      </c>
      <c r="G59" s="42">
        <f>G$25/INDEX($C$27:$C$32,$P59)*D59*C59/1000</f>
        <v>0.818272</v>
      </c>
      <c r="H59" s="42">
        <f>H$25/INDEX($C$27:$C$32,$P59)*D59*C59/1000</f>
        <v>0.818272</v>
      </c>
      <c r="I59" s="42">
        <f>I$25/INDEX($C$27:$C$32,$P59)*D59*C59/1000</f>
        <v>0.818272</v>
      </c>
      <c r="J59" s="42">
        <f>J$25/INDEX($C$27:$C$32,$P59)*D59*C59/1000</f>
        <v>0.818272</v>
      </c>
      <c r="K59" s="42">
        <f>K$25/INDEX($C$27:$C$32,$P59)*D59*C59/1000</f>
        <v>0.818272</v>
      </c>
      <c r="L59" s="42">
        <f>L$25/INDEX($C$27:$C$32,$P59)*D59*C59/1000</f>
        <v>0.818272</v>
      </c>
      <c r="M59" s="42">
        <f>M$25/INDEX($C$27:$C$32,$P59)*D59*C59/1000</f>
        <v>0.818272</v>
      </c>
      <c r="N59" s="42">
        <f>N$25/INDEX($C$27:$C$32,$P59)*D59*C59/1000</f>
        <v>0.818272</v>
      </c>
      <c r="P59" s="43" t="n">
        <v>1</v>
      </c>
    </row>
    <row r="60">
      <c r="B60" s="22" t="inlineStr">
        <is>
          <t>Консистентная смазка</t>
        </is>
      </c>
      <c r="C60" s="44" t="n">
        <v>10.752</v>
      </c>
      <c r="D60" s="44" t="n">
        <v>2</v>
      </c>
      <c r="E60" s="42">
        <f>E$25/INDEX($C$27:$C$32,$P60)*D60*C60/1000</f>
        <v>0.6021120000000001</v>
      </c>
      <c r="F60" s="42">
        <f>F$25/INDEX($C$27:$C$32,$P60)*D60*C60/1000</f>
        <v>0.6021120000000001</v>
      </c>
      <c r="G60" s="42">
        <f>G$25/INDEX($C$27:$C$32,$P60)*D60*C60/1000</f>
        <v>0.6021120000000001</v>
      </c>
      <c r="H60" s="42">
        <f>H$25/INDEX($C$27:$C$32,$P60)*D60*C60/1000</f>
        <v>0.6021120000000001</v>
      </c>
      <c r="I60" s="42">
        <f>I$25/INDEX($C$27:$C$32,$P60)*D60*C60/1000</f>
        <v>0.6021120000000001</v>
      </c>
      <c r="J60" s="42">
        <f>J$25/INDEX($C$27:$C$32,$P60)*D60*C60/1000</f>
        <v>0.6021120000000001</v>
      </c>
      <c r="K60" s="42">
        <f>K$25/INDEX($C$27:$C$32,$P60)*D60*C60/1000</f>
        <v>0.6021120000000001</v>
      </c>
      <c r="L60" s="42">
        <f>L$25/INDEX($C$27:$C$32,$P60)*D60*C60/1000</f>
        <v>0.6021120000000001</v>
      </c>
      <c r="M60" s="42">
        <f>M$25/INDEX($C$27:$C$32,$P60)*D60*C60/1000</f>
        <v>0.6021120000000001</v>
      </c>
      <c r="N60" s="42">
        <f>N$25/INDEX($C$27:$C$32,$P60)*D60*C60/1000</f>
        <v>0.6021120000000001</v>
      </c>
      <c r="P60" s="43" t="n">
        <v>1</v>
      </c>
    </row>
    <row r="61">
      <c r="B61" s="22" t="inlineStr">
        <is>
          <t>Сапун гидробака</t>
        </is>
      </c>
      <c r="C61" s="44" t="n">
        <v>18.025</v>
      </c>
      <c r="D61" s="44" t="n">
        <v>2</v>
      </c>
      <c r="E61" s="42">
        <f>E$25/INDEX($C$27:$C$32,$P61)*D61*C61/1000</f>
        <v>0.5046999999999999</v>
      </c>
      <c r="F61" s="42">
        <f>F$25/INDEX($C$27:$C$32,$P61)*D61*C61/1000</f>
        <v>0.5046999999999999</v>
      </c>
      <c r="G61" s="42">
        <f>G$25/INDEX($C$27:$C$32,$P61)*D61*C61/1000</f>
        <v>0.5046999999999999</v>
      </c>
      <c r="H61" s="42">
        <f>H$25/INDEX($C$27:$C$32,$P61)*D61*C61/1000</f>
        <v>0.5046999999999999</v>
      </c>
      <c r="I61" s="42">
        <f>I$25/INDEX($C$27:$C$32,$P61)*D61*C61/1000</f>
        <v>0.5046999999999999</v>
      </c>
      <c r="J61" s="42">
        <f>J$25/INDEX($C$27:$C$32,$P61)*D61*C61/1000</f>
        <v>0.5046999999999999</v>
      </c>
      <c r="K61" s="42">
        <f>K$25/INDEX($C$27:$C$32,$P61)*D61*C61/1000</f>
        <v>0.5046999999999999</v>
      </c>
      <c r="L61" s="42">
        <f>L$25/INDEX($C$27:$C$32,$P61)*D61*C61/1000</f>
        <v>0.5046999999999999</v>
      </c>
      <c r="M61" s="42">
        <f>M$25/INDEX($C$27:$C$32,$P61)*D61*C61/1000</f>
        <v>0.5046999999999999</v>
      </c>
      <c r="N61" s="42">
        <f>N$25/INDEX($C$27:$C$32,$P61)*D61*C61/1000</f>
        <v>0.5046999999999999</v>
      </c>
      <c r="P61" s="43" t="n">
        <v>2</v>
      </c>
    </row>
    <row r="62">
      <c r="B62" s="22" t="inlineStr">
        <is>
          <t>Фильтра системы пылеподавления</t>
        </is>
      </c>
      <c r="C62" s="44" t="n">
        <v>58.9</v>
      </c>
      <c r="D62" s="44" t="n">
        <v>9</v>
      </c>
      <c r="E62" s="42">
        <f>E$25/INDEX($C$27:$C$32,$P62)*D62*C62/1000</f>
        <v>7.421399999999999</v>
      </c>
      <c r="F62" s="42">
        <f>F$25/INDEX($C$27:$C$32,$P62)*D62*C62/1000</f>
        <v>7.421399999999999</v>
      </c>
      <c r="G62" s="42">
        <f>G$25/INDEX($C$27:$C$32,$P62)*D62*C62/1000</f>
        <v>7.421399999999999</v>
      </c>
      <c r="H62" s="42">
        <f>H$25/INDEX($C$27:$C$32,$P62)*D62*C62/1000</f>
        <v>7.421399999999999</v>
      </c>
      <c r="I62" s="42">
        <f>I$25/INDEX($C$27:$C$32,$P62)*D62*C62/1000</f>
        <v>7.421399999999999</v>
      </c>
      <c r="J62" s="42">
        <f>J$25/INDEX($C$27:$C$32,$P62)*D62*C62/1000</f>
        <v>7.421399999999999</v>
      </c>
      <c r="K62" s="42">
        <f>K$25/INDEX($C$27:$C$32,$P62)*D62*C62/1000</f>
        <v>7.421399999999999</v>
      </c>
      <c r="L62" s="42">
        <f>L$25/INDEX($C$27:$C$32,$P62)*D62*C62/1000</f>
        <v>7.421399999999999</v>
      </c>
      <c r="M62" s="42">
        <f>M$25/INDEX($C$27:$C$32,$P62)*D62*C62/1000</f>
        <v>7.421399999999999</v>
      </c>
      <c r="N62" s="42">
        <f>N$25/INDEX($C$27:$C$32,$P62)*D62*C62/1000</f>
        <v>7.421399999999999</v>
      </c>
      <c r="P62" s="43" t="n">
        <v>2</v>
      </c>
    </row>
    <row r="63">
      <c r="B63" s="22" t="inlineStr">
        <is>
          <t>Воздушный фильтр подогревателя</t>
        </is>
      </c>
      <c r="C63" s="44" t="n">
        <v>60.512</v>
      </c>
      <c r="D63" s="44" t="n">
        <v>1</v>
      </c>
      <c r="E63" s="42">
        <f>E$25/INDEX($C$27:$C$32,$P63)*D63*C63/1000</f>
        <v>0.847168</v>
      </c>
      <c r="F63" s="42">
        <f>F$25/INDEX($C$27:$C$32,$P63)*D63*C63/1000</f>
        <v>0.847168</v>
      </c>
      <c r="G63" s="42">
        <f>G$25/INDEX($C$27:$C$32,$P63)*D63*C63/1000</f>
        <v>0.847168</v>
      </c>
      <c r="H63" s="42">
        <f>H$25/INDEX($C$27:$C$32,$P63)*D63*C63/1000</f>
        <v>0.847168</v>
      </c>
      <c r="I63" s="42">
        <f>I$25/INDEX($C$27:$C$32,$P63)*D63*C63/1000</f>
        <v>0.847168</v>
      </c>
      <c r="J63" s="42">
        <f>J$25/INDEX($C$27:$C$32,$P63)*D63*C63/1000</f>
        <v>0.847168</v>
      </c>
      <c r="K63" s="42">
        <f>K$25/INDEX($C$27:$C$32,$P63)*D63*C63/1000</f>
        <v>0.847168</v>
      </c>
      <c r="L63" s="42">
        <f>L$25/INDEX($C$27:$C$32,$P63)*D63*C63/1000</f>
        <v>0.847168</v>
      </c>
      <c r="M63" s="42">
        <f>M$25/INDEX($C$27:$C$32,$P63)*D63*C63/1000</f>
        <v>0.847168</v>
      </c>
      <c r="N63" s="42">
        <f>N$25/INDEX($C$27:$C$32,$P63)*D63*C63/1000</f>
        <v>0.847168</v>
      </c>
      <c r="P63" s="43" t="n">
        <v>2</v>
      </c>
    </row>
    <row r="64">
      <c r="B64" s="22" t="inlineStr">
        <is>
          <t>Топливный фильтр подогревателя</t>
        </is>
      </c>
      <c r="C64" s="44" t="n">
        <v>29.512</v>
      </c>
      <c r="D64" s="44" t="n">
        <v>1</v>
      </c>
      <c r="E64" s="42">
        <f>E$25/INDEX($C$27:$C$32,$P64)*D64*C64/1000</f>
        <v>0.413168</v>
      </c>
      <c r="F64" s="42">
        <f>F$25/INDEX($C$27:$C$32,$P64)*D64*C64/1000</f>
        <v>0.413168</v>
      </c>
      <c r="G64" s="42">
        <f>G$25/INDEX($C$27:$C$32,$P64)*D64*C64/1000</f>
        <v>0.413168</v>
      </c>
      <c r="H64" s="42">
        <f>H$25/INDEX($C$27:$C$32,$P64)*D64*C64/1000</f>
        <v>0.413168</v>
      </c>
      <c r="I64" s="42">
        <f>I$25/INDEX($C$27:$C$32,$P64)*D64*C64/1000</f>
        <v>0.413168</v>
      </c>
      <c r="J64" s="42">
        <f>J$25/INDEX($C$27:$C$32,$P64)*D64*C64/1000</f>
        <v>0.413168</v>
      </c>
      <c r="K64" s="42">
        <f>K$25/INDEX($C$27:$C$32,$P64)*D64*C64/1000</f>
        <v>0.413168</v>
      </c>
      <c r="L64" s="42">
        <f>L$25/INDEX($C$27:$C$32,$P64)*D64*C64/1000</f>
        <v>0.413168</v>
      </c>
      <c r="M64" s="42">
        <f>M$25/INDEX($C$27:$C$32,$P64)*D64*C64/1000</f>
        <v>0.413168</v>
      </c>
      <c r="N64" s="42">
        <f>N$25/INDEX($C$27:$C$32,$P64)*D64*C64/1000</f>
        <v>0.413168</v>
      </c>
      <c r="P64" s="43" t="n">
        <v>2</v>
      </c>
    </row>
    <row r="65">
      <c r="B65" s="22" t="inlineStr">
        <is>
          <t>Сапун топливного бака</t>
        </is>
      </c>
      <c r="C65" s="44" t="n">
        <v>81.538</v>
      </c>
      <c r="D65" s="44" t="n">
        <v>1</v>
      </c>
      <c r="E65" s="42">
        <f>E$25/INDEX($C$27:$C$32,$P65)*D65*C65/1000</f>
        <v>1.141532</v>
      </c>
      <c r="F65" s="42">
        <f>F$25/INDEX($C$27:$C$32,$P65)*D65*C65/1000</f>
        <v>1.141532</v>
      </c>
      <c r="G65" s="42">
        <f>G$25/INDEX($C$27:$C$32,$P65)*D65*C65/1000</f>
        <v>1.141532</v>
      </c>
      <c r="H65" s="42">
        <f>H$25/INDEX($C$27:$C$32,$P65)*D65*C65/1000</f>
        <v>1.141532</v>
      </c>
      <c r="I65" s="42">
        <f>I$25/INDEX($C$27:$C$32,$P65)*D65*C65/1000</f>
        <v>1.141532</v>
      </c>
      <c r="J65" s="42">
        <f>J$25/INDEX($C$27:$C$32,$P65)*D65*C65/1000</f>
        <v>1.141532</v>
      </c>
      <c r="K65" s="42">
        <f>K$25/INDEX($C$27:$C$32,$P65)*D65*C65/1000</f>
        <v>1.141532</v>
      </c>
      <c r="L65" s="42">
        <f>L$25/INDEX($C$27:$C$32,$P65)*D65*C65/1000</f>
        <v>1.141532</v>
      </c>
      <c r="M65" s="42">
        <f>M$25/INDEX($C$27:$C$32,$P65)*D65*C65/1000</f>
        <v>1.141532</v>
      </c>
      <c r="N65" s="42">
        <f>N$25/INDEX($C$27:$C$32,$P65)*D65*C65/1000</f>
        <v>1.141532</v>
      </c>
      <c r="P65" s="43" t="n">
        <v>2</v>
      </c>
    </row>
    <row r="66">
      <c r="B66" s="22" t="inlineStr">
        <is>
          <t>Масляные фильтра компрессора</t>
        </is>
      </c>
      <c r="C66" s="44" t="n">
        <v>68.09999999999999</v>
      </c>
      <c r="D66" s="44" t="n">
        <v>2</v>
      </c>
      <c r="E66" s="42">
        <f>E$25/INDEX($C$27:$C$32,$P66)*D66*C66/1000</f>
        <v>1.9067999999999998</v>
      </c>
      <c r="F66" s="42">
        <f>F$25/INDEX($C$27:$C$32,$P66)*D66*C66/1000</f>
        <v>1.9067999999999998</v>
      </c>
      <c r="G66" s="42">
        <f>G$25/INDEX($C$27:$C$32,$P66)*D66*C66/1000</f>
        <v>1.9067999999999998</v>
      </c>
      <c r="H66" s="42">
        <f>H$25/INDEX($C$27:$C$32,$P66)*D66*C66/1000</f>
        <v>1.9067999999999998</v>
      </c>
      <c r="I66" s="42">
        <f>I$25/INDEX($C$27:$C$32,$P66)*D66*C66/1000</f>
        <v>1.9067999999999998</v>
      </c>
      <c r="J66" s="42">
        <f>J$25/INDEX($C$27:$C$32,$P66)*D66*C66/1000</f>
        <v>1.9067999999999998</v>
      </c>
      <c r="K66" s="42">
        <f>K$25/INDEX($C$27:$C$32,$P66)*D66*C66/1000</f>
        <v>1.9067999999999998</v>
      </c>
      <c r="L66" s="42">
        <f>L$25/INDEX($C$27:$C$32,$P66)*D66*C66/1000</f>
        <v>1.9067999999999998</v>
      </c>
      <c r="M66" s="42">
        <f>M$25/INDEX($C$27:$C$32,$P66)*D66*C66/1000</f>
        <v>1.9067999999999998</v>
      </c>
      <c r="N66" s="42">
        <f>N$25/INDEX($C$27:$C$32,$P66)*D66*C66/1000</f>
        <v>1.9067999999999998</v>
      </c>
      <c r="P66" s="43" t="n">
        <v>2</v>
      </c>
    </row>
    <row r="67">
      <c r="B67" s="22" t="inlineStr">
        <is>
          <t>Консистентная смазка</t>
        </is>
      </c>
      <c r="C67" s="44" t="n">
        <v>10.752</v>
      </c>
      <c r="D67" s="44" t="n">
        <v>1</v>
      </c>
      <c r="E67" s="42">
        <f>E$25/INDEX($C$27:$C$32,$P67)*D67*C67/1000</f>
        <v>0.15052800000000002</v>
      </c>
      <c r="F67" s="42">
        <f>F$25/INDEX($C$27:$C$32,$P67)*D67*C67/1000</f>
        <v>0.15052800000000002</v>
      </c>
      <c r="G67" s="42">
        <f>G$25/INDEX($C$27:$C$32,$P67)*D67*C67/1000</f>
        <v>0.15052800000000002</v>
      </c>
      <c r="H67" s="42">
        <f>H$25/INDEX($C$27:$C$32,$P67)*D67*C67/1000</f>
        <v>0.15052800000000002</v>
      </c>
      <c r="I67" s="42">
        <f>I$25/INDEX($C$27:$C$32,$P67)*D67*C67/1000</f>
        <v>0.15052800000000002</v>
      </c>
      <c r="J67" s="42">
        <f>J$25/INDEX($C$27:$C$32,$P67)*D67*C67/1000</f>
        <v>0.15052800000000002</v>
      </c>
      <c r="K67" s="42">
        <f>K$25/INDEX($C$27:$C$32,$P67)*D67*C67/1000</f>
        <v>0.15052800000000002</v>
      </c>
      <c r="L67" s="42">
        <f>L$25/INDEX($C$27:$C$32,$P67)*D67*C67/1000</f>
        <v>0.15052800000000002</v>
      </c>
      <c r="M67" s="42">
        <f>M$25/INDEX($C$27:$C$32,$P67)*D67*C67/1000</f>
        <v>0.15052800000000002</v>
      </c>
      <c r="N67" s="42">
        <f>N$25/INDEX($C$27:$C$32,$P67)*D67*C67/1000</f>
        <v>0.15052800000000002</v>
      </c>
      <c r="P67" s="43" t="n">
        <v>2</v>
      </c>
    </row>
    <row r="68">
      <c r="B68" s="22" t="inlineStr">
        <is>
          <t>Масло для редуктора главного насос</t>
        </is>
      </c>
      <c r="C68" s="44" t="n">
        <v>12.706</v>
      </c>
      <c r="D68" s="44" t="n">
        <v>4.2</v>
      </c>
      <c r="E68" s="42">
        <f>E$25/INDEX($C$27:$C$32,$P68)*D68*C68/1000</f>
        <v>0.3735564</v>
      </c>
      <c r="F68" s="42">
        <f>F$25/INDEX($C$27:$C$32,$P68)*D68*C68/1000</f>
        <v>0.3735564</v>
      </c>
      <c r="G68" s="42">
        <f>G$25/INDEX($C$27:$C$32,$P68)*D68*C68/1000</f>
        <v>0.3735564</v>
      </c>
      <c r="H68" s="42">
        <f>H$25/INDEX($C$27:$C$32,$P68)*D68*C68/1000</f>
        <v>0.3735564</v>
      </c>
      <c r="I68" s="42">
        <f>I$25/INDEX($C$27:$C$32,$P68)*D68*C68/1000</f>
        <v>0.3735564</v>
      </c>
      <c r="J68" s="42">
        <f>J$25/INDEX($C$27:$C$32,$P68)*D68*C68/1000</f>
        <v>0.3735564</v>
      </c>
      <c r="K68" s="42">
        <f>K$25/INDEX($C$27:$C$32,$P68)*D68*C68/1000</f>
        <v>0.3735564</v>
      </c>
      <c r="L68" s="42">
        <f>L$25/INDEX($C$27:$C$32,$P68)*D68*C68/1000</f>
        <v>0.3735564</v>
      </c>
      <c r="M68" s="42">
        <f>M$25/INDEX($C$27:$C$32,$P68)*D68*C68/1000</f>
        <v>0.3735564</v>
      </c>
      <c r="N68" s="42">
        <f>N$25/INDEX($C$27:$C$32,$P68)*D68*C68/1000</f>
        <v>0.3735564</v>
      </c>
      <c r="P68" s="43" t="n">
        <v>3</v>
      </c>
    </row>
    <row r="69">
      <c r="B69" s="22" t="inlineStr">
        <is>
          <t>Масло для редуктора вращателя</t>
        </is>
      </c>
      <c r="C69" s="44" t="n">
        <v>12.706</v>
      </c>
      <c r="D69" s="44" t="n">
        <v>42</v>
      </c>
      <c r="E69" s="42">
        <f>E$25/INDEX($C$27:$C$32,$P69)*D69*C69/1000</f>
        <v>3.7355639999999997</v>
      </c>
      <c r="F69" s="42">
        <f>F$25/INDEX($C$27:$C$32,$P69)*D69*C69/1000</f>
        <v>3.7355639999999997</v>
      </c>
      <c r="G69" s="42">
        <f>G$25/INDEX($C$27:$C$32,$P69)*D69*C69/1000</f>
        <v>3.7355639999999997</v>
      </c>
      <c r="H69" s="42">
        <f>H$25/INDEX($C$27:$C$32,$P69)*D69*C69/1000</f>
        <v>3.7355639999999997</v>
      </c>
      <c r="I69" s="42">
        <f>I$25/INDEX($C$27:$C$32,$P69)*D69*C69/1000</f>
        <v>3.7355639999999997</v>
      </c>
      <c r="J69" s="42">
        <f>J$25/INDEX($C$27:$C$32,$P69)*D69*C69/1000</f>
        <v>3.7355639999999997</v>
      </c>
      <c r="K69" s="42">
        <f>K$25/INDEX($C$27:$C$32,$P69)*D69*C69/1000</f>
        <v>3.7355639999999997</v>
      </c>
      <c r="L69" s="42">
        <f>L$25/INDEX($C$27:$C$32,$P69)*D69*C69/1000</f>
        <v>3.7355639999999997</v>
      </c>
      <c r="M69" s="42">
        <f>M$25/INDEX($C$27:$C$32,$P69)*D69*C69/1000</f>
        <v>3.7355639999999997</v>
      </c>
      <c r="N69" s="42">
        <f>N$25/INDEX($C$27:$C$32,$P69)*D69*C69/1000</f>
        <v>3.7355639999999997</v>
      </c>
      <c r="P69" s="43" t="n">
        <v>3</v>
      </c>
    </row>
    <row r="70">
      <c r="B70" s="22" t="inlineStr">
        <is>
          <t>Масло для редуктора привода карусе</t>
        </is>
      </c>
      <c r="C70" s="44" t="n">
        <v>12.706</v>
      </c>
      <c r="D70" s="44" t="n">
        <v>1.4</v>
      </c>
      <c r="E70" s="42">
        <f>E$25/INDEX($C$27:$C$32,$P70)*D70*C70/1000</f>
        <v>0.12451879999999999</v>
      </c>
      <c r="F70" s="42">
        <f>F$25/INDEX($C$27:$C$32,$P70)*D70*C70/1000</f>
        <v>0.12451879999999999</v>
      </c>
      <c r="G70" s="42">
        <f>G$25/INDEX($C$27:$C$32,$P70)*D70*C70/1000</f>
        <v>0.12451879999999999</v>
      </c>
      <c r="H70" s="42">
        <f>H$25/INDEX($C$27:$C$32,$P70)*D70*C70/1000</f>
        <v>0.12451879999999999</v>
      </c>
      <c r="I70" s="42">
        <f>I$25/INDEX($C$27:$C$32,$P70)*D70*C70/1000</f>
        <v>0.12451879999999999</v>
      </c>
      <c r="J70" s="42">
        <f>J$25/INDEX($C$27:$C$32,$P70)*D70*C70/1000</f>
        <v>0.12451879999999999</v>
      </c>
      <c r="K70" s="42">
        <f>K$25/INDEX($C$27:$C$32,$P70)*D70*C70/1000</f>
        <v>0.12451879999999999</v>
      </c>
      <c r="L70" s="42">
        <f>L$25/INDEX($C$27:$C$32,$P70)*D70*C70/1000</f>
        <v>0.12451879999999999</v>
      </c>
      <c r="M70" s="42">
        <f>M$25/INDEX($C$27:$C$32,$P70)*D70*C70/1000</f>
        <v>0.12451879999999999</v>
      </c>
      <c r="N70" s="42">
        <f>N$25/INDEX($C$27:$C$32,$P70)*D70*C70/1000</f>
        <v>0.12451879999999999</v>
      </c>
      <c r="P70" s="43" t="n">
        <v>3</v>
      </c>
    </row>
    <row r="71">
      <c r="B71" s="22" t="inlineStr">
        <is>
          <t>Компрессорное масло</t>
        </is>
      </c>
      <c r="C71" s="44" t="n">
        <v>23.349</v>
      </c>
      <c r="D71" s="44" t="n">
        <v>123</v>
      </c>
      <c r="E71" s="42">
        <f>E$25/INDEX($C$27:$C$32,$P71)*D71*C71/1000</f>
        <v>20.103489</v>
      </c>
      <c r="F71" s="42">
        <f>F$25/INDEX($C$27:$C$32,$P71)*D71*C71/1000</f>
        <v>20.103489</v>
      </c>
      <c r="G71" s="42">
        <f>G$25/INDEX($C$27:$C$32,$P71)*D71*C71/1000</f>
        <v>20.103489</v>
      </c>
      <c r="H71" s="42">
        <f>H$25/INDEX($C$27:$C$32,$P71)*D71*C71/1000</f>
        <v>20.103489</v>
      </c>
      <c r="I71" s="42">
        <f>I$25/INDEX($C$27:$C$32,$P71)*D71*C71/1000</f>
        <v>20.103489</v>
      </c>
      <c r="J71" s="42">
        <f>J$25/INDEX($C$27:$C$32,$P71)*D71*C71/1000</f>
        <v>20.103489</v>
      </c>
      <c r="K71" s="42">
        <f>K$25/INDEX($C$27:$C$32,$P71)*D71*C71/1000</f>
        <v>20.103489</v>
      </c>
      <c r="L71" s="42">
        <f>L$25/INDEX($C$27:$C$32,$P71)*D71*C71/1000</f>
        <v>20.103489</v>
      </c>
      <c r="M71" s="42">
        <f>M$25/INDEX($C$27:$C$32,$P71)*D71*C71/1000</f>
        <v>20.103489</v>
      </c>
      <c r="N71" s="42">
        <f>N$25/INDEX($C$27:$C$32,$P71)*D71*C71/1000</f>
        <v>20.103489</v>
      </c>
      <c r="P71" s="43" t="n">
        <v>3</v>
      </c>
    </row>
    <row r="72">
      <c r="B72" s="22" t="inlineStr">
        <is>
          <t>Гидравлический фильтр</t>
        </is>
      </c>
      <c r="C72" s="44" t="n">
        <v>48.312</v>
      </c>
      <c r="D72" s="44" t="n">
        <v>2</v>
      </c>
      <c r="E72" s="42">
        <f>E$25/INDEX($C$27:$C$32,$P72)*D72*C72/1000</f>
        <v>0.676368</v>
      </c>
      <c r="F72" s="42">
        <f>F$25/INDEX($C$27:$C$32,$P72)*D72*C72/1000</f>
        <v>0.676368</v>
      </c>
      <c r="G72" s="42">
        <f>G$25/INDEX($C$27:$C$32,$P72)*D72*C72/1000</f>
        <v>0.676368</v>
      </c>
      <c r="H72" s="42">
        <f>H$25/INDEX($C$27:$C$32,$P72)*D72*C72/1000</f>
        <v>0.676368</v>
      </c>
      <c r="I72" s="42">
        <f>I$25/INDEX($C$27:$C$32,$P72)*D72*C72/1000</f>
        <v>0.676368</v>
      </c>
      <c r="J72" s="42">
        <f>J$25/INDEX($C$27:$C$32,$P72)*D72*C72/1000</f>
        <v>0.676368</v>
      </c>
      <c r="K72" s="42">
        <f>K$25/INDEX($C$27:$C$32,$P72)*D72*C72/1000</f>
        <v>0.676368</v>
      </c>
      <c r="L72" s="42">
        <f>L$25/INDEX($C$27:$C$32,$P72)*D72*C72/1000</f>
        <v>0.676368</v>
      </c>
      <c r="M72" s="42">
        <f>M$25/INDEX($C$27:$C$32,$P72)*D72*C72/1000</f>
        <v>0.676368</v>
      </c>
      <c r="N72" s="42">
        <f>N$25/INDEX($C$27:$C$32,$P72)*D72*C72/1000</f>
        <v>0.676368</v>
      </c>
      <c r="P72" s="43" t="n">
        <v>3</v>
      </c>
    </row>
    <row r="73">
      <c r="B73" s="22" t="inlineStr">
        <is>
          <t>Гидравлический фильтр (обратка)</t>
        </is>
      </c>
      <c r="C73" s="44" t="n">
        <v>156.975</v>
      </c>
      <c r="D73" s="44" t="n">
        <v>1</v>
      </c>
      <c r="E73" s="42">
        <f>E$25/INDEX($C$27:$C$32,$P73)*D73*C73/1000</f>
        <v>1.098825</v>
      </c>
      <c r="F73" s="42">
        <f>F$25/INDEX($C$27:$C$32,$P73)*D73*C73/1000</f>
        <v>1.098825</v>
      </c>
      <c r="G73" s="42">
        <f>G$25/INDEX($C$27:$C$32,$P73)*D73*C73/1000</f>
        <v>1.098825</v>
      </c>
      <c r="H73" s="42">
        <f>H$25/INDEX($C$27:$C$32,$P73)*D73*C73/1000</f>
        <v>1.098825</v>
      </c>
      <c r="I73" s="42">
        <f>I$25/INDEX($C$27:$C$32,$P73)*D73*C73/1000</f>
        <v>1.098825</v>
      </c>
      <c r="J73" s="42">
        <f>J$25/INDEX($C$27:$C$32,$P73)*D73*C73/1000</f>
        <v>1.098825</v>
      </c>
      <c r="K73" s="42">
        <f>K$25/INDEX($C$27:$C$32,$P73)*D73*C73/1000</f>
        <v>1.098825</v>
      </c>
      <c r="L73" s="42">
        <f>L$25/INDEX($C$27:$C$32,$P73)*D73*C73/1000</f>
        <v>1.098825</v>
      </c>
      <c r="M73" s="42">
        <f>M$25/INDEX($C$27:$C$32,$P73)*D73*C73/1000</f>
        <v>1.098825</v>
      </c>
      <c r="N73" s="42">
        <f>N$25/INDEX($C$27:$C$32,$P73)*D73*C73/1000</f>
        <v>1.098825</v>
      </c>
      <c r="P73" s="43" t="n">
        <v>3</v>
      </c>
    </row>
    <row r="74">
      <c r="B74" s="22" t="inlineStr">
        <is>
          <t>Фильтр кабины</t>
        </is>
      </c>
      <c r="C74" s="44" t="n">
        <v>59.175</v>
      </c>
      <c r="D74" s="44" t="n">
        <v>1</v>
      </c>
      <c r="E74" s="42">
        <f>E$25/INDEX($C$27:$C$32,$P74)*D74*C74/1000</f>
        <v>0.41422499999999995</v>
      </c>
      <c r="F74" s="42">
        <f>F$25/INDEX($C$27:$C$32,$P74)*D74*C74/1000</f>
        <v>0.41422499999999995</v>
      </c>
      <c r="G74" s="42">
        <f>G$25/INDEX($C$27:$C$32,$P74)*D74*C74/1000</f>
        <v>0.41422499999999995</v>
      </c>
      <c r="H74" s="42">
        <f>H$25/INDEX($C$27:$C$32,$P74)*D74*C74/1000</f>
        <v>0.41422499999999995</v>
      </c>
      <c r="I74" s="42">
        <f>I$25/INDEX($C$27:$C$32,$P74)*D74*C74/1000</f>
        <v>0.41422499999999995</v>
      </c>
      <c r="J74" s="42">
        <f>J$25/INDEX($C$27:$C$32,$P74)*D74*C74/1000</f>
        <v>0.41422499999999995</v>
      </c>
      <c r="K74" s="42">
        <f>K$25/INDEX($C$27:$C$32,$P74)*D74*C74/1000</f>
        <v>0.41422499999999995</v>
      </c>
      <c r="L74" s="42">
        <f>L$25/INDEX($C$27:$C$32,$P74)*D74*C74/1000</f>
        <v>0.41422499999999995</v>
      </c>
      <c r="M74" s="42">
        <f>M$25/INDEX($C$27:$C$32,$P74)*D74*C74/1000</f>
        <v>0.41422499999999995</v>
      </c>
      <c r="N74" s="42">
        <f>N$25/INDEX($C$27:$C$32,$P74)*D74*C74/1000</f>
        <v>0.41422499999999995</v>
      </c>
      <c r="P74" s="43" t="n">
        <v>3</v>
      </c>
    </row>
    <row r="75">
      <c r="B75" s="22" t="inlineStr">
        <is>
          <t>Фильтр кондиционера</t>
        </is>
      </c>
      <c r="C75" s="44" t="n">
        <v>33.663</v>
      </c>
      <c r="D75" s="44" t="n">
        <v>1</v>
      </c>
      <c r="E75" s="42">
        <f>E$25/INDEX($C$27:$C$32,$P75)*D75*C75/1000</f>
        <v>0.23564099999999996</v>
      </c>
      <c r="F75" s="42">
        <f>F$25/INDEX($C$27:$C$32,$P75)*D75*C75/1000</f>
        <v>0.23564099999999996</v>
      </c>
      <c r="G75" s="42">
        <f>G$25/INDEX($C$27:$C$32,$P75)*D75*C75/1000</f>
        <v>0.23564099999999996</v>
      </c>
      <c r="H75" s="42">
        <f>H$25/INDEX($C$27:$C$32,$P75)*D75*C75/1000</f>
        <v>0.23564099999999996</v>
      </c>
      <c r="I75" s="42">
        <f>I$25/INDEX($C$27:$C$32,$P75)*D75*C75/1000</f>
        <v>0.23564099999999996</v>
      </c>
      <c r="J75" s="42">
        <f>J$25/INDEX($C$27:$C$32,$P75)*D75*C75/1000</f>
        <v>0.23564099999999996</v>
      </c>
      <c r="K75" s="42">
        <f>K$25/INDEX($C$27:$C$32,$P75)*D75*C75/1000</f>
        <v>0.23564099999999996</v>
      </c>
      <c r="L75" s="42">
        <f>L$25/INDEX($C$27:$C$32,$P75)*D75*C75/1000</f>
        <v>0.23564099999999996</v>
      </c>
      <c r="M75" s="42">
        <f>M$25/INDEX($C$27:$C$32,$P75)*D75*C75/1000</f>
        <v>0.23564099999999996</v>
      </c>
      <c r="N75" s="42">
        <f>N$25/INDEX($C$27:$C$32,$P75)*D75*C75/1000</f>
        <v>0.23564099999999996</v>
      </c>
      <c r="P75" s="43" t="n">
        <v>3</v>
      </c>
    </row>
    <row r="76">
      <c r="B76" s="22" t="inlineStr">
        <is>
          <t>Фильтр вращателя</t>
        </is>
      </c>
      <c r="C76" s="44" t="n">
        <v>29.875</v>
      </c>
      <c r="D76" s="44" t="n">
        <v>1</v>
      </c>
      <c r="E76" s="42">
        <f>E$25/INDEX($C$27:$C$32,$P76)*D76*C76/1000</f>
        <v>0.209125</v>
      </c>
      <c r="F76" s="42">
        <f>F$25/INDEX($C$27:$C$32,$P76)*D76*C76/1000</f>
        <v>0.209125</v>
      </c>
      <c r="G76" s="42">
        <f>G$25/INDEX($C$27:$C$32,$P76)*D76*C76/1000</f>
        <v>0.209125</v>
      </c>
      <c r="H76" s="42">
        <f>H$25/INDEX($C$27:$C$32,$P76)*D76*C76/1000</f>
        <v>0.209125</v>
      </c>
      <c r="I76" s="42">
        <f>I$25/INDEX($C$27:$C$32,$P76)*D76*C76/1000</f>
        <v>0.209125</v>
      </c>
      <c r="J76" s="42">
        <f>J$25/INDEX($C$27:$C$32,$P76)*D76*C76/1000</f>
        <v>0.209125</v>
      </c>
      <c r="K76" s="42">
        <f>K$25/INDEX($C$27:$C$32,$P76)*D76*C76/1000</f>
        <v>0.209125</v>
      </c>
      <c r="L76" s="42">
        <f>L$25/INDEX($C$27:$C$32,$P76)*D76*C76/1000</f>
        <v>0.209125</v>
      </c>
      <c r="M76" s="42">
        <f>M$25/INDEX($C$27:$C$32,$P76)*D76*C76/1000</f>
        <v>0.209125</v>
      </c>
      <c r="N76" s="42">
        <f>N$25/INDEX($C$27:$C$32,$P76)*D76*C76/1000</f>
        <v>0.209125</v>
      </c>
      <c r="P76" s="43" t="n">
        <v>3</v>
      </c>
    </row>
    <row r="77">
      <c r="B77" s="22" t="inlineStr">
        <is>
          <t>Консистентная смазка</t>
        </is>
      </c>
      <c r="C77" s="44" t="n">
        <v>10.752</v>
      </c>
      <c r="D77" s="44" t="n">
        <v>0.1</v>
      </c>
      <c r="E77" s="42">
        <f>E$25/INDEX($C$27:$C$32,$P77)*D77*C77/1000</f>
        <v>0.007526400000000002</v>
      </c>
      <c r="F77" s="42">
        <f>F$25/INDEX($C$27:$C$32,$P77)*D77*C77/1000</f>
        <v>0.007526400000000002</v>
      </c>
      <c r="G77" s="42">
        <f>G$25/INDEX($C$27:$C$32,$P77)*D77*C77/1000</f>
        <v>0.007526400000000002</v>
      </c>
      <c r="H77" s="42">
        <f>H$25/INDEX($C$27:$C$32,$P77)*D77*C77/1000</f>
        <v>0.007526400000000002</v>
      </c>
      <c r="I77" s="42">
        <f>I$25/INDEX($C$27:$C$32,$P77)*D77*C77/1000</f>
        <v>0.007526400000000002</v>
      </c>
      <c r="J77" s="42">
        <f>J$25/INDEX($C$27:$C$32,$P77)*D77*C77/1000</f>
        <v>0.007526400000000002</v>
      </c>
      <c r="K77" s="42">
        <f>K$25/INDEX($C$27:$C$32,$P77)*D77*C77/1000</f>
        <v>0.007526400000000002</v>
      </c>
      <c r="L77" s="42">
        <f>L$25/INDEX($C$27:$C$32,$P77)*D77*C77/1000</f>
        <v>0.007526400000000002</v>
      </c>
      <c r="M77" s="42">
        <f>M$25/INDEX($C$27:$C$32,$P77)*D77*C77/1000</f>
        <v>0.007526400000000002</v>
      </c>
      <c r="N77" s="42">
        <f>N$25/INDEX($C$27:$C$32,$P77)*D77*C77/1000</f>
        <v>0.007526400000000002</v>
      </c>
      <c r="P77" s="43" t="n">
        <v>3</v>
      </c>
    </row>
    <row r="78">
      <c r="B78" s="22" t="inlineStr">
        <is>
          <t>Элемент сепаратора</t>
        </is>
      </c>
      <c r="C78" s="44" t="n">
        <v>561.462</v>
      </c>
      <c r="D78" s="44" t="n">
        <v>1</v>
      </c>
      <c r="E78" s="42">
        <f>E$25/INDEX($C$27:$C$32,$P78)*D78*C78/1000</f>
        <v>1.965117</v>
      </c>
      <c r="F78" s="42">
        <f>F$25/INDEX($C$27:$C$32,$P78)*D78*C78/1000</f>
        <v>1.965117</v>
      </c>
      <c r="G78" s="42">
        <f>G$25/INDEX($C$27:$C$32,$P78)*D78*C78/1000</f>
        <v>1.965117</v>
      </c>
      <c r="H78" s="42">
        <f>H$25/INDEX($C$27:$C$32,$P78)*D78*C78/1000</f>
        <v>1.965117</v>
      </c>
      <c r="I78" s="42">
        <f>I$25/INDEX($C$27:$C$32,$P78)*D78*C78/1000</f>
        <v>1.965117</v>
      </c>
      <c r="J78" s="42">
        <f>J$25/INDEX($C$27:$C$32,$P78)*D78*C78/1000</f>
        <v>1.965117</v>
      </c>
      <c r="K78" s="42">
        <f>K$25/INDEX($C$27:$C$32,$P78)*D78*C78/1000</f>
        <v>1.965117</v>
      </c>
      <c r="L78" s="42">
        <f>L$25/INDEX($C$27:$C$32,$P78)*D78*C78/1000</f>
        <v>1.965117</v>
      </c>
      <c r="M78" s="42">
        <f>M$25/INDEX($C$27:$C$32,$P78)*D78*C78/1000</f>
        <v>1.965117</v>
      </c>
      <c r="N78" s="42">
        <f>N$25/INDEX($C$27:$C$32,$P78)*D78*C78/1000</f>
        <v>1.965117</v>
      </c>
      <c r="P78" s="43" t="n">
        <v>4</v>
      </c>
    </row>
    <row r="79">
      <c r="B79" s="22" t="inlineStr">
        <is>
          <t>Масло редукторов хода</t>
        </is>
      </c>
      <c r="C79" s="44" t="n">
        <v>23.907</v>
      </c>
      <c r="D79" s="44" t="n">
        <v>7</v>
      </c>
      <c r="E79" s="42">
        <f>E$25/INDEX($C$27:$C$32,$P79)*D79*C79/1000</f>
        <v>0.5857215</v>
      </c>
      <c r="F79" s="42">
        <f>F$25/INDEX($C$27:$C$32,$P79)*D79*C79/1000</f>
        <v>0.5857215</v>
      </c>
      <c r="G79" s="42">
        <f>G$25/INDEX($C$27:$C$32,$P79)*D79*C79/1000</f>
        <v>0.5857215</v>
      </c>
      <c r="H79" s="42">
        <f>H$25/INDEX($C$27:$C$32,$P79)*D79*C79/1000</f>
        <v>0.5857215</v>
      </c>
      <c r="I79" s="42">
        <f>I$25/INDEX($C$27:$C$32,$P79)*D79*C79/1000</f>
        <v>0.5857215</v>
      </c>
      <c r="J79" s="42">
        <f>J$25/INDEX($C$27:$C$32,$P79)*D79*C79/1000</f>
        <v>0.5857215</v>
      </c>
      <c r="K79" s="42">
        <f>K$25/INDEX($C$27:$C$32,$P79)*D79*C79/1000</f>
        <v>0.5857215</v>
      </c>
      <c r="L79" s="42">
        <f>L$25/INDEX($C$27:$C$32,$P79)*D79*C79/1000</f>
        <v>0.5857215</v>
      </c>
      <c r="M79" s="42">
        <f>M$25/INDEX($C$27:$C$32,$P79)*D79*C79/1000</f>
        <v>0.5857215</v>
      </c>
      <c r="N79" s="42">
        <f>N$25/INDEX($C$27:$C$32,$P79)*D79*C79/1000</f>
        <v>0.5857215</v>
      </c>
      <c r="P79" s="43" t="n">
        <v>4</v>
      </c>
    </row>
    <row r="80">
      <c r="B80" s="22" t="inlineStr">
        <is>
          <t>Фильтр системы пылеподавления</t>
        </is>
      </c>
      <c r="C80" s="44" t="n">
        <v>19.45</v>
      </c>
      <c r="D80" s="44" t="n">
        <v>1</v>
      </c>
      <c r="E80" s="42">
        <f>E$25/INDEX($C$27:$C$32,$P80)*D80*C80/1000</f>
        <v>0.068075</v>
      </c>
      <c r="F80" s="42">
        <f>F$25/INDEX($C$27:$C$32,$P80)*D80*C80/1000</f>
        <v>0.068075</v>
      </c>
      <c r="G80" s="42">
        <f>G$25/INDEX($C$27:$C$32,$P80)*D80*C80/1000</f>
        <v>0.068075</v>
      </c>
      <c r="H80" s="42">
        <f>H$25/INDEX($C$27:$C$32,$P80)*D80*C80/1000</f>
        <v>0.068075</v>
      </c>
      <c r="I80" s="42">
        <f>I$25/INDEX($C$27:$C$32,$P80)*D80*C80/1000</f>
        <v>0.068075</v>
      </c>
      <c r="J80" s="42">
        <f>J$25/INDEX($C$27:$C$32,$P80)*D80*C80/1000</f>
        <v>0.068075</v>
      </c>
      <c r="K80" s="42">
        <f>K$25/INDEX($C$27:$C$32,$P80)*D80*C80/1000</f>
        <v>0.068075</v>
      </c>
      <c r="L80" s="42">
        <f>L$25/INDEX($C$27:$C$32,$P80)*D80*C80/1000</f>
        <v>0.068075</v>
      </c>
      <c r="M80" s="42">
        <f>M$25/INDEX($C$27:$C$32,$P80)*D80*C80/1000</f>
        <v>0.068075</v>
      </c>
      <c r="N80" s="42">
        <f>N$25/INDEX($C$27:$C$32,$P80)*D80*C80/1000</f>
        <v>0.068075</v>
      </c>
      <c r="P80" s="43" t="n">
        <v>4</v>
      </c>
    </row>
    <row r="81">
      <c r="B81" s="22" t="inlineStr">
        <is>
          <t>Уплотнение штанги</t>
        </is>
      </c>
      <c r="C81" s="44" t="n">
        <v>218.162</v>
      </c>
      <c r="D81" s="44" t="n">
        <v>1</v>
      </c>
      <c r="E81" s="42">
        <f>E$25/INDEX($C$27:$C$32,$P81)*D81*C81/1000</f>
        <v>0.763567</v>
      </c>
      <c r="F81" s="42">
        <f>F$25/INDEX($C$27:$C$32,$P81)*D81*C81/1000</f>
        <v>0.763567</v>
      </c>
      <c r="G81" s="42">
        <f>G$25/INDEX($C$27:$C$32,$P81)*D81*C81/1000</f>
        <v>0.763567</v>
      </c>
      <c r="H81" s="42">
        <f>H$25/INDEX($C$27:$C$32,$P81)*D81*C81/1000</f>
        <v>0.763567</v>
      </c>
      <c r="I81" s="42">
        <f>I$25/INDEX($C$27:$C$32,$P81)*D81*C81/1000</f>
        <v>0.763567</v>
      </c>
      <c r="J81" s="42">
        <f>J$25/INDEX($C$27:$C$32,$P81)*D81*C81/1000</f>
        <v>0.763567</v>
      </c>
      <c r="K81" s="42">
        <f>K$25/INDEX($C$27:$C$32,$P81)*D81*C81/1000</f>
        <v>0.763567</v>
      </c>
      <c r="L81" s="42">
        <f>L$25/INDEX($C$27:$C$32,$P81)*D81*C81/1000</f>
        <v>0.763567</v>
      </c>
      <c r="M81" s="42">
        <f>M$25/INDEX($C$27:$C$32,$P81)*D81*C81/1000</f>
        <v>0.763567</v>
      </c>
      <c r="N81" s="42">
        <f>N$25/INDEX($C$27:$C$32,$P81)*D81*C81/1000</f>
        <v>0.763567</v>
      </c>
      <c r="P81" s="43" t="n">
        <v>4</v>
      </c>
    </row>
    <row r="82">
      <c r="B82" s="22" t="inlineStr">
        <is>
          <t>Гидравлическое масло</t>
        </is>
      </c>
      <c r="C82" s="44" t="n">
        <v>30.236</v>
      </c>
      <c r="D82" s="44" t="n">
        <v>833</v>
      </c>
      <c r="E82" s="42">
        <f>E$25/INDEX($C$27:$C$32,$P82)*D82*C82/1000</f>
        <v>58.76870533333334</v>
      </c>
      <c r="F82" s="42">
        <f>F$25/INDEX($C$27:$C$32,$P82)*D82*C82/1000</f>
        <v>58.76870533333334</v>
      </c>
      <c r="G82" s="42">
        <f>G$25/INDEX($C$27:$C$32,$P82)*D82*C82/1000</f>
        <v>58.76870533333334</v>
      </c>
      <c r="H82" s="42">
        <f>H$25/INDEX($C$27:$C$32,$P82)*D82*C82/1000</f>
        <v>58.76870533333334</v>
      </c>
      <c r="I82" s="42">
        <f>I$25/INDEX($C$27:$C$32,$P82)*D82*C82/1000</f>
        <v>58.76870533333334</v>
      </c>
      <c r="J82" s="42">
        <f>J$25/INDEX($C$27:$C$32,$P82)*D82*C82/1000</f>
        <v>58.76870533333334</v>
      </c>
      <c r="K82" s="42">
        <f>K$25/INDEX($C$27:$C$32,$P82)*D82*C82/1000</f>
        <v>58.76870533333334</v>
      </c>
      <c r="L82" s="42">
        <f>L$25/INDEX($C$27:$C$32,$P82)*D82*C82/1000</f>
        <v>58.76870533333334</v>
      </c>
      <c r="M82" s="42">
        <f>M$25/INDEX($C$27:$C$32,$P82)*D82*C82/1000</f>
        <v>58.76870533333334</v>
      </c>
      <c r="N82" s="42">
        <f>N$25/INDEX($C$27:$C$32,$P82)*D82*C82/1000</f>
        <v>58.76870533333334</v>
      </c>
      <c r="P82" s="43" t="n">
        <v>5</v>
      </c>
    </row>
    <row r="83">
      <c r="B83" s="22" t="inlineStr">
        <is>
          <t>Охлаждающая жидкость</t>
        </is>
      </c>
      <c r="C83" s="44" t="n">
        <v>3.122</v>
      </c>
      <c r="D83" s="44" t="n">
        <v>190</v>
      </c>
      <c r="E83" s="42">
        <f>E$25/INDEX($C$27:$C$32,$P83)*D83*C83/1000</f>
        <v>0.830452</v>
      </c>
      <c r="F83" s="42">
        <f>F$25/INDEX($C$27:$C$32,$P83)*D83*C83/1000</f>
        <v>0.830452</v>
      </c>
      <c r="G83" s="42">
        <f>G$25/INDEX($C$27:$C$32,$P83)*D83*C83/1000</f>
        <v>0.830452</v>
      </c>
      <c r="H83" s="42">
        <f>H$25/INDEX($C$27:$C$32,$P83)*D83*C83/1000</f>
        <v>0.830452</v>
      </c>
      <c r="I83" s="42">
        <f>I$25/INDEX($C$27:$C$32,$P83)*D83*C83/1000</f>
        <v>0.830452</v>
      </c>
      <c r="J83" s="42">
        <f>J$25/INDEX($C$27:$C$32,$P83)*D83*C83/1000</f>
        <v>0.830452</v>
      </c>
      <c r="K83" s="42">
        <f>K$25/INDEX($C$27:$C$32,$P83)*D83*C83/1000</f>
        <v>0.830452</v>
      </c>
      <c r="L83" s="42">
        <f>L$25/INDEX($C$27:$C$32,$P83)*D83*C83/1000</f>
        <v>0.830452</v>
      </c>
      <c r="M83" s="42">
        <f>M$25/INDEX($C$27:$C$32,$P83)*D83*C83/1000</f>
        <v>0.830452</v>
      </c>
      <c r="N83" s="42">
        <f>N$25/INDEX($C$27:$C$32,$P83)*D83*C83/1000</f>
        <v>0.830452</v>
      </c>
      <c r="P83" s="43" t="n">
        <v>6</v>
      </c>
    </row>
    <row r="84">
      <c r="B84" s="22" t="inlineStr">
        <is>
          <t>Корректировка (прочее)</t>
        </is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</row>
    <row r="85">
      <c r="B85" s="39" t="inlineStr">
        <is>
          <t>ИТОГО ЗЧ ТО, тыс.вал/год</t>
        </is>
      </c>
      <c r="E85" s="42">
        <f>SUM(E51:E84)</f>
        <v>136.07378843333333</v>
      </c>
      <c r="F85" s="42">
        <f>SUM(F51:F84)</f>
        <v>136.07378843333333</v>
      </c>
      <c r="G85" s="42">
        <f>SUM(G51:G84)</f>
        <v>136.07378843333333</v>
      </c>
      <c r="H85" s="42">
        <f>SUM(H51:H84)</f>
        <v>136.07378843333333</v>
      </c>
      <c r="I85" s="42">
        <f>SUM(I51:I84)</f>
        <v>136.07378843333333</v>
      </c>
      <c r="J85" s="42">
        <f>SUM(J51:J84)</f>
        <v>136.07378843333333</v>
      </c>
      <c r="K85" s="42">
        <f>SUM(K51:K84)</f>
        <v>136.07378843333333</v>
      </c>
      <c r="L85" s="42">
        <f>SUM(L51:L84)</f>
        <v>136.07378843333333</v>
      </c>
      <c r="M85" s="42">
        <f>SUM(M51:M84)</f>
        <v>136.07378843333333</v>
      </c>
      <c r="N85" s="42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44" t="n">
        <v>98848.48</v>
      </c>
      <c r="D89" s="43" t="n">
        <v>15000</v>
      </c>
      <c r="E89" s="42">
        <f>(INT($E$25*1/$D89)-INT($E$25*(1-1)/$D89))*$C89/1000</f>
        <v>0.0</v>
      </c>
      <c r="F89" s="42">
        <f>(INT($E$25*2/$D89)-INT($E$25*(2-1)/$D89))*$C89/1000</f>
        <v>0.0</v>
      </c>
      <c r="G89" s="42">
        <f>(INT($E$25*3/$D89)-INT($E$25*(3-1)/$D89))*$C89/1000</f>
        <v>98.84848</v>
      </c>
      <c r="H89" s="42">
        <f>(INT($E$25*4/$D89)-INT($E$25*(4-1)/$D89))*$C89/1000</f>
        <v>0.0</v>
      </c>
      <c r="I89" s="42">
        <f>(INT($E$25*5/$D89)-INT($E$25*(5-1)/$D89))*$C89/1000</f>
        <v>98.84848</v>
      </c>
      <c r="J89" s="42">
        <f>(INT($E$25*6/$D89)-INT($E$25*(6-1)/$D89))*$C89/1000</f>
        <v>0.0</v>
      </c>
      <c r="K89" s="42">
        <f>(INT($E$25*7/$D89)-INT($E$25*(7-1)/$D89))*$C89/1000</f>
        <v>98.84848</v>
      </c>
      <c r="L89" s="42">
        <f>(INT($E$25*8/$D89)-INT($E$25*(8-1)/$D89))*$C89/1000</f>
        <v>0.0</v>
      </c>
      <c r="M89" s="42">
        <f>(INT($E$25*9/$D89)-INT($E$25*(9-1)/$D89))*$C89/1000</f>
        <v>98.84848</v>
      </c>
      <c r="N89" s="42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44" t="n">
        <v>32894</v>
      </c>
      <c r="D90" s="43" t="n">
        <v>16000</v>
      </c>
      <c r="E90" s="42">
        <f>(INT($E$25*1/$D90)-INT($E$25*(1-1)/$D90))*$C90/1000</f>
        <v>0.0</v>
      </c>
      <c r="F90" s="42">
        <f>(INT($E$25*2/$D90)-INT($E$25*(2-1)/$D90))*$C90/1000</f>
        <v>0.0</v>
      </c>
      <c r="G90" s="42">
        <f>(INT($E$25*3/$D90)-INT($E$25*(3-1)/$D90))*$C90/1000</f>
        <v>32.894</v>
      </c>
      <c r="H90" s="42">
        <f>(INT($E$25*4/$D90)-INT($E$25*(4-1)/$D90))*$C90/1000</f>
        <v>0.0</v>
      </c>
      <c r="I90" s="42">
        <f>(INT($E$25*5/$D90)-INT($E$25*(5-1)/$D90))*$C90/1000</f>
        <v>32.894</v>
      </c>
      <c r="J90" s="42">
        <f>(INT($E$25*6/$D90)-INT($E$25*(6-1)/$D90))*$C90/1000</f>
        <v>0.0</v>
      </c>
      <c r="K90" s="42">
        <f>(INT($E$25*7/$D90)-INT($E$25*(7-1)/$D90))*$C90/1000</f>
        <v>32.894</v>
      </c>
      <c r="L90" s="42">
        <f>(INT($E$25*8/$D90)-INT($E$25*(8-1)/$D90))*$C90/1000</f>
        <v>0.0</v>
      </c>
      <c r="M90" s="42">
        <f>(INT($E$25*9/$D90)-INT($E$25*(9-1)/$D90))*$C90/1000</f>
        <v>0.0</v>
      </c>
      <c r="N90" s="42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44" t="n">
        <v>46638</v>
      </c>
      <c r="D91" s="43" t="n">
        <v>13000</v>
      </c>
      <c r="E91" s="42">
        <f>(INT($E$25*1/$D91)-INT($E$25*(1-1)/$D91))*$C91/1000</f>
        <v>0.0</v>
      </c>
      <c r="F91" s="42">
        <f>(INT($E$25*2/$D91)-INT($E$25*(2-1)/$D91))*$C91/1000</f>
        <v>46.638</v>
      </c>
      <c r="G91" s="42">
        <f>(INT($E$25*3/$D91)-INT($E$25*(3-1)/$D91))*$C91/1000</f>
        <v>0.0</v>
      </c>
      <c r="H91" s="42">
        <f>(INT($E$25*4/$D91)-INT($E$25*(4-1)/$D91))*$C91/1000</f>
        <v>46.638</v>
      </c>
      <c r="I91" s="42">
        <f>(INT($E$25*5/$D91)-INT($E$25*(5-1)/$D91))*$C91/1000</f>
        <v>0.0</v>
      </c>
      <c r="J91" s="42">
        <f>(INT($E$25*6/$D91)-INT($E$25*(6-1)/$D91))*$C91/1000</f>
        <v>46.638</v>
      </c>
      <c r="K91" s="42">
        <f>(INT($E$25*7/$D91)-INT($E$25*(7-1)/$D91))*$C91/1000</f>
        <v>0.0</v>
      </c>
      <c r="L91" s="42">
        <f>(INT($E$25*8/$D91)-INT($E$25*(8-1)/$D91))*$C91/1000</f>
        <v>46.638</v>
      </c>
      <c r="M91" s="42">
        <f>(INT($E$25*9/$D91)-INT($E$25*(9-1)/$D91))*$C91/1000</f>
        <v>0.0</v>
      </c>
      <c r="N91" s="42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44" t="n">
        <v>4240.92</v>
      </c>
      <c r="D92" s="43" t="n">
        <v>7450</v>
      </c>
      <c r="E92" s="42">
        <f>(INT($E$25*1/$D92)-INT($E$25*(1-1)/$D92))*$C92/1000</f>
        <v>0.0</v>
      </c>
      <c r="F92" s="42">
        <f>(INT($E$25*2/$D92)-INT($E$25*(2-1)/$D92))*$C92/1000</f>
        <v>4.24092</v>
      </c>
      <c r="G92" s="42">
        <f>(INT($E$25*3/$D92)-INT($E$25*(3-1)/$D92))*$C92/1000</f>
        <v>4.24092</v>
      </c>
      <c r="H92" s="42">
        <f>(INT($E$25*4/$D92)-INT($E$25*(4-1)/$D92))*$C92/1000</f>
        <v>4.24092</v>
      </c>
      <c r="I92" s="42">
        <f>(INT($E$25*5/$D92)-INT($E$25*(5-1)/$D92))*$C92/1000</f>
        <v>4.24092</v>
      </c>
      <c r="J92" s="42">
        <f>(INT($E$25*6/$D92)-INT($E$25*(6-1)/$D92))*$C92/1000</f>
        <v>4.24092</v>
      </c>
      <c r="K92" s="42">
        <f>(INT($E$25*7/$D92)-INT($E$25*(7-1)/$D92))*$C92/1000</f>
        <v>4.24092</v>
      </c>
      <c r="L92" s="42">
        <f>(INT($E$25*8/$D92)-INT($E$25*(8-1)/$D92))*$C92/1000</f>
        <v>4.24092</v>
      </c>
      <c r="M92" s="42">
        <f>(INT($E$25*9/$D92)-INT($E$25*(9-1)/$D92))*$C92/1000</f>
        <v>4.24092</v>
      </c>
      <c r="N92" s="42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44" t="n">
        <v>4242.92</v>
      </c>
      <c r="D93" s="43" t="n">
        <v>7450</v>
      </c>
      <c r="E93" s="42">
        <f>(INT($E$25*1/$D93)-INT($E$25*(1-1)/$D93))*$C93/1000</f>
        <v>0.0</v>
      </c>
      <c r="F93" s="42">
        <f>(INT($E$25*2/$D93)-INT($E$25*(2-1)/$D93))*$C93/1000</f>
        <v>4.24292</v>
      </c>
      <c r="G93" s="42">
        <f>(INT($E$25*3/$D93)-INT($E$25*(3-1)/$D93))*$C93/1000</f>
        <v>4.24292</v>
      </c>
      <c r="H93" s="42">
        <f>(INT($E$25*4/$D93)-INT($E$25*(4-1)/$D93))*$C93/1000</f>
        <v>4.24292</v>
      </c>
      <c r="I93" s="42">
        <f>(INT($E$25*5/$D93)-INT($E$25*(5-1)/$D93))*$C93/1000</f>
        <v>4.24292</v>
      </c>
      <c r="J93" s="42">
        <f>(INT($E$25*6/$D93)-INT($E$25*(6-1)/$D93))*$C93/1000</f>
        <v>4.24292</v>
      </c>
      <c r="K93" s="42">
        <f>(INT($E$25*7/$D93)-INT($E$25*(7-1)/$D93))*$C93/1000</f>
        <v>4.24292</v>
      </c>
      <c r="L93" s="42">
        <f>(INT($E$25*8/$D93)-INT($E$25*(8-1)/$D93))*$C93/1000</f>
        <v>4.24292</v>
      </c>
      <c r="M93" s="42">
        <f>(INT($E$25*9/$D93)-INT($E$25*(9-1)/$D93))*$C93/1000</f>
        <v>4.24292</v>
      </c>
      <c r="N93" s="42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44" t="n">
        <v>3464.48</v>
      </c>
      <c r="D94" s="43" t="n">
        <v>6000</v>
      </c>
      <c r="E94" s="42">
        <f>(INT($E$25*1/$D94)-INT($E$25*(1-1)/$D94))*$C94/1000</f>
        <v>3.46448</v>
      </c>
      <c r="F94" s="42">
        <f>(INT($E$25*2/$D94)-INT($E$25*(2-1)/$D94))*$C94/1000</f>
        <v>3.46448</v>
      </c>
      <c r="G94" s="42">
        <f>(INT($E$25*3/$D94)-INT($E$25*(3-1)/$D94))*$C94/1000</f>
        <v>3.46448</v>
      </c>
      <c r="H94" s="42">
        <f>(INT($E$25*4/$D94)-INT($E$25*(4-1)/$D94))*$C94/1000</f>
        <v>3.46448</v>
      </c>
      <c r="I94" s="42">
        <f>(INT($E$25*5/$D94)-INT($E$25*(5-1)/$D94))*$C94/1000</f>
        <v>3.46448</v>
      </c>
      <c r="J94" s="42">
        <f>(INT($E$25*6/$D94)-INT($E$25*(6-1)/$D94))*$C94/1000</f>
        <v>6.92896</v>
      </c>
      <c r="K94" s="42">
        <f>(INT($E$25*7/$D94)-INT($E$25*(7-1)/$D94))*$C94/1000</f>
        <v>3.46448</v>
      </c>
      <c r="L94" s="42">
        <f>(INT($E$25*8/$D94)-INT($E$25*(8-1)/$D94))*$C94/1000</f>
        <v>3.46448</v>
      </c>
      <c r="M94" s="42">
        <f>(INT($E$25*9/$D94)-INT($E$25*(9-1)/$D94))*$C94/1000</f>
        <v>3.46448</v>
      </c>
      <c r="N94" s="42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44" t="n">
        <v>237.18</v>
      </c>
      <c r="D95" s="43" t="n">
        <v>6000</v>
      </c>
      <c r="E95" s="42">
        <f>(INT($E$25*1/$D95)-INT($E$25*(1-1)/$D95))*$C95/1000</f>
        <v>0.23718</v>
      </c>
      <c r="F95" s="42">
        <f>(INT($E$25*2/$D95)-INT($E$25*(2-1)/$D95))*$C95/1000</f>
        <v>0.23718</v>
      </c>
      <c r="G95" s="42">
        <f>(INT($E$25*3/$D95)-INT($E$25*(3-1)/$D95))*$C95/1000</f>
        <v>0.23718</v>
      </c>
      <c r="H95" s="42">
        <f>(INT($E$25*4/$D95)-INT($E$25*(4-1)/$D95))*$C95/1000</f>
        <v>0.23718</v>
      </c>
      <c r="I95" s="42">
        <f>(INT($E$25*5/$D95)-INT($E$25*(5-1)/$D95))*$C95/1000</f>
        <v>0.23718</v>
      </c>
      <c r="J95" s="42">
        <f>(INT($E$25*6/$D95)-INT($E$25*(6-1)/$D95))*$C95/1000</f>
        <v>0.47436</v>
      </c>
      <c r="K95" s="42">
        <f>(INT($E$25*7/$D95)-INT($E$25*(7-1)/$D95))*$C95/1000</f>
        <v>0.23718</v>
      </c>
      <c r="L95" s="42">
        <f>(INT($E$25*8/$D95)-INT($E$25*(8-1)/$D95))*$C95/1000</f>
        <v>0.23718</v>
      </c>
      <c r="M95" s="42">
        <f>(INT($E$25*9/$D95)-INT($E$25*(9-1)/$D95))*$C95/1000</f>
        <v>0.23718</v>
      </c>
      <c r="N95" s="42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44" t="n">
        <v>102.66</v>
      </c>
      <c r="D96" s="43" t="n">
        <v>4000</v>
      </c>
      <c r="E96" s="42">
        <f>(INT($E$25*1/$D96)-INT($E$25*(1-1)/$D96))*$C96/1000</f>
        <v>0.10266</v>
      </c>
      <c r="F96" s="42">
        <f>(INT($E$25*2/$D96)-INT($E$25*(2-1)/$D96))*$C96/1000</f>
        <v>0.20532</v>
      </c>
      <c r="G96" s="42">
        <f>(INT($E$25*3/$D96)-INT($E$25*(3-1)/$D96))*$C96/1000</f>
        <v>0.20532</v>
      </c>
      <c r="H96" s="42">
        <f>(INT($E$25*4/$D96)-INT($E$25*(4-1)/$D96))*$C96/1000</f>
        <v>0.20532</v>
      </c>
      <c r="I96" s="42">
        <f>(INT($E$25*5/$D96)-INT($E$25*(5-1)/$D96))*$C96/1000</f>
        <v>0.10266</v>
      </c>
      <c r="J96" s="42">
        <f>(INT($E$25*6/$D96)-INT($E$25*(6-1)/$D96))*$C96/1000</f>
        <v>0.20532</v>
      </c>
      <c r="K96" s="42">
        <f>(INT($E$25*7/$D96)-INT($E$25*(7-1)/$D96))*$C96/1000</f>
        <v>0.20532</v>
      </c>
      <c r="L96" s="42">
        <f>(INT($E$25*8/$D96)-INT($E$25*(8-1)/$D96))*$C96/1000</f>
        <v>0.20532</v>
      </c>
      <c r="M96" s="42">
        <f>(INT($E$25*9/$D96)-INT($E$25*(9-1)/$D96))*$C96/1000</f>
        <v>0.10266</v>
      </c>
      <c r="N96" s="42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44" t="n">
        <v>110.66</v>
      </c>
      <c r="D97" s="43" t="n">
        <v>4000</v>
      </c>
      <c r="E97" s="42">
        <f>(INT($E$25*1/$D97)-INT($E$25*(1-1)/$D97))*$C97/1000</f>
        <v>0.11066</v>
      </c>
      <c r="F97" s="42">
        <f>(INT($E$25*2/$D97)-INT($E$25*(2-1)/$D97))*$C97/1000</f>
        <v>0.22132</v>
      </c>
      <c r="G97" s="42">
        <f>(INT($E$25*3/$D97)-INT($E$25*(3-1)/$D97))*$C97/1000</f>
        <v>0.22132</v>
      </c>
      <c r="H97" s="42">
        <f>(INT($E$25*4/$D97)-INT($E$25*(4-1)/$D97))*$C97/1000</f>
        <v>0.22132</v>
      </c>
      <c r="I97" s="42">
        <f>(INT($E$25*5/$D97)-INT($E$25*(5-1)/$D97))*$C97/1000</f>
        <v>0.11066</v>
      </c>
      <c r="J97" s="42">
        <f>(INT($E$25*6/$D97)-INT($E$25*(6-1)/$D97))*$C97/1000</f>
        <v>0.22132</v>
      </c>
      <c r="K97" s="42">
        <f>(INT($E$25*7/$D97)-INT($E$25*(7-1)/$D97))*$C97/1000</f>
        <v>0.22132</v>
      </c>
      <c r="L97" s="42">
        <f>(INT($E$25*8/$D97)-INT($E$25*(8-1)/$D97))*$C97/1000</f>
        <v>0.22132</v>
      </c>
      <c r="M97" s="42">
        <f>(INT($E$25*9/$D97)-INT($E$25*(9-1)/$D97))*$C97/1000</f>
        <v>0.11066</v>
      </c>
      <c r="N97" s="42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44" t="n">
        <v>92.04000000000001</v>
      </c>
      <c r="D98" s="43" t="n">
        <v>5000</v>
      </c>
      <c r="E98" s="42">
        <f>(INT($E$25*1/$D98)-INT($E$25*(1-1)/$D98))*$C98/1000</f>
        <v>0.09204000000000001</v>
      </c>
      <c r="F98" s="42">
        <f>(INT($E$25*2/$D98)-INT($E$25*(2-1)/$D98))*$C98/1000</f>
        <v>0.09204000000000001</v>
      </c>
      <c r="G98" s="42">
        <f>(INT($E$25*3/$D98)-INT($E$25*(3-1)/$D98))*$C98/1000</f>
        <v>0.18408000000000002</v>
      </c>
      <c r="H98" s="42">
        <f>(INT($E$25*4/$D98)-INT($E$25*(4-1)/$D98))*$C98/1000</f>
        <v>0.09204000000000001</v>
      </c>
      <c r="I98" s="42">
        <f>(INT($E$25*5/$D98)-INT($E$25*(5-1)/$D98))*$C98/1000</f>
        <v>0.18408000000000002</v>
      </c>
      <c r="J98" s="42">
        <f>(INT($E$25*6/$D98)-INT($E$25*(6-1)/$D98))*$C98/1000</f>
        <v>0.09204000000000001</v>
      </c>
      <c r="K98" s="42">
        <f>(INT($E$25*7/$D98)-INT($E$25*(7-1)/$D98))*$C98/1000</f>
        <v>0.09204000000000001</v>
      </c>
      <c r="L98" s="42">
        <f>(INT($E$25*8/$D98)-INT($E$25*(8-1)/$D98))*$C98/1000</f>
        <v>0.18408000000000002</v>
      </c>
      <c r="M98" s="42">
        <f>(INT($E$25*9/$D98)-INT($E$25*(9-1)/$D98))*$C98/1000</f>
        <v>0.09204000000000001</v>
      </c>
      <c r="N98" s="42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44" t="n">
        <v>123.9</v>
      </c>
      <c r="D99" s="43" t="n">
        <v>4000</v>
      </c>
      <c r="E99" s="42">
        <f>(INT($E$25*1/$D99)-INT($E$25*(1-1)/$D99))*$C99/1000</f>
        <v>0.12390000000000001</v>
      </c>
      <c r="F99" s="42">
        <f>(INT($E$25*2/$D99)-INT($E$25*(2-1)/$D99))*$C99/1000</f>
        <v>0.24780000000000002</v>
      </c>
      <c r="G99" s="42">
        <f>(INT($E$25*3/$D99)-INT($E$25*(3-1)/$D99))*$C99/1000</f>
        <v>0.24780000000000002</v>
      </c>
      <c r="H99" s="42">
        <f>(INT($E$25*4/$D99)-INT($E$25*(4-1)/$D99))*$C99/1000</f>
        <v>0.24780000000000002</v>
      </c>
      <c r="I99" s="42">
        <f>(INT($E$25*5/$D99)-INT($E$25*(5-1)/$D99))*$C99/1000</f>
        <v>0.12390000000000001</v>
      </c>
      <c r="J99" s="42">
        <f>(INT($E$25*6/$D99)-INT($E$25*(6-1)/$D99))*$C99/1000</f>
        <v>0.24780000000000002</v>
      </c>
      <c r="K99" s="42">
        <f>(INT($E$25*7/$D99)-INT($E$25*(7-1)/$D99))*$C99/1000</f>
        <v>0.24780000000000002</v>
      </c>
      <c r="L99" s="42">
        <f>(INT($E$25*8/$D99)-INT($E$25*(8-1)/$D99))*$C99/1000</f>
        <v>0.24780000000000002</v>
      </c>
      <c r="M99" s="42">
        <f>(INT($E$25*9/$D99)-INT($E$25*(9-1)/$D99))*$C99/1000</f>
        <v>0.12390000000000001</v>
      </c>
      <c r="N99" s="42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44" t="n">
        <v>143.96</v>
      </c>
      <c r="D100" s="43" t="n">
        <v>12000</v>
      </c>
      <c r="E100" s="42">
        <f>(INT($E$25*1/$D100)-INT($E$25*(1-1)/$D100))*$C100/1000</f>
        <v>0.0</v>
      </c>
      <c r="F100" s="42">
        <f>(INT($E$25*2/$D100)-INT($E$25*(2-1)/$D100))*$C100/1000</f>
        <v>0.14396</v>
      </c>
      <c r="G100" s="42">
        <f>(INT($E$25*3/$D100)-INT($E$25*(3-1)/$D100))*$C100/1000</f>
        <v>0.0</v>
      </c>
      <c r="H100" s="42">
        <f>(INT($E$25*4/$D100)-INT($E$25*(4-1)/$D100))*$C100/1000</f>
        <v>0.14396</v>
      </c>
      <c r="I100" s="42">
        <f>(INT($E$25*5/$D100)-INT($E$25*(5-1)/$D100))*$C100/1000</f>
        <v>0.0</v>
      </c>
      <c r="J100" s="42">
        <f>(INT($E$25*6/$D100)-INT($E$25*(6-1)/$D100))*$C100/1000</f>
        <v>0.14396</v>
      </c>
      <c r="K100" s="42">
        <f>(INT($E$25*7/$D100)-INT($E$25*(7-1)/$D100))*$C100/1000</f>
        <v>0.14396</v>
      </c>
      <c r="L100" s="42">
        <f>(INT($E$25*8/$D100)-INT($E$25*(8-1)/$D100))*$C100/1000</f>
        <v>0.0</v>
      </c>
      <c r="M100" s="42">
        <f>(INT($E$25*9/$D100)-INT($E$25*(9-1)/$D100))*$C100/1000</f>
        <v>0.14396</v>
      </c>
      <c r="N100" s="42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44" t="n">
        <v>159.96</v>
      </c>
      <c r="D101" s="43" t="n">
        <v>7000</v>
      </c>
      <c r="E101" s="42">
        <f>(INT($E$25*1/$D101)-INT($E$25*(1-1)/$D101))*$C101/1000</f>
        <v>0.15996000000000002</v>
      </c>
      <c r="F101" s="42">
        <f>(INT($E$25*2/$D101)-INT($E$25*(2-1)/$D101))*$C101/1000</f>
        <v>0.15996000000000002</v>
      </c>
      <c r="G101" s="42">
        <f>(INT($E$25*3/$D101)-INT($E$25*(3-1)/$D101))*$C101/1000</f>
        <v>0.15996000000000002</v>
      </c>
      <c r="H101" s="42">
        <f>(INT($E$25*4/$D101)-INT($E$25*(4-1)/$D101))*$C101/1000</f>
        <v>0.15996000000000002</v>
      </c>
      <c r="I101" s="42">
        <f>(INT($E$25*5/$D101)-INT($E$25*(5-1)/$D101))*$C101/1000</f>
        <v>0.15996000000000002</v>
      </c>
      <c r="J101" s="42">
        <f>(INT($E$25*6/$D101)-INT($E$25*(6-1)/$D101))*$C101/1000</f>
        <v>0.15996000000000002</v>
      </c>
      <c r="K101" s="42">
        <f>(INT($E$25*7/$D101)-INT($E$25*(7-1)/$D101))*$C101/1000</f>
        <v>0.15996000000000002</v>
      </c>
      <c r="L101" s="42">
        <f>(INT($E$25*8/$D101)-INT($E$25*(8-1)/$D101))*$C101/1000</f>
        <v>0.15996000000000002</v>
      </c>
      <c r="M101" s="42">
        <f>(INT($E$25*9/$D101)-INT($E$25*(9-1)/$D101))*$C101/1000</f>
        <v>0.15996000000000002</v>
      </c>
      <c r="N101" s="42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44" t="n">
        <v>215.94</v>
      </c>
      <c r="D102" s="43" t="n">
        <v>7000</v>
      </c>
      <c r="E102" s="42">
        <f>(INT($E$25*1/$D102)-INT($E$25*(1-1)/$D102))*$C102/1000</f>
        <v>0.21594</v>
      </c>
      <c r="F102" s="42">
        <f>(INT($E$25*2/$D102)-INT($E$25*(2-1)/$D102))*$C102/1000</f>
        <v>0.21594</v>
      </c>
      <c r="G102" s="42">
        <f>(INT($E$25*3/$D102)-INT($E$25*(3-1)/$D102))*$C102/1000</f>
        <v>0.21594</v>
      </c>
      <c r="H102" s="42">
        <f>(INT($E$25*4/$D102)-INT($E$25*(4-1)/$D102))*$C102/1000</f>
        <v>0.21594</v>
      </c>
      <c r="I102" s="42">
        <f>(INT($E$25*5/$D102)-INT($E$25*(5-1)/$D102))*$C102/1000</f>
        <v>0.21594</v>
      </c>
      <c r="J102" s="42">
        <f>(INT($E$25*6/$D102)-INT($E$25*(6-1)/$D102))*$C102/1000</f>
        <v>0.21594</v>
      </c>
      <c r="K102" s="42">
        <f>(INT($E$25*7/$D102)-INT($E$25*(7-1)/$D102))*$C102/1000</f>
        <v>0.21594</v>
      </c>
      <c r="L102" s="42">
        <f>(INT($E$25*8/$D102)-INT($E$25*(8-1)/$D102))*$C102/1000</f>
        <v>0.21594</v>
      </c>
      <c r="M102" s="42">
        <f>(INT($E$25*9/$D102)-INT($E$25*(9-1)/$D102))*$C102/1000</f>
        <v>0.21594</v>
      </c>
      <c r="N102" s="42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44" t="n">
        <v>3415.51</v>
      </c>
      <c r="D103" s="43" t="n">
        <v>36000</v>
      </c>
      <c r="E103" s="42">
        <f>(INT($E$25*1/$D103)-INT($E$25*(1-1)/$D103))*$C103/1000</f>
        <v>0.0</v>
      </c>
      <c r="F103" s="42">
        <f>(INT($E$25*2/$D103)-INT($E$25*(2-1)/$D103))*$C103/1000</f>
        <v>0.0</v>
      </c>
      <c r="G103" s="42">
        <f>(INT($E$25*3/$D103)-INT($E$25*(3-1)/$D103))*$C103/1000</f>
        <v>0.0</v>
      </c>
      <c r="H103" s="42">
        <f>(INT($E$25*4/$D103)-INT($E$25*(4-1)/$D103))*$C103/1000</f>
        <v>0.0</v>
      </c>
      <c r="I103" s="42">
        <f>(INT($E$25*5/$D103)-INT($E$25*(5-1)/$D103))*$C103/1000</f>
        <v>0.0</v>
      </c>
      <c r="J103" s="42">
        <f>(INT($E$25*6/$D103)-INT($E$25*(6-1)/$D103))*$C103/1000</f>
        <v>3.4155100000000003</v>
      </c>
      <c r="K103" s="42">
        <f>(INT($E$25*7/$D103)-INT($E$25*(7-1)/$D103))*$C103/1000</f>
        <v>0.0</v>
      </c>
      <c r="L103" s="42">
        <f>(INT($E$25*8/$D103)-INT($E$25*(8-1)/$D103))*$C103/1000</f>
        <v>0.0</v>
      </c>
      <c r="M103" s="42">
        <f>(INT($E$25*9/$D103)-INT($E$25*(9-1)/$D103))*$C103/1000</f>
        <v>0.0</v>
      </c>
      <c r="N103" s="42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44" t="n">
        <v>12637.39</v>
      </c>
      <c r="D104" s="43" t="n">
        <v>65000</v>
      </c>
      <c r="E104" s="42">
        <f>(INT($E$25*1/$D104)-INT($E$25*(1-1)/$D104))*$C104/1000</f>
        <v>0.0</v>
      </c>
      <c r="F104" s="42">
        <f>(INT($E$25*2/$D104)-INT($E$25*(2-1)/$D104))*$C104/1000</f>
        <v>0.0</v>
      </c>
      <c r="G104" s="42">
        <f>(INT($E$25*3/$D104)-INT($E$25*(3-1)/$D104))*$C104/1000</f>
        <v>0.0</v>
      </c>
      <c r="H104" s="42">
        <f>(INT($E$25*4/$D104)-INT($E$25*(4-1)/$D104))*$C104/1000</f>
        <v>0.0</v>
      </c>
      <c r="I104" s="42">
        <f>(INT($E$25*5/$D104)-INT($E$25*(5-1)/$D104))*$C104/1000</f>
        <v>0.0</v>
      </c>
      <c r="J104" s="42">
        <f>(INT($E$25*6/$D104)-INT($E$25*(6-1)/$D104))*$C104/1000</f>
        <v>0.0</v>
      </c>
      <c r="K104" s="42">
        <f>(INT($E$25*7/$D104)-INT($E$25*(7-1)/$D104))*$C104/1000</f>
        <v>0.0</v>
      </c>
      <c r="L104" s="42">
        <f>(INT($E$25*8/$D104)-INT($E$25*(8-1)/$D104))*$C104/1000</f>
        <v>0.0</v>
      </c>
      <c r="M104" s="42">
        <f>(INT($E$25*9/$D104)-INT($E$25*(9-1)/$D104))*$C104/1000</f>
        <v>0.0</v>
      </c>
      <c r="N104" s="42">
        <f>(INT($E$25*10/$D104)-INT($E$25*(10-1)/$D104))*$C104/1000</f>
        <v>12.63739</v>
      </c>
    </row>
    <row r="105">
      <c r="B105" s="45" t="inlineStr">
        <is>
          <t>ИТОГО</t>
        </is>
      </c>
      <c r="E105" s="42">
        <f>SUM(E89:E104)</f>
        <v>4.506819999999999</v>
      </c>
      <c r="F105" s="42">
        <f>SUM(F89:F104)</f>
        <v>60.109840000000005</v>
      </c>
      <c r="G105" s="42">
        <f>SUM(G89:G104)</f>
        <v>145.1624</v>
      </c>
      <c r="H105" s="42">
        <f>SUM(H89:H104)</f>
        <v>60.109840000000005</v>
      </c>
      <c r="I105" s="42">
        <f>SUM(I89:I104)</f>
        <v>144.82518</v>
      </c>
      <c r="J105" s="42">
        <f>SUM(J89:J104)</f>
        <v>67.22701</v>
      </c>
      <c r="K105" s="42">
        <f>SUM(K89:K104)</f>
        <v>145.21432</v>
      </c>
      <c r="L105" s="42">
        <f>SUM(L89:L104)</f>
        <v>60.057919999999996</v>
      </c>
      <c r="M105" s="42">
        <f>SUM(M89:M104)</f>
        <v>111.9831</v>
      </c>
      <c r="N105" s="42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44" t="n">
        <v>56</v>
      </c>
      <c r="D109" s="43" t="n">
        <v>15000</v>
      </c>
      <c r="E109" s="42">
        <f>(INT($E$25*1/$D109)-INT($E$25*(1-1)/$D109))*$C109</f>
        <v>0.0</v>
      </c>
      <c r="F109" s="42">
        <f>(INT($E$25*2/$D109)-INT($E$25*(2-1)/$D109))*$C109</f>
        <v>0.0</v>
      </c>
      <c r="G109" s="42">
        <f>(INT($E$25*3/$D109)-INT($E$25*(3-1)/$D109))*$C109</f>
        <v>56.0</v>
      </c>
      <c r="H109" s="42">
        <f>(INT($E$25*4/$D109)-INT($E$25*(4-1)/$D109))*$C109</f>
        <v>0.0</v>
      </c>
      <c r="I109" s="42">
        <f>(INT($E$25*5/$D109)-INT($E$25*(5-1)/$D109))*$C109</f>
        <v>56.0</v>
      </c>
      <c r="J109" s="42">
        <f>(INT($E$25*6/$D109)-INT($E$25*(6-1)/$D109))*$C109</f>
        <v>0.0</v>
      </c>
      <c r="K109" s="42">
        <f>(INT($E$25*7/$D109)-INT($E$25*(7-1)/$D109))*$C109</f>
        <v>56.0</v>
      </c>
      <c r="L109" s="42">
        <f>(INT($E$25*8/$D109)-INT($E$25*(8-1)/$D109))*$C109</f>
        <v>0.0</v>
      </c>
      <c r="M109" s="42">
        <f>(INT($E$25*9/$D109)-INT($E$25*(9-1)/$D109))*$C109</f>
        <v>56.0</v>
      </c>
      <c r="N109" s="42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44" t="n">
        <v>4</v>
      </c>
      <c r="D110" s="43" t="n">
        <v>16000</v>
      </c>
      <c r="E110" s="42">
        <f>(INT($E$25*1/$D110)-INT($E$25*(1-1)/$D110))*$C110</f>
        <v>0.0</v>
      </c>
      <c r="F110" s="42">
        <f>(INT($E$25*2/$D110)-INT($E$25*(2-1)/$D110))*$C110</f>
        <v>0.0</v>
      </c>
      <c r="G110" s="42">
        <f>(INT($E$25*3/$D110)-INT($E$25*(3-1)/$D110))*$C110</f>
        <v>4.0</v>
      </c>
      <c r="H110" s="42">
        <f>(INT($E$25*4/$D110)-INT($E$25*(4-1)/$D110))*$C110</f>
        <v>0.0</v>
      </c>
      <c r="I110" s="42">
        <f>(INT($E$25*5/$D110)-INT($E$25*(5-1)/$D110))*$C110</f>
        <v>4.0</v>
      </c>
      <c r="J110" s="42">
        <f>(INT($E$25*6/$D110)-INT($E$25*(6-1)/$D110))*$C110</f>
        <v>0.0</v>
      </c>
      <c r="K110" s="42">
        <f>(INT($E$25*7/$D110)-INT($E$25*(7-1)/$D110))*$C110</f>
        <v>4.0</v>
      </c>
      <c r="L110" s="42">
        <f>(INT($E$25*8/$D110)-INT($E$25*(8-1)/$D110))*$C110</f>
        <v>0.0</v>
      </c>
      <c r="M110" s="42">
        <f>(INT($E$25*9/$D110)-INT($E$25*(9-1)/$D110))*$C110</f>
        <v>0.0</v>
      </c>
      <c r="N110" s="42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44" t="n">
        <v>8</v>
      </c>
      <c r="D111" s="43" t="n">
        <v>13000</v>
      </c>
      <c r="E111" s="42">
        <f>(INT($E$25*1/$D111)-INT($E$25*(1-1)/$D111))*$C111</f>
        <v>0.0</v>
      </c>
      <c r="F111" s="42">
        <f>(INT($E$25*2/$D111)-INT($E$25*(2-1)/$D111))*$C111</f>
        <v>8.0</v>
      </c>
      <c r="G111" s="42">
        <f>(INT($E$25*3/$D111)-INT($E$25*(3-1)/$D111))*$C111</f>
        <v>0.0</v>
      </c>
      <c r="H111" s="42">
        <f>(INT($E$25*4/$D111)-INT($E$25*(4-1)/$D111))*$C111</f>
        <v>8.0</v>
      </c>
      <c r="I111" s="42">
        <f>(INT($E$25*5/$D111)-INT($E$25*(5-1)/$D111))*$C111</f>
        <v>0.0</v>
      </c>
      <c r="J111" s="42">
        <f>(INT($E$25*6/$D111)-INT($E$25*(6-1)/$D111))*$C111</f>
        <v>8.0</v>
      </c>
      <c r="K111" s="42">
        <f>(INT($E$25*7/$D111)-INT($E$25*(7-1)/$D111))*$C111</f>
        <v>0.0</v>
      </c>
      <c r="L111" s="42">
        <f>(INT($E$25*8/$D111)-INT($E$25*(8-1)/$D111))*$C111</f>
        <v>8.0</v>
      </c>
      <c r="M111" s="42">
        <f>(INT($E$25*9/$D111)-INT($E$25*(9-1)/$D111))*$C111</f>
        <v>0.0</v>
      </c>
      <c r="N111" s="42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44" t="n">
        <v>36</v>
      </c>
      <c r="D112" s="43" t="n">
        <v>7450</v>
      </c>
      <c r="E112" s="42">
        <f>(INT($E$25*1/$D112)-INT($E$25*(1-1)/$D112))*$C112</f>
        <v>0.0</v>
      </c>
      <c r="F112" s="42">
        <f>(INT($E$25*2/$D112)-INT($E$25*(2-1)/$D112))*$C112</f>
        <v>36.0</v>
      </c>
      <c r="G112" s="42">
        <f>(INT($E$25*3/$D112)-INT($E$25*(3-1)/$D112))*$C112</f>
        <v>36.0</v>
      </c>
      <c r="H112" s="42">
        <f>(INT($E$25*4/$D112)-INT($E$25*(4-1)/$D112))*$C112</f>
        <v>36.0</v>
      </c>
      <c r="I112" s="42">
        <f>(INT($E$25*5/$D112)-INT($E$25*(5-1)/$D112))*$C112</f>
        <v>36.0</v>
      </c>
      <c r="J112" s="42">
        <f>(INT($E$25*6/$D112)-INT($E$25*(6-1)/$D112))*$C112</f>
        <v>36.0</v>
      </c>
      <c r="K112" s="42">
        <f>(INT($E$25*7/$D112)-INT($E$25*(7-1)/$D112))*$C112</f>
        <v>36.0</v>
      </c>
      <c r="L112" s="42">
        <f>(INT($E$25*8/$D112)-INT($E$25*(8-1)/$D112))*$C112</f>
        <v>36.0</v>
      </c>
      <c r="M112" s="42">
        <f>(INT($E$25*9/$D112)-INT($E$25*(9-1)/$D112))*$C112</f>
        <v>36.0</v>
      </c>
      <c r="N112" s="42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44" t="n">
        <v>72</v>
      </c>
      <c r="D113" s="43" t="n">
        <v>7450</v>
      </c>
      <c r="E113" s="42">
        <f>(INT($E$25*1/$D113)-INT($E$25*(1-1)/$D113))*$C113</f>
        <v>0.0</v>
      </c>
      <c r="F113" s="42">
        <f>(INT($E$25*2/$D113)-INT($E$25*(2-1)/$D113))*$C113</f>
        <v>72.0</v>
      </c>
      <c r="G113" s="42">
        <f>(INT($E$25*3/$D113)-INT($E$25*(3-1)/$D113))*$C113</f>
        <v>72.0</v>
      </c>
      <c r="H113" s="42">
        <f>(INT($E$25*4/$D113)-INT($E$25*(4-1)/$D113))*$C113</f>
        <v>72.0</v>
      </c>
      <c r="I113" s="42">
        <f>(INT($E$25*5/$D113)-INT($E$25*(5-1)/$D113))*$C113</f>
        <v>72.0</v>
      </c>
      <c r="J113" s="42">
        <f>(INT($E$25*6/$D113)-INT($E$25*(6-1)/$D113))*$C113</f>
        <v>72.0</v>
      </c>
      <c r="K113" s="42">
        <f>(INT($E$25*7/$D113)-INT($E$25*(7-1)/$D113))*$C113</f>
        <v>72.0</v>
      </c>
      <c r="L113" s="42">
        <f>(INT($E$25*8/$D113)-INT($E$25*(8-1)/$D113))*$C113</f>
        <v>72.0</v>
      </c>
      <c r="M113" s="42">
        <f>(INT($E$25*9/$D113)-INT($E$25*(9-1)/$D113))*$C113</f>
        <v>72.0</v>
      </c>
      <c r="N113" s="42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44" t="n">
        <v>28</v>
      </c>
      <c r="D114" s="43" t="n">
        <v>6000</v>
      </c>
      <c r="E114" s="42">
        <f>(INT($E$25*1/$D114)-INT($E$25*(1-1)/$D114))*$C114</f>
        <v>28.0</v>
      </c>
      <c r="F114" s="42">
        <f>(INT($E$25*2/$D114)-INT($E$25*(2-1)/$D114))*$C114</f>
        <v>28.0</v>
      </c>
      <c r="G114" s="42">
        <f>(INT($E$25*3/$D114)-INT($E$25*(3-1)/$D114))*$C114</f>
        <v>28.0</v>
      </c>
      <c r="H114" s="42">
        <f>(INT($E$25*4/$D114)-INT($E$25*(4-1)/$D114))*$C114</f>
        <v>28.0</v>
      </c>
      <c r="I114" s="42">
        <f>(INT($E$25*5/$D114)-INT($E$25*(5-1)/$D114))*$C114</f>
        <v>28.0</v>
      </c>
      <c r="J114" s="42">
        <f>(INT($E$25*6/$D114)-INT($E$25*(6-1)/$D114))*$C114</f>
        <v>56.0</v>
      </c>
      <c r="K114" s="42">
        <f>(INT($E$25*7/$D114)-INT($E$25*(7-1)/$D114))*$C114</f>
        <v>28.0</v>
      </c>
      <c r="L114" s="42">
        <f>(INT($E$25*8/$D114)-INT($E$25*(8-1)/$D114))*$C114</f>
        <v>28.0</v>
      </c>
      <c r="M114" s="42">
        <f>(INT($E$25*9/$D114)-INT($E$25*(9-1)/$D114))*$C114</f>
        <v>28.0</v>
      </c>
      <c r="N114" s="42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44" t="n">
        <v>3.5</v>
      </c>
      <c r="D115" s="43" t="n">
        <v>6000</v>
      </c>
      <c r="E115" s="42">
        <f>(INT($E$25*1/$D115)-INT($E$25*(1-1)/$D115))*$C115</f>
        <v>3.5</v>
      </c>
      <c r="F115" s="42">
        <f>(INT($E$25*2/$D115)-INT($E$25*(2-1)/$D115))*$C115</f>
        <v>3.5</v>
      </c>
      <c r="G115" s="42">
        <f>(INT($E$25*3/$D115)-INT($E$25*(3-1)/$D115))*$C115</f>
        <v>3.5</v>
      </c>
      <c r="H115" s="42">
        <f>(INT($E$25*4/$D115)-INT($E$25*(4-1)/$D115))*$C115</f>
        <v>3.5</v>
      </c>
      <c r="I115" s="42">
        <f>(INT($E$25*5/$D115)-INT($E$25*(5-1)/$D115))*$C115</f>
        <v>3.5</v>
      </c>
      <c r="J115" s="42">
        <f>(INT($E$25*6/$D115)-INT($E$25*(6-1)/$D115))*$C115</f>
        <v>7.0</v>
      </c>
      <c r="K115" s="42">
        <f>(INT($E$25*7/$D115)-INT($E$25*(7-1)/$D115))*$C115</f>
        <v>3.5</v>
      </c>
      <c r="L115" s="42">
        <f>(INT($E$25*8/$D115)-INT($E$25*(8-1)/$D115))*$C115</f>
        <v>3.5</v>
      </c>
      <c r="M115" s="42">
        <f>(INT($E$25*9/$D115)-INT($E$25*(9-1)/$D115))*$C115</f>
        <v>3.5</v>
      </c>
      <c r="N115" s="42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44" t="n">
        <v>3.5</v>
      </c>
      <c r="D116" s="43" t="n">
        <v>4000</v>
      </c>
      <c r="E116" s="42">
        <f>(INT($E$25*1/$D116)-INT($E$25*(1-1)/$D116))*$C116</f>
        <v>3.5</v>
      </c>
      <c r="F116" s="42">
        <f>(INT($E$25*2/$D116)-INT($E$25*(2-1)/$D116))*$C116</f>
        <v>7.0</v>
      </c>
      <c r="G116" s="42">
        <f>(INT($E$25*3/$D116)-INT($E$25*(3-1)/$D116))*$C116</f>
        <v>7.0</v>
      </c>
      <c r="H116" s="42">
        <f>(INT($E$25*4/$D116)-INT($E$25*(4-1)/$D116))*$C116</f>
        <v>7.0</v>
      </c>
      <c r="I116" s="42">
        <f>(INT($E$25*5/$D116)-INT($E$25*(5-1)/$D116))*$C116</f>
        <v>3.5</v>
      </c>
      <c r="J116" s="42">
        <f>(INT($E$25*6/$D116)-INT($E$25*(6-1)/$D116))*$C116</f>
        <v>7.0</v>
      </c>
      <c r="K116" s="42">
        <f>(INT($E$25*7/$D116)-INT($E$25*(7-1)/$D116))*$C116</f>
        <v>7.0</v>
      </c>
      <c r="L116" s="42">
        <f>(INT($E$25*8/$D116)-INT($E$25*(8-1)/$D116))*$C116</f>
        <v>7.0</v>
      </c>
      <c r="M116" s="42">
        <f>(INT($E$25*9/$D116)-INT($E$25*(9-1)/$D116))*$C116</f>
        <v>3.5</v>
      </c>
      <c r="N116" s="42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44" t="n">
        <v>3.5</v>
      </c>
      <c r="D117" s="43" t="n">
        <v>4000</v>
      </c>
      <c r="E117" s="42">
        <f>(INT($E$25*1/$D117)-INT($E$25*(1-1)/$D117))*$C117</f>
        <v>3.5</v>
      </c>
      <c r="F117" s="42">
        <f>(INT($E$25*2/$D117)-INT($E$25*(2-1)/$D117))*$C117</f>
        <v>7.0</v>
      </c>
      <c r="G117" s="42">
        <f>(INT($E$25*3/$D117)-INT($E$25*(3-1)/$D117))*$C117</f>
        <v>7.0</v>
      </c>
      <c r="H117" s="42">
        <f>(INT($E$25*4/$D117)-INT($E$25*(4-1)/$D117))*$C117</f>
        <v>7.0</v>
      </c>
      <c r="I117" s="42">
        <f>(INT($E$25*5/$D117)-INT($E$25*(5-1)/$D117))*$C117</f>
        <v>3.5</v>
      </c>
      <c r="J117" s="42">
        <f>(INT($E$25*6/$D117)-INT($E$25*(6-1)/$D117))*$C117</f>
        <v>7.0</v>
      </c>
      <c r="K117" s="42">
        <f>(INT($E$25*7/$D117)-INT($E$25*(7-1)/$D117))*$C117</f>
        <v>7.0</v>
      </c>
      <c r="L117" s="42">
        <f>(INT($E$25*8/$D117)-INT($E$25*(8-1)/$D117))*$C117</f>
        <v>7.0</v>
      </c>
      <c r="M117" s="42">
        <f>(INT($E$25*9/$D117)-INT($E$25*(9-1)/$D117))*$C117</f>
        <v>3.5</v>
      </c>
      <c r="N117" s="42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44" t="n">
        <v>4</v>
      </c>
      <c r="D118" s="43" t="n">
        <v>5000</v>
      </c>
      <c r="E118" s="42">
        <f>(INT($E$25*1/$D118)-INT($E$25*(1-1)/$D118))*$C118</f>
        <v>4.0</v>
      </c>
      <c r="F118" s="42">
        <f>(INT($E$25*2/$D118)-INT($E$25*(2-1)/$D118))*$C118</f>
        <v>4.0</v>
      </c>
      <c r="G118" s="42">
        <f>(INT($E$25*3/$D118)-INT($E$25*(3-1)/$D118))*$C118</f>
        <v>8.0</v>
      </c>
      <c r="H118" s="42">
        <f>(INT($E$25*4/$D118)-INT($E$25*(4-1)/$D118))*$C118</f>
        <v>4.0</v>
      </c>
      <c r="I118" s="42">
        <f>(INT($E$25*5/$D118)-INT($E$25*(5-1)/$D118))*$C118</f>
        <v>8.0</v>
      </c>
      <c r="J118" s="42">
        <f>(INT($E$25*6/$D118)-INT($E$25*(6-1)/$D118))*$C118</f>
        <v>4.0</v>
      </c>
      <c r="K118" s="42">
        <f>(INT($E$25*7/$D118)-INT($E$25*(7-1)/$D118))*$C118</f>
        <v>4.0</v>
      </c>
      <c r="L118" s="42">
        <f>(INT($E$25*8/$D118)-INT($E$25*(8-1)/$D118))*$C118</f>
        <v>8.0</v>
      </c>
      <c r="M118" s="42">
        <f>(INT($E$25*9/$D118)-INT($E$25*(9-1)/$D118))*$C118</f>
        <v>4.0</v>
      </c>
      <c r="N118" s="42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44" t="n">
        <v>0.9</v>
      </c>
      <c r="D119" s="43" t="n">
        <v>4000</v>
      </c>
      <c r="E119" s="42">
        <f>(INT($E$25*1/$D119)-INT($E$25*(1-1)/$D119))*$C119</f>
        <v>0.9</v>
      </c>
      <c r="F119" s="42">
        <f>(INT($E$25*2/$D119)-INT($E$25*(2-1)/$D119))*$C119</f>
        <v>1.8</v>
      </c>
      <c r="G119" s="42">
        <f>(INT($E$25*3/$D119)-INT($E$25*(3-1)/$D119))*$C119</f>
        <v>1.8</v>
      </c>
      <c r="H119" s="42">
        <f>(INT($E$25*4/$D119)-INT($E$25*(4-1)/$D119))*$C119</f>
        <v>1.8</v>
      </c>
      <c r="I119" s="42">
        <f>(INT($E$25*5/$D119)-INT($E$25*(5-1)/$D119))*$C119</f>
        <v>0.9</v>
      </c>
      <c r="J119" s="42">
        <f>(INT($E$25*6/$D119)-INT($E$25*(6-1)/$D119))*$C119</f>
        <v>1.8</v>
      </c>
      <c r="K119" s="42">
        <f>(INT($E$25*7/$D119)-INT($E$25*(7-1)/$D119))*$C119</f>
        <v>1.8</v>
      </c>
      <c r="L119" s="42">
        <f>(INT($E$25*8/$D119)-INT($E$25*(8-1)/$D119))*$C119</f>
        <v>1.8</v>
      </c>
      <c r="M119" s="42">
        <f>(INT($E$25*9/$D119)-INT($E$25*(9-1)/$D119))*$C119</f>
        <v>0.9</v>
      </c>
      <c r="N119" s="42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44" t="n">
        <v>2</v>
      </c>
      <c r="D120" s="43" t="n">
        <v>12000</v>
      </c>
      <c r="E120" s="42">
        <f>(INT($E$25*1/$D120)-INT($E$25*(1-1)/$D120))*$C120</f>
        <v>0.0</v>
      </c>
      <c r="F120" s="42">
        <f>(INT($E$25*2/$D120)-INT($E$25*(2-1)/$D120))*$C120</f>
        <v>2.0</v>
      </c>
      <c r="G120" s="42">
        <f>(INT($E$25*3/$D120)-INT($E$25*(3-1)/$D120))*$C120</f>
        <v>0.0</v>
      </c>
      <c r="H120" s="42">
        <f>(INT($E$25*4/$D120)-INT($E$25*(4-1)/$D120))*$C120</f>
        <v>2.0</v>
      </c>
      <c r="I120" s="42">
        <f>(INT($E$25*5/$D120)-INT($E$25*(5-1)/$D120))*$C120</f>
        <v>0.0</v>
      </c>
      <c r="J120" s="42">
        <f>(INT($E$25*6/$D120)-INT($E$25*(6-1)/$D120))*$C120</f>
        <v>2.0</v>
      </c>
      <c r="K120" s="42">
        <f>(INT($E$25*7/$D120)-INT($E$25*(7-1)/$D120))*$C120</f>
        <v>2.0</v>
      </c>
      <c r="L120" s="42">
        <f>(INT($E$25*8/$D120)-INT($E$25*(8-1)/$D120))*$C120</f>
        <v>0.0</v>
      </c>
      <c r="M120" s="42">
        <f>(INT($E$25*9/$D120)-INT($E$25*(9-1)/$D120))*$C120</f>
        <v>2.0</v>
      </c>
      <c r="N120" s="42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44" t="n">
        <v>2</v>
      </c>
      <c r="D121" s="43" t="n">
        <v>7000</v>
      </c>
      <c r="E121" s="42">
        <f>(INT($E$25*1/$D121)-INT($E$25*(1-1)/$D121))*$C121</f>
        <v>2.0</v>
      </c>
      <c r="F121" s="42">
        <f>(INT($E$25*2/$D121)-INT($E$25*(2-1)/$D121))*$C121</f>
        <v>2.0</v>
      </c>
      <c r="G121" s="42">
        <f>(INT($E$25*3/$D121)-INT($E$25*(3-1)/$D121))*$C121</f>
        <v>2.0</v>
      </c>
      <c r="H121" s="42">
        <f>(INT($E$25*4/$D121)-INT($E$25*(4-1)/$D121))*$C121</f>
        <v>2.0</v>
      </c>
      <c r="I121" s="42">
        <f>(INT($E$25*5/$D121)-INT($E$25*(5-1)/$D121))*$C121</f>
        <v>2.0</v>
      </c>
      <c r="J121" s="42">
        <f>(INT($E$25*6/$D121)-INT($E$25*(6-1)/$D121))*$C121</f>
        <v>2.0</v>
      </c>
      <c r="K121" s="42">
        <f>(INT($E$25*7/$D121)-INT($E$25*(7-1)/$D121))*$C121</f>
        <v>2.0</v>
      </c>
      <c r="L121" s="42">
        <f>(INT($E$25*8/$D121)-INT($E$25*(8-1)/$D121))*$C121</f>
        <v>2.0</v>
      </c>
      <c r="M121" s="42">
        <f>(INT($E$25*9/$D121)-INT($E$25*(9-1)/$D121))*$C121</f>
        <v>2.0</v>
      </c>
      <c r="N121" s="42">
        <f>(INT($E$25*10/$D121)-INT($E$25*(10-1)/$D121))*$C121</f>
        <v>2.0</v>
      </c>
    </row>
    <row r="122">
      <c r="B122" s="22" t="inlineStr">
        <is>
          <t>Чистка радиаторов</t>
        </is>
      </c>
      <c r="C122" s="44" t="n">
        <v>3</v>
      </c>
      <c r="D122" s="43" t="n">
        <v>7000</v>
      </c>
      <c r="E122" s="42">
        <f>(INT($E$25*1/$D122)-INT($E$25*(1-1)/$D122))*$C122</f>
        <v>3.0</v>
      </c>
      <c r="F122" s="42">
        <f>(INT($E$25*2/$D122)-INT($E$25*(2-1)/$D122))*$C122</f>
        <v>3.0</v>
      </c>
      <c r="G122" s="42">
        <f>(INT($E$25*3/$D122)-INT($E$25*(3-1)/$D122))*$C122</f>
        <v>3.0</v>
      </c>
      <c r="H122" s="42">
        <f>(INT($E$25*4/$D122)-INT($E$25*(4-1)/$D122))*$C122</f>
        <v>3.0</v>
      </c>
      <c r="I122" s="42">
        <f>(INT($E$25*5/$D122)-INT($E$25*(5-1)/$D122))*$C122</f>
        <v>3.0</v>
      </c>
      <c r="J122" s="42">
        <f>(INT($E$25*6/$D122)-INT($E$25*(6-1)/$D122))*$C122</f>
        <v>3.0</v>
      </c>
      <c r="K122" s="42">
        <f>(INT($E$25*7/$D122)-INT($E$25*(7-1)/$D122))*$C122</f>
        <v>3.0</v>
      </c>
      <c r="L122" s="42">
        <f>(INT($E$25*8/$D122)-INT($E$25*(8-1)/$D122))*$C122</f>
        <v>3.0</v>
      </c>
      <c r="M122" s="42">
        <f>(INT($E$25*9/$D122)-INT($E$25*(9-1)/$D122))*$C122</f>
        <v>3.0</v>
      </c>
      <c r="N122" s="42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44" t="n">
        <v>50</v>
      </c>
      <c r="D123" s="43" t="n">
        <v>36000</v>
      </c>
      <c r="E123" s="42">
        <f>(INT($E$25*1/$D123)-INT($E$25*(1-1)/$D123))*$C123</f>
        <v>0.0</v>
      </c>
      <c r="F123" s="42">
        <f>(INT($E$25*2/$D123)-INT($E$25*(2-1)/$D123))*$C123</f>
        <v>0.0</v>
      </c>
      <c r="G123" s="42">
        <f>(INT($E$25*3/$D123)-INT($E$25*(3-1)/$D123))*$C123</f>
        <v>0.0</v>
      </c>
      <c r="H123" s="42">
        <f>(INT($E$25*4/$D123)-INT($E$25*(4-1)/$D123))*$C123</f>
        <v>0.0</v>
      </c>
      <c r="I123" s="42">
        <f>(INT($E$25*5/$D123)-INT($E$25*(5-1)/$D123))*$C123</f>
        <v>0.0</v>
      </c>
      <c r="J123" s="42">
        <f>(INT($E$25*6/$D123)-INT($E$25*(6-1)/$D123))*$C123</f>
        <v>50.0</v>
      </c>
      <c r="K123" s="42">
        <f>(INT($E$25*7/$D123)-INT($E$25*(7-1)/$D123))*$C123</f>
        <v>0.0</v>
      </c>
      <c r="L123" s="42">
        <f>(INT($E$25*8/$D123)-INT($E$25*(8-1)/$D123))*$C123</f>
        <v>0.0</v>
      </c>
      <c r="M123" s="42">
        <f>(INT($E$25*9/$D123)-INT($E$25*(9-1)/$D123))*$C123</f>
        <v>0.0</v>
      </c>
      <c r="N123" s="42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44" t="n">
        <v>185</v>
      </c>
      <c r="D124" s="43" t="n">
        <v>65000</v>
      </c>
      <c r="E124" s="42">
        <f>(INT($E$25*1/$D124)-INT($E$25*(1-1)/$D124))*$C124</f>
        <v>0.0</v>
      </c>
      <c r="F124" s="42">
        <f>(INT($E$25*2/$D124)-INT($E$25*(2-1)/$D124))*$C124</f>
        <v>0.0</v>
      </c>
      <c r="G124" s="42">
        <f>(INT($E$25*3/$D124)-INT($E$25*(3-1)/$D124))*$C124</f>
        <v>0.0</v>
      </c>
      <c r="H124" s="42">
        <f>(INT($E$25*4/$D124)-INT($E$25*(4-1)/$D124))*$C124</f>
        <v>0.0</v>
      </c>
      <c r="I124" s="42">
        <f>(INT($E$25*5/$D124)-INT($E$25*(5-1)/$D124))*$C124</f>
        <v>0.0</v>
      </c>
      <c r="J124" s="42">
        <f>(INT($E$25*6/$D124)-INT($E$25*(6-1)/$D124))*$C124</f>
        <v>0.0</v>
      </c>
      <c r="K124" s="42">
        <f>(INT($E$25*7/$D124)-INT($E$25*(7-1)/$D124))*$C124</f>
        <v>0.0</v>
      </c>
      <c r="L124" s="42">
        <f>(INT($E$25*8/$D124)-INT($E$25*(8-1)/$D124))*$C124</f>
        <v>0.0</v>
      </c>
      <c r="M124" s="42">
        <f>(INT($E$25*9/$D124)-INT($E$25*(9-1)/$D124))*$C124</f>
        <v>0.0</v>
      </c>
      <c r="N124" s="42">
        <f>(INT($E$25*10/$D124)-INT($E$25*(10-1)/$D124))*$C124</f>
        <v>185.0</v>
      </c>
    </row>
    <row r="125">
      <c r="B125" s="45" t="inlineStr">
        <is>
          <t>ИТОГО</t>
        </is>
      </c>
      <c r="E125" s="42">
        <f>SUM(E109:E124)</f>
        <v>48.4</v>
      </c>
      <c r="F125" s="42">
        <f>SUM(F109:F124)</f>
        <v>174.3</v>
      </c>
      <c r="G125" s="42">
        <f>SUM(G109:G124)</f>
        <v>228.3</v>
      </c>
      <c r="H125" s="42">
        <f>SUM(H109:H124)</f>
        <v>174.3</v>
      </c>
      <c r="I125" s="42">
        <f>SUM(I109:I124)</f>
        <v>220.4</v>
      </c>
      <c r="J125" s="42">
        <f>SUM(J109:J124)</f>
        <v>255.8</v>
      </c>
      <c r="K125" s="42">
        <f>SUM(K109:K124)</f>
        <v>226.3</v>
      </c>
      <c r="L125" s="42">
        <f>SUM(L109:L124)</f>
        <v>176.3</v>
      </c>
      <c r="M125" s="42">
        <f>SUM(M109:M124)</f>
        <v>214.4</v>
      </c>
      <c r="N125" s="42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44" t="n">
        <v>37124</v>
      </c>
      <c r="D129" s="43" t="n">
        <v>12000</v>
      </c>
      <c r="E129" s="42">
        <f>(INT($E$25*1/$D129)-INT($E$25*(1-1)/$D129))*$C129/1000</f>
        <v>0.0</v>
      </c>
      <c r="F129" s="42">
        <f>(INT($E$25*2/$D129)-INT($E$25*(2-1)/$D129))*$C129/1000</f>
        <v>37.124</v>
      </c>
      <c r="G129" s="42">
        <f>(INT($E$25*3/$D129)-INT($E$25*(3-1)/$D129))*$C129/1000</f>
        <v>0.0</v>
      </c>
      <c r="H129" s="42">
        <f>(INT($E$25*4/$D129)-INT($E$25*(4-1)/$D129))*$C129/1000</f>
        <v>37.124</v>
      </c>
      <c r="I129" s="42">
        <f>(INT($E$25*5/$D129)-INT($E$25*(5-1)/$D129))*$C129/1000</f>
        <v>0.0</v>
      </c>
      <c r="J129" s="42">
        <f>(INT($E$25*6/$D129)-INT($E$25*(6-1)/$D129))*$C129/1000</f>
        <v>37.124</v>
      </c>
      <c r="K129" s="42">
        <f>(INT($E$25*7/$D129)-INT($E$25*(7-1)/$D129))*$C129/1000</f>
        <v>37.124</v>
      </c>
      <c r="L129" s="42">
        <f>(INT($E$25*8/$D129)-INT($E$25*(8-1)/$D129))*$C129/1000</f>
        <v>0.0</v>
      </c>
      <c r="M129" s="42">
        <f>(INT($E$25*9/$D129)-INT($E$25*(9-1)/$D129))*$C129/1000</f>
        <v>37.124</v>
      </c>
      <c r="N129" s="42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44" t="n">
        <v>1226.17</v>
      </c>
      <c r="D130" s="43" t="n">
        <v>11000</v>
      </c>
      <c r="E130" s="42">
        <f>(INT($E$25*1/$D130)-INT($E$25*(1-1)/$D130))*$C130/1000</f>
        <v>0.0</v>
      </c>
      <c r="F130" s="42">
        <f>(INT($E$25*2/$D130)-INT($E$25*(2-1)/$D130))*$C130/1000</f>
        <v>1.22617</v>
      </c>
      <c r="G130" s="42">
        <f>(INT($E$25*3/$D130)-INT($E$25*(3-1)/$D130))*$C130/1000</f>
        <v>0.0</v>
      </c>
      <c r="H130" s="42">
        <f>(INT($E$25*4/$D130)-INT($E$25*(4-1)/$D130))*$C130/1000</f>
        <v>1.22617</v>
      </c>
      <c r="I130" s="42">
        <f>(INT($E$25*5/$D130)-INT($E$25*(5-1)/$D130))*$C130/1000</f>
        <v>1.22617</v>
      </c>
      <c r="J130" s="42">
        <f>(INT($E$25*6/$D130)-INT($E$25*(6-1)/$D130))*$C130/1000</f>
        <v>0.0</v>
      </c>
      <c r="K130" s="42">
        <f>(INT($E$25*7/$D130)-INT($E$25*(7-1)/$D130))*$C130/1000</f>
        <v>1.22617</v>
      </c>
      <c r="L130" s="42">
        <f>(INT($E$25*8/$D130)-INT($E$25*(8-1)/$D130))*$C130/1000</f>
        <v>1.22617</v>
      </c>
      <c r="M130" s="42">
        <f>(INT($E$25*9/$D130)-INT($E$25*(9-1)/$D130))*$C130/1000</f>
        <v>0.0</v>
      </c>
      <c r="N130" s="42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44" t="n">
        <v>18096.84</v>
      </c>
      <c r="D131" s="43" t="n">
        <v>12000</v>
      </c>
      <c r="E131" s="42">
        <f>(INT($E$25*1/$D131)-INT($E$25*(1-1)/$D131))*$C131/1000</f>
        <v>0.0</v>
      </c>
      <c r="F131" s="42">
        <f>(INT($E$25*2/$D131)-INT($E$25*(2-1)/$D131))*$C131/1000</f>
        <v>18.09684</v>
      </c>
      <c r="G131" s="42">
        <f>(INT($E$25*3/$D131)-INT($E$25*(3-1)/$D131))*$C131/1000</f>
        <v>0.0</v>
      </c>
      <c r="H131" s="42">
        <f>(INT($E$25*4/$D131)-INT($E$25*(4-1)/$D131))*$C131/1000</f>
        <v>18.09684</v>
      </c>
      <c r="I131" s="42">
        <f>(INT($E$25*5/$D131)-INT($E$25*(5-1)/$D131))*$C131/1000</f>
        <v>0.0</v>
      </c>
      <c r="J131" s="42">
        <f>(INT($E$25*6/$D131)-INT($E$25*(6-1)/$D131))*$C131/1000</f>
        <v>18.09684</v>
      </c>
      <c r="K131" s="42">
        <f>(INT($E$25*7/$D131)-INT($E$25*(7-1)/$D131))*$C131/1000</f>
        <v>18.09684</v>
      </c>
      <c r="L131" s="42">
        <f>(INT($E$25*8/$D131)-INT($E$25*(8-1)/$D131))*$C131/1000</f>
        <v>0.0</v>
      </c>
      <c r="M131" s="42">
        <f>(INT($E$25*9/$D131)-INT($E$25*(9-1)/$D131))*$C131/1000</f>
        <v>18.09684</v>
      </c>
      <c r="N131" s="42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44" t="n">
        <v>6929.74</v>
      </c>
      <c r="D132" s="43" t="n">
        <v>8000</v>
      </c>
      <c r="E132" s="42">
        <f>(INT($E$25*1/$D132)-INT($E$25*(1-1)/$D132))*$C132/1000</f>
        <v>0.0</v>
      </c>
      <c r="F132" s="42">
        <f>(INT($E$25*2/$D132)-INT($E$25*(2-1)/$D132))*$C132/1000</f>
        <v>6.92974</v>
      </c>
      <c r="G132" s="42">
        <f>(INT($E$25*3/$D132)-INT($E$25*(3-1)/$D132))*$C132/1000</f>
        <v>6.92974</v>
      </c>
      <c r="H132" s="42">
        <f>(INT($E$25*4/$D132)-INT($E$25*(4-1)/$D132))*$C132/1000</f>
        <v>6.92974</v>
      </c>
      <c r="I132" s="42">
        <f>(INT($E$25*5/$D132)-INT($E$25*(5-1)/$D132))*$C132/1000</f>
        <v>6.92974</v>
      </c>
      <c r="J132" s="42">
        <f>(INT($E$25*6/$D132)-INT($E$25*(6-1)/$D132))*$C132/1000</f>
        <v>6.92974</v>
      </c>
      <c r="K132" s="42">
        <f>(INT($E$25*7/$D132)-INT($E$25*(7-1)/$D132))*$C132/1000</f>
        <v>6.92974</v>
      </c>
      <c r="L132" s="42">
        <f>(INT($E$25*8/$D132)-INT($E$25*(8-1)/$D132))*$C132/1000</f>
        <v>6.92974</v>
      </c>
      <c r="M132" s="42">
        <f>(INT($E$25*9/$D132)-INT($E$25*(9-1)/$D132))*$C132/1000</f>
        <v>0.0</v>
      </c>
      <c r="N132" s="42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44" t="n">
        <v>19766.43</v>
      </c>
      <c r="D133" s="43" t="n">
        <v>25000</v>
      </c>
      <c r="E133" s="42">
        <f>(INT($E$25*1/$D133)-INT($E$25*(1-1)/$D133))*$C133/1000</f>
        <v>0.0</v>
      </c>
      <c r="F133" s="42">
        <f>(INT($E$25*2/$D133)-INT($E$25*(2-1)/$D133))*$C133/1000</f>
        <v>0.0</v>
      </c>
      <c r="G133" s="42">
        <f>(INT($E$25*3/$D133)-INT($E$25*(3-1)/$D133))*$C133/1000</f>
        <v>0.0</v>
      </c>
      <c r="H133" s="42">
        <f>(INT($E$25*4/$D133)-INT($E$25*(4-1)/$D133))*$C133/1000</f>
        <v>19.76643</v>
      </c>
      <c r="I133" s="42">
        <f>(INT($E$25*5/$D133)-INT($E$25*(5-1)/$D133))*$C133/1000</f>
        <v>0.0</v>
      </c>
      <c r="J133" s="42">
        <f>(INT($E$25*6/$D133)-INT($E$25*(6-1)/$D133))*$C133/1000</f>
        <v>0.0</v>
      </c>
      <c r="K133" s="42">
        <f>(INT($E$25*7/$D133)-INT($E$25*(7-1)/$D133))*$C133/1000</f>
        <v>0.0</v>
      </c>
      <c r="L133" s="42">
        <f>(INT($E$25*8/$D133)-INT($E$25*(8-1)/$D133))*$C133/1000</f>
        <v>19.76643</v>
      </c>
      <c r="M133" s="42">
        <f>(INT($E$25*9/$D133)-INT($E$25*(9-1)/$D133))*$C133/1000</f>
        <v>0.0</v>
      </c>
      <c r="N133" s="42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44" t="n">
        <v>556.4400000000001</v>
      </c>
      <c r="D134" s="43" t="n">
        <v>22000</v>
      </c>
      <c r="E134" s="42">
        <f>(INT($E$25*1/$D134)-INT($E$25*(1-1)/$D134))*$C134/1000</f>
        <v>0.0</v>
      </c>
      <c r="F134" s="42">
        <f>(INT($E$25*2/$D134)-INT($E$25*(2-1)/$D134))*$C134/1000</f>
        <v>0.0</v>
      </c>
      <c r="G134" s="42">
        <f>(INT($E$25*3/$D134)-INT($E$25*(3-1)/$D134))*$C134/1000</f>
        <v>0.0</v>
      </c>
      <c r="H134" s="42">
        <f>(INT($E$25*4/$D134)-INT($E$25*(4-1)/$D134))*$C134/1000</f>
        <v>0.55644</v>
      </c>
      <c r="I134" s="42">
        <f>(INT($E$25*5/$D134)-INT($E$25*(5-1)/$D134))*$C134/1000</f>
        <v>0.0</v>
      </c>
      <c r="J134" s="42">
        <f>(INT($E$25*6/$D134)-INT($E$25*(6-1)/$D134))*$C134/1000</f>
        <v>0.0</v>
      </c>
      <c r="K134" s="42">
        <f>(INT($E$25*7/$D134)-INT($E$25*(7-1)/$D134))*$C134/1000</f>
        <v>0.55644</v>
      </c>
      <c r="L134" s="42">
        <f>(INT($E$25*8/$D134)-INT($E$25*(8-1)/$D134))*$C134/1000</f>
        <v>0.0</v>
      </c>
      <c r="M134" s="42">
        <f>(INT($E$25*9/$D134)-INT($E$25*(9-1)/$D134))*$C134/1000</f>
        <v>0.0</v>
      </c>
      <c r="N134" s="42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44" t="n">
        <v>12656.36</v>
      </c>
      <c r="D135" s="43" t="n">
        <v>15000</v>
      </c>
      <c r="E135" s="42">
        <f>(INT($E$25*1/$D135)-INT($E$25*(1-1)/$D135))*$C135/1000</f>
        <v>0.0</v>
      </c>
      <c r="F135" s="42">
        <f>(INT($E$25*2/$D135)-INT($E$25*(2-1)/$D135))*$C135/1000</f>
        <v>0.0</v>
      </c>
      <c r="G135" s="42">
        <f>(INT($E$25*3/$D135)-INT($E$25*(3-1)/$D135))*$C135/1000</f>
        <v>12.656360000000001</v>
      </c>
      <c r="H135" s="42">
        <f>(INT($E$25*4/$D135)-INT($E$25*(4-1)/$D135))*$C135/1000</f>
        <v>0.0</v>
      </c>
      <c r="I135" s="42">
        <f>(INT($E$25*5/$D135)-INT($E$25*(5-1)/$D135))*$C135/1000</f>
        <v>12.656360000000001</v>
      </c>
      <c r="J135" s="42">
        <f>(INT($E$25*6/$D135)-INT($E$25*(6-1)/$D135))*$C135/1000</f>
        <v>0.0</v>
      </c>
      <c r="K135" s="42">
        <f>(INT($E$25*7/$D135)-INT($E$25*(7-1)/$D135))*$C135/1000</f>
        <v>12.656360000000001</v>
      </c>
      <c r="L135" s="42">
        <f>(INT($E$25*8/$D135)-INT($E$25*(8-1)/$D135))*$C135/1000</f>
        <v>0.0</v>
      </c>
      <c r="M135" s="42">
        <f>(INT($E$25*9/$D135)-INT($E$25*(9-1)/$D135))*$C135/1000</f>
        <v>12.656360000000001</v>
      </c>
      <c r="N135" s="42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44" t="n">
        <v>14284.3</v>
      </c>
      <c r="D136" s="43" t="n">
        <v>12500</v>
      </c>
      <c r="E136" s="42">
        <f>(INT($E$25*1/$D136)-INT($E$25*(1-1)/$D136))*$C136/1000</f>
        <v>0.0</v>
      </c>
      <c r="F136" s="42">
        <f>(INT($E$25*2/$D136)-INT($E$25*(2-1)/$D136))*$C136/1000</f>
        <v>14.2843</v>
      </c>
      <c r="G136" s="42">
        <f>(INT($E$25*3/$D136)-INT($E$25*(3-1)/$D136))*$C136/1000</f>
        <v>0.0</v>
      </c>
      <c r="H136" s="42">
        <f>(INT($E$25*4/$D136)-INT($E$25*(4-1)/$D136))*$C136/1000</f>
        <v>14.2843</v>
      </c>
      <c r="I136" s="42">
        <f>(INT($E$25*5/$D136)-INT($E$25*(5-1)/$D136))*$C136/1000</f>
        <v>0.0</v>
      </c>
      <c r="J136" s="42">
        <f>(INT($E$25*6/$D136)-INT($E$25*(6-1)/$D136))*$C136/1000</f>
        <v>14.2843</v>
      </c>
      <c r="K136" s="42">
        <f>(INT($E$25*7/$D136)-INT($E$25*(7-1)/$D136))*$C136/1000</f>
        <v>0.0</v>
      </c>
      <c r="L136" s="42">
        <f>(INT($E$25*8/$D136)-INT($E$25*(8-1)/$D136))*$C136/1000</f>
        <v>14.2843</v>
      </c>
      <c r="M136" s="42">
        <f>(INT($E$25*9/$D136)-INT($E$25*(9-1)/$D136))*$C136/1000</f>
        <v>14.2843</v>
      </c>
      <c r="N136" s="42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44" t="n">
        <v>1440.96</v>
      </c>
      <c r="D137" s="43" t="n">
        <v>18000</v>
      </c>
      <c r="E137" s="42">
        <f>(INT($E$25*1/$D137)-INT($E$25*(1-1)/$D137))*$C137/1000</f>
        <v>0.0</v>
      </c>
      <c r="F137" s="42">
        <f>(INT($E$25*2/$D137)-INT($E$25*(2-1)/$D137))*$C137/1000</f>
        <v>0.0</v>
      </c>
      <c r="G137" s="42">
        <f>(INT($E$25*3/$D137)-INT($E$25*(3-1)/$D137))*$C137/1000</f>
        <v>1.44096</v>
      </c>
      <c r="H137" s="42">
        <f>(INT($E$25*4/$D137)-INT($E$25*(4-1)/$D137))*$C137/1000</f>
        <v>0.0</v>
      </c>
      <c r="I137" s="42">
        <f>(INT($E$25*5/$D137)-INT($E$25*(5-1)/$D137))*$C137/1000</f>
        <v>0.0</v>
      </c>
      <c r="J137" s="42">
        <f>(INT($E$25*6/$D137)-INT($E$25*(6-1)/$D137))*$C137/1000</f>
        <v>1.44096</v>
      </c>
      <c r="K137" s="42">
        <f>(INT($E$25*7/$D137)-INT($E$25*(7-1)/$D137))*$C137/1000</f>
        <v>0.0</v>
      </c>
      <c r="L137" s="42">
        <f>(INT($E$25*8/$D137)-INT($E$25*(8-1)/$D137))*$C137/1000</f>
        <v>1.44096</v>
      </c>
      <c r="M137" s="42">
        <f>(INT($E$25*9/$D137)-INT($E$25*(9-1)/$D137))*$C137/1000</f>
        <v>0.0</v>
      </c>
      <c r="N137" s="42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44" t="n">
        <v>11889.72</v>
      </c>
      <c r="D138" s="43" t="n">
        <v>25000</v>
      </c>
      <c r="E138" s="42">
        <f>(INT($E$25*1/$D138)-INT($E$25*(1-1)/$D138))*$C138/1000</f>
        <v>0.0</v>
      </c>
      <c r="F138" s="42">
        <f>(INT($E$25*2/$D138)-INT($E$25*(2-1)/$D138))*$C138/1000</f>
        <v>0.0</v>
      </c>
      <c r="G138" s="42">
        <f>(INT($E$25*3/$D138)-INT($E$25*(3-1)/$D138))*$C138/1000</f>
        <v>0.0</v>
      </c>
      <c r="H138" s="42">
        <f>(INT($E$25*4/$D138)-INT($E$25*(4-1)/$D138))*$C138/1000</f>
        <v>11.889719999999999</v>
      </c>
      <c r="I138" s="42">
        <f>(INT($E$25*5/$D138)-INT($E$25*(5-1)/$D138))*$C138/1000</f>
        <v>0.0</v>
      </c>
      <c r="J138" s="42">
        <f>(INT($E$25*6/$D138)-INT($E$25*(6-1)/$D138))*$C138/1000</f>
        <v>0.0</v>
      </c>
      <c r="K138" s="42">
        <f>(INT($E$25*7/$D138)-INT($E$25*(7-1)/$D138))*$C138/1000</f>
        <v>0.0</v>
      </c>
      <c r="L138" s="42">
        <f>(INT($E$25*8/$D138)-INT($E$25*(8-1)/$D138))*$C138/1000</f>
        <v>11.889719999999999</v>
      </c>
      <c r="M138" s="42">
        <f>(INT($E$25*9/$D138)-INT($E$25*(9-1)/$D138))*$C138/1000</f>
        <v>0.0</v>
      </c>
      <c r="N138" s="42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44" t="n">
        <v>8918.02</v>
      </c>
      <c r="D139" s="43" t="n">
        <v>15100</v>
      </c>
      <c r="E139" s="42">
        <f>(INT($E$25*1/$D139)-INT($E$25*(1-1)/$D139))*$C139/1000</f>
        <v>0.0</v>
      </c>
      <c r="F139" s="42">
        <f>(INT($E$25*2/$D139)-INT($E$25*(2-1)/$D139))*$C139/1000</f>
        <v>0.0</v>
      </c>
      <c r="G139" s="42">
        <f>(INT($E$25*3/$D139)-INT($E$25*(3-1)/$D139))*$C139/1000</f>
        <v>8.91802</v>
      </c>
      <c r="H139" s="42">
        <f>(INT($E$25*4/$D139)-INT($E$25*(4-1)/$D139))*$C139/1000</f>
        <v>0.0</v>
      </c>
      <c r="I139" s="42">
        <f>(INT($E$25*5/$D139)-INT($E$25*(5-1)/$D139))*$C139/1000</f>
        <v>8.91802</v>
      </c>
      <c r="J139" s="42">
        <f>(INT($E$25*6/$D139)-INT($E$25*(6-1)/$D139))*$C139/1000</f>
        <v>0.0</v>
      </c>
      <c r="K139" s="42">
        <f>(INT($E$25*7/$D139)-INT($E$25*(7-1)/$D139))*$C139/1000</f>
        <v>8.91802</v>
      </c>
      <c r="L139" s="42">
        <f>(INT($E$25*8/$D139)-INT($E$25*(8-1)/$D139))*$C139/1000</f>
        <v>0.0</v>
      </c>
      <c r="M139" s="42">
        <f>(INT($E$25*9/$D139)-INT($E$25*(9-1)/$D139))*$C139/1000</f>
        <v>8.91802</v>
      </c>
      <c r="N139" s="42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44" t="n">
        <v>15102.84</v>
      </c>
      <c r="D140" s="43" t="n">
        <v>15100</v>
      </c>
      <c r="E140" s="42">
        <f>(INT($E$25*1/$D140)-INT($E$25*(1-1)/$D140))*$C140/1000</f>
        <v>0.0</v>
      </c>
      <c r="F140" s="42">
        <f>(INT($E$25*2/$D140)-INT($E$25*(2-1)/$D140))*$C140/1000</f>
        <v>0.0</v>
      </c>
      <c r="G140" s="42">
        <f>(INT($E$25*3/$D140)-INT($E$25*(3-1)/$D140))*$C140/1000</f>
        <v>15.10284</v>
      </c>
      <c r="H140" s="42">
        <f>(INT($E$25*4/$D140)-INT($E$25*(4-1)/$D140))*$C140/1000</f>
        <v>0.0</v>
      </c>
      <c r="I140" s="42">
        <f>(INT($E$25*5/$D140)-INT($E$25*(5-1)/$D140))*$C140/1000</f>
        <v>15.10284</v>
      </c>
      <c r="J140" s="42">
        <f>(INT($E$25*6/$D140)-INT($E$25*(6-1)/$D140))*$C140/1000</f>
        <v>0.0</v>
      </c>
      <c r="K140" s="42">
        <f>(INT($E$25*7/$D140)-INT($E$25*(7-1)/$D140))*$C140/1000</f>
        <v>15.10284</v>
      </c>
      <c r="L140" s="42">
        <f>(INT($E$25*8/$D140)-INT($E$25*(8-1)/$D140))*$C140/1000</f>
        <v>0.0</v>
      </c>
      <c r="M140" s="42">
        <f>(INT($E$25*9/$D140)-INT($E$25*(9-1)/$D140))*$C140/1000</f>
        <v>15.10284</v>
      </c>
      <c r="N140" s="42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44" t="n">
        <v>10422.27</v>
      </c>
      <c r="D141" s="43" t="n">
        <v>10100</v>
      </c>
      <c r="E141" s="42">
        <f>(INT($E$25*1/$D141)-INT($E$25*(1-1)/$D141))*$C141/1000</f>
        <v>0.0</v>
      </c>
      <c r="F141" s="42">
        <f>(INT($E$25*2/$D141)-INT($E$25*(2-1)/$D141))*$C141/1000</f>
        <v>10.422270000000001</v>
      </c>
      <c r="G141" s="42">
        <f>(INT($E$25*3/$D141)-INT($E$25*(3-1)/$D141))*$C141/1000</f>
        <v>10.422270000000001</v>
      </c>
      <c r="H141" s="42">
        <f>(INT($E$25*4/$D141)-INT($E$25*(4-1)/$D141))*$C141/1000</f>
        <v>0.0</v>
      </c>
      <c r="I141" s="42">
        <f>(INT($E$25*5/$D141)-INT($E$25*(5-1)/$D141))*$C141/1000</f>
        <v>10.422270000000001</v>
      </c>
      <c r="J141" s="42">
        <f>(INT($E$25*6/$D141)-INT($E$25*(6-1)/$D141))*$C141/1000</f>
        <v>10.422270000000001</v>
      </c>
      <c r="K141" s="42">
        <f>(INT($E$25*7/$D141)-INT($E$25*(7-1)/$D141))*$C141/1000</f>
        <v>0.0</v>
      </c>
      <c r="L141" s="42">
        <f>(INT($E$25*8/$D141)-INT($E$25*(8-1)/$D141))*$C141/1000</f>
        <v>10.422270000000001</v>
      </c>
      <c r="M141" s="42">
        <f>(INT($E$25*9/$D141)-INT($E$25*(9-1)/$D141))*$C141/1000</f>
        <v>10.422270000000001</v>
      </c>
      <c r="N141" s="42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44" t="n">
        <v>32219.39</v>
      </c>
      <c r="D142" s="43" t="n">
        <v>15000</v>
      </c>
      <c r="E142" s="42">
        <f>(INT($E$25*1/$D142)-INT($E$25*(1-1)/$D142))*$C142/1000</f>
        <v>0.0</v>
      </c>
      <c r="F142" s="42">
        <f>(INT($E$25*2/$D142)-INT($E$25*(2-1)/$D142))*$C142/1000</f>
        <v>0.0</v>
      </c>
      <c r="G142" s="42">
        <f>(INT($E$25*3/$D142)-INT($E$25*(3-1)/$D142))*$C142/1000</f>
        <v>32.21939</v>
      </c>
      <c r="H142" s="42">
        <f>(INT($E$25*4/$D142)-INT($E$25*(4-1)/$D142))*$C142/1000</f>
        <v>0.0</v>
      </c>
      <c r="I142" s="42">
        <f>(INT($E$25*5/$D142)-INT($E$25*(5-1)/$D142))*$C142/1000</f>
        <v>32.21939</v>
      </c>
      <c r="J142" s="42">
        <f>(INT($E$25*6/$D142)-INT($E$25*(6-1)/$D142))*$C142/1000</f>
        <v>0.0</v>
      </c>
      <c r="K142" s="42">
        <f>(INT($E$25*7/$D142)-INT($E$25*(7-1)/$D142))*$C142/1000</f>
        <v>32.21939</v>
      </c>
      <c r="L142" s="42">
        <f>(INT($E$25*8/$D142)-INT($E$25*(8-1)/$D142))*$C142/1000</f>
        <v>0.0</v>
      </c>
      <c r="M142" s="42">
        <f>(INT($E$25*9/$D142)-INT($E$25*(9-1)/$D142))*$C142/1000</f>
        <v>32.21939</v>
      </c>
      <c r="N142" s="42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44" t="n">
        <v>1720.05</v>
      </c>
      <c r="D143" s="43" t="n">
        <v>15000</v>
      </c>
      <c r="E143" s="42">
        <f>(INT($E$25*1/$D143)-INT($E$25*(1-1)/$D143))*$C143/1000</f>
        <v>0.0</v>
      </c>
      <c r="F143" s="42">
        <f>(INT($E$25*2/$D143)-INT($E$25*(2-1)/$D143))*$C143/1000</f>
        <v>0.0</v>
      </c>
      <c r="G143" s="42">
        <f>(INT($E$25*3/$D143)-INT($E$25*(3-1)/$D143))*$C143/1000</f>
        <v>1.7200499999999999</v>
      </c>
      <c r="H143" s="42">
        <f>(INT($E$25*4/$D143)-INT($E$25*(4-1)/$D143))*$C143/1000</f>
        <v>0.0</v>
      </c>
      <c r="I143" s="42">
        <f>(INT($E$25*5/$D143)-INT($E$25*(5-1)/$D143))*$C143/1000</f>
        <v>1.7200499999999999</v>
      </c>
      <c r="J143" s="42">
        <f>(INT($E$25*6/$D143)-INT($E$25*(6-1)/$D143))*$C143/1000</f>
        <v>0.0</v>
      </c>
      <c r="K143" s="42">
        <f>(INT($E$25*7/$D143)-INT($E$25*(7-1)/$D143))*$C143/1000</f>
        <v>1.7200499999999999</v>
      </c>
      <c r="L143" s="42">
        <f>(INT($E$25*8/$D143)-INT($E$25*(8-1)/$D143))*$C143/1000</f>
        <v>0.0</v>
      </c>
      <c r="M143" s="42">
        <f>(INT($E$25*9/$D143)-INT($E$25*(9-1)/$D143))*$C143/1000</f>
        <v>1.7200499999999999</v>
      </c>
      <c r="N143" s="42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44" t="n">
        <v>2773.01</v>
      </c>
      <c r="D144" s="43" t="n">
        <v>8000</v>
      </c>
      <c r="E144" s="42">
        <f>(INT($E$25*1/$D144)-INT($E$25*(1-1)/$D144))*$C144/1000</f>
        <v>0.0</v>
      </c>
      <c r="F144" s="42">
        <f>(INT($E$25*2/$D144)-INT($E$25*(2-1)/$D144))*$C144/1000</f>
        <v>2.77301</v>
      </c>
      <c r="G144" s="42">
        <f>(INT($E$25*3/$D144)-INT($E$25*(3-1)/$D144))*$C144/1000</f>
        <v>2.77301</v>
      </c>
      <c r="H144" s="42">
        <f>(INT($E$25*4/$D144)-INT($E$25*(4-1)/$D144))*$C144/1000</f>
        <v>2.77301</v>
      </c>
      <c r="I144" s="42">
        <f>(INT($E$25*5/$D144)-INT($E$25*(5-1)/$D144))*$C144/1000</f>
        <v>2.77301</v>
      </c>
      <c r="J144" s="42">
        <f>(INT($E$25*6/$D144)-INT($E$25*(6-1)/$D144))*$C144/1000</f>
        <v>2.77301</v>
      </c>
      <c r="K144" s="42">
        <f>(INT($E$25*7/$D144)-INT($E$25*(7-1)/$D144))*$C144/1000</f>
        <v>2.77301</v>
      </c>
      <c r="L144" s="42">
        <f>(INT($E$25*8/$D144)-INT($E$25*(8-1)/$D144))*$C144/1000</f>
        <v>2.77301</v>
      </c>
      <c r="M144" s="42">
        <f>(INT($E$25*9/$D144)-INT($E$25*(9-1)/$D144))*$C144/1000</f>
        <v>0.0</v>
      </c>
      <c r="N144" s="42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44" t="n">
        <v>41350.19</v>
      </c>
      <c r="D145" s="43" t="n">
        <v>14900</v>
      </c>
      <c r="E145" s="42">
        <f>(INT($E$25*1/$D145)-INT($E$25*(1-1)/$D145))*$C145/1000</f>
        <v>0.0</v>
      </c>
      <c r="F145" s="42">
        <f>(INT($E$25*2/$D145)-INT($E$25*(2-1)/$D145))*$C145/1000</f>
        <v>0.0</v>
      </c>
      <c r="G145" s="42">
        <f>(INT($E$25*3/$D145)-INT($E$25*(3-1)/$D145))*$C145/1000</f>
        <v>41.350190000000005</v>
      </c>
      <c r="H145" s="42">
        <f>(INT($E$25*4/$D145)-INT($E$25*(4-1)/$D145))*$C145/1000</f>
        <v>0.0</v>
      </c>
      <c r="I145" s="42">
        <f>(INT($E$25*5/$D145)-INT($E$25*(5-1)/$D145))*$C145/1000</f>
        <v>41.350190000000005</v>
      </c>
      <c r="J145" s="42">
        <f>(INT($E$25*6/$D145)-INT($E$25*(6-1)/$D145))*$C145/1000</f>
        <v>0.0</v>
      </c>
      <c r="K145" s="42">
        <f>(INT($E$25*7/$D145)-INT($E$25*(7-1)/$D145))*$C145/1000</f>
        <v>41.350190000000005</v>
      </c>
      <c r="L145" s="42">
        <f>(INT($E$25*8/$D145)-INT($E$25*(8-1)/$D145))*$C145/1000</f>
        <v>0.0</v>
      </c>
      <c r="M145" s="42">
        <f>(INT($E$25*9/$D145)-INT($E$25*(9-1)/$D145))*$C145/1000</f>
        <v>41.350190000000005</v>
      </c>
      <c r="N145" s="42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44" t="n">
        <v>29233.73</v>
      </c>
      <c r="D146" s="43" t="n">
        <v>14900</v>
      </c>
      <c r="E146" s="42">
        <f>(INT($E$25*1/$D146)-INT($E$25*(1-1)/$D146))*$C146/1000</f>
        <v>0.0</v>
      </c>
      <c r="F146" s="42">
        <f>(INT($E$25*2/$D146)-INT($E$25*(2-1)/$D146))*$C146/1000</f>
        <v>0.0</v>
      </c>
      <c r="G146" s="42">
        <f>(INT($E$25*3/$D146)-INT($E$25*(3-1)/$D146))*$C146/1000</f>
        <v>29.23373</v>
      </c>
      <c r="H146" s="42">
        <f>(INT($E$25*4/$D146)-INT($E$25*(4-1)/$D146))*$C146/1000</f>
        <v>0.0</v>
      </c>
      <c r="I146" s="42">
        <f>(INT($E$25*5/$D146)-INT($E$25*(5-1)/$D146))*$C146/1000</f>
        <v>29.23373</v>
      </c>
      <c r="J146" s="42">
        <f>(INT($E$25*6/$D146)-INT($E$25*(6-1)/$D146))*$C146/1000</f>
        <v>0.0</v>
      </c>
      <c r="K146" s="42">
        <f>(INT($E$25*7/$D146)-INT($E$25*(7-1)/$D146))*$C146/1000</f>
        <v>29.23373</v>
      </c>
      <c r="L146" s="42">
        <f>(INT($E$25*8/$D146)-INT($E$25*(8-1)/$D146))*$C146/1000</f>
        <v>0.0</v>
      </c>
      <c r="M146" s="42">
        <f>(INT($E$25*9/$D146)-INT($E$25*(9-1)/$D146))*$C146/1000</f>
        <v>29.23373</v>
      </c>
      <c r="N146" s="42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44" t="n">
        <v>17877.9</v>
      </c>
      <c r="D147" s="43" t="n">
        <v>10400</v>
      </c>
      <c r="E147" s="42">
        <f>(INT($E$25*1/$D147)-INT($E$25*(1-1)/$D147))*$C147/1000</f>
        <v>0.0</v>
      </c>
      <c r="F147" s="42">
        <f>(INT($E$25*2/$D147)-INT($E$25*(2-1)/$D147))*$C147/1000</f>
        <v>17.8779</v>
      </c>
      <c r="G147" s="42">
        <f>(INT($E$25*3/$D147)-INT($E$25*(3-1)/$D147))*$C147/1000</f>
        <v>17.8779</v>
      </c>
      <c r="H147" s="42">
        <f>(INT($E$25*4/$D147)-INT($E$25*(4-1)/$D147))*$C147/1000</f>
        <v>0.0</v>
      </c>
      <c r="I147" s="42">
        <f>(INT($E$25*5/$D147)-INT($E$25*(5-1)/$D147))*$C147/1000</f>
        <v>17.8779</v>
      </c>
      <c r="J147" s="42">
        <f>(INT($E$25*6/$D147)-INT($E$25*(6-1)/$D147))*$C147/1000</f>
        <v>17.8779</v>
      </c>
      <c r="K147" s="42">
        <f>(INT($E$25*7/$D147)-INT($E$25*(7-1)/$D147))*$C147/1000</f>
        <v>0.0</v>
      </c>
      <c r="L147" s="42">
        <f>(INT($E$25*8/$D147)-INT($E$25*(8-1)/$D147))*$C147/1000</f>
        <v>17.8779</v>
      </c>
      <c r="M147" s="42">
        <f>(INT($E$25*9/$D147)-INT($E$25*(9-1)/$D147))*$C147/1000</f>
        <v>17.8779</v>
      </c>
      <c r="N147" s="42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44" t="n">
        <v>4406.44</v>
      </c>
      <c r="D148" s="43" t="n">
        <v>12000</v>
      </c>
      <c r="E148" s="42">
        <f>(INT($E$25*1/$D148)-INT($E$25*(1-1)/$D148))*$C148/1000</f>
        <v>0.0</v>
      </c>
      <c r="F148" s="42">
        <f>(INT($E$25*2/$D148)-INT($E$25*(2-1)/$D148))*$C148/1000</f>
        <v>4.40644</v>
      </c>
      <c r="G148" s="42">
        <f>(INT($E$25*3/$D148)-INT($E$25*(3-1)/$D148))*$C148/1000</f>
        <v>0.0</v>
      </c>
      <c r="H148" s="42">
        <f>(INT($E$25*4/$D148)-INT($E$25*(4-1)/$D148))*$C148/1000</f>
        <v>4.40644</v>
      </c>
      <c r="I148" s="42">
        <f>(INT($E$25*5/$D148)-INT($E$25*(5-1)/$D148))*$C148/1000</f>
        <v>0.0</v>
      </c>
      <c r="J148" s="42">
        <f>(INT($E$25*6/$D148)-INT($E$25*(6-1)/$D148))*$C148/1000</f>
        <v>4.40644</v>
      </c>
      <c r="K148" s="42">
        <f>(INT($E$25*7/$D148)-INT($E$25*(7-1)/$D148))*$C148/1000</f>
        <v>4.40644</v>
      </c>
      <c r="L148" s="42">
        <f>(INT($E$25*8/$D148)-INT($E$25*(8-1)/$D148))*$C148/1000</f>
        <v>0.0</v>
      </c>
      <c r="M148" s="42">
        <f>(INT($E$25*9/$D148)-INT($E$25*(9-1)/$D148))*$C148/1000</f>
        <v>4.40644</v>
      </c>
      <c r="N148" s="42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44" t="n">
        <v>359.34</v>
      </c>
      <c r="D149" s="43" t="n">
        <v>8000</v>
      </c>
      <c r="E149" s="42">
        <f>(INT($E$25*1/$D149)-INT($E$25*(1-1)/$D149))*$C149/1000</f>
        <v>0.0</v>
      </c>
      <c r="F149" s="42">
        <f>(INT($E$25*2/$D149)-INT($E$25*(2-1)/$D149))*$C149/1000</f>
        <v>0.35934</v>
      </c>
      <c r="G149" s="42">
        <f>(INT($E$25*3/$D149)-INT($E$25*(3-1)/$D149))*$C149/1000</f>
        <v>0.35934</v>
      </c>
      <c r="H149" s="42">
        <f>(INT($E$25*4/$D149)-INT($E$25*(4-1)/$D149))*$C149/1000</f>
        <v>0.35934</v>
      </c>
      <c r="I149" s="42">
        <f>(INT($E$25*5/$D149)-INT($E$25*(5-1)/$D149))*$C149/1000</f>
        <v>0.35934</v>
      </c>
      <c r="J149" s="42">
        <f>(INT($E$25*6/$D149)-INT($E$25*(6-1)/$D149))*$C149/1000</f>
        <v>0.35934</v>
      </c>
      <c r="K149" s="42">
        <f>(INT($E$25*7/$D149)-INT($E$25*(7-1)/$D149))*$C149/1000</f>
        <v>0.35934</v>
      </c>
      <c r="L149" s="42">
        <f>(INT($E$25*8/$D149)-INT($E$25*(8-1)/$D149))*$C149/1000</f>
        <v>0.35934</v>
      </c>
      <c r="M149" s="42">
        <f>(INT($E$25*9/$D149)-INT($E$25*(9-1)/$D149))*$C149/1000</f>
        <v>0.0</v>
      </c>
      <c r="N149" s="42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44" t="n">
        <v>1855.63</v>
      </c>
      <c r="D150" s="43" t="n">
        <v>8000</v>
      </c>
      <c r="E150" s="42">
        <f>(INT($E$25*1/$D150)-INT($E$25*(1-1)/$D150))*$C150/1000</f>
        <v>0.0</v>
      </c>
      <c r="F150" s="42">
        <f>(INT($E$25*2/$D150)-INT($E$25*(2-1)/$D150))*$C150/1000</f>
        <v>1.8556300000000001</v>
      </c>
      <c r="G150" s="42">
        <f>(INT($E$25*3/$D150)-INT($E$25*(3-1)/$D150))*$C150/1000</f>
        <v>1.8556300000000001</v>
      </c>
      <c r="H150" s="42">
        <f>(INT($E$25*4/$D150)-INT($E$25*(4-1)/$D150))*$C150/1000</f>
        <v>1.8556300000000001</v>
      </c>
      <c r="I150" s="42">
        <f>(INT($E$25*5/$D150)-INT($E$25*(5-1)/$D150))*$C150/1000</f>
        <v>1.8556300000000001</v>
      </c>
      <c r="J150" s="42">
        <f>(INT($E$25*6/$D150)-INT($E$25*(6-1)/$D150))*$C150/1000</f>
        <v>1.8556300000000001</v>
      </c>
      <c r="K150" s="42">
        <f>(INT($E$25*7/$D150)-INT($E$25*(7-1)/$D150))*$C150/1000</f>
        <v>1.8556300000000001</v>
      </c>
      <c r="L150" s="42">
        <f>(INT($E$25*8/$D150)-INT($E$25*(8-1)/$D150))*$C150/1000</f>
        <v>1.8556300000000001</v>
      </c>
      <c r="M150" s="42">
        <f>(INT($E$25*9/$D150)-INT($E$25*(9-1)/$D150))*$C150/1000</f>
        <v>0.0</v>
      </c>
      <c r="N150" s="42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44" t="n">
        <v>1750.07</v>
      </c>
      <c r="D151" s="43" t="n">
        <v>10400</v>
      </c>
      <c r="E151" s="42">
        <f>(INT($E$25*1/$D151)-INT($E$25*(1-1)/$D151))*$C151/1000</f>
        <v>0.0</v>
      </c>
      <c r="F151" s="42">
        <f>(INT($E$25*2/$D151)-INT($E$25*(2-1)/$D151))*$C151/1000</f>
        <v>1.75007</v>
      </c>
      <c r="G151" s="42">
        <f>(INT($E$25*3/$D151)-INT($E$25*(3-1)/$D151))*$C151/1000</f>
        <v>1.75007</v>
      </c>
      <c r="H151" s="42">
        <f>(INT($E$25*4/$D151)-INT($E$25*(4-1)/$D151))*$C151/1000</f>
        <v>0.0</v>
      </c>
      <c r="I151" s="42">
        <f>(INT($E$25*5/$D151)-INT($E$25*(5-1)/$D151))*$C151/1000</f>
        <v>1.75007</v>
      </c>
      <c r="J151" s="42">
        <f>(INT($E$25*6/$D151)-INT($E$25*(6-1)/$D151))*$C151/1000</f>
        <v>1.75007</v>
      </c>
      <c r="K151" s="42">
        <f>(INT($E$25*7/$D151)-INT($E$25*(7-1)/$D151))*$C151/1000</f>
        <v>0.0</v>
      </c>
      <c r="L151" s="42">
        <f>(INT($E$25*8/$D151)-INT($E$25*(8-1)/$D151))*$C151/1000</f>
        <v>1.75007</v>
      </c>
      <c r="M151" s="42">
        <f>(INT($E$25*9/$D151)-INT($E$25*(9-1)/$D151))*$C151/1000</f>
        <v>1.75007</v>
      </c>
      <c r="N151" s="42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44" t="n">
        <v>1208.21</v>
      </c>
      <c r="D152" s="43" t="n">
        <v>8000</v>
      </c>
      <c r="E152" s="42">
        <f>(INT($E$25*1/$D152)-INT($E$25*(1-1)/$D152))*$C152/1000</f>
        <v>0.0</v>
      </c>
      <c r="F152" s="42">
        <f>(INT($E$25*2/$D152)-INT($E$25*(2-1)/$D152))*$C152/1000</f>
        <v>1.20821</v>
      </c>
      <c r="G152" s="42">
        <f>(INT($E$25*3/$D152)-INT($E$25*(3-1)/$D152))*$C152/1000</f>
        <v>1.20821</v>
      </c>
      <c r="H152" s="42">
        <f>(INT($E$25*4/$D152)-INT($E$25*(4-1)/$D152))*$C152/1000</f>
        <v>1.20821</v>
      </c>
      <c r="I152" s="42">
        <f>(INT($E$25*5/$D152)-INT($E$25*(5-1)/$D152))*$C152/1000</f>
        <v>1.20821</v>
      </c>
      <c r="J152" s="42">
        <f>(INT($E$25*6/$D152)-INT($E$25*(6-1)/$D152))*$C152/1000</f>
        <v>1.20821</v>
      </c>
      <c r="K152" s="42">
        <f>(INT($E$25*7/$D152)-INT($E$25*(7-1)/$D152))*$C152/1000</f>
        <v>1.20821</v>
      </c>
      <c r="L152" s="42">
        <f>(INT($E$25*8/$D152)-INT($E$25*(8-1)/$D152))*$C152/1000</f>
        <v>1.20821</v>
      </c>
      <c r="M152" s="42">
        <f>(INT($E$25*9/$D152)-INT($E$25*(9-1)/$D152))*$C152/1000</f>
        <v>0.0</v>
      </c>
      <c r="N152" s="42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44" t="n">
        <v>10570.4</v>
      </c>
      <c r="D153" s="43" t="n">
        <v>18000</v>
      </c>
      <c r="E153" s="42">
        <f>(INT($E$25*1/$D153)-INT($E$25*(1-1)/$D153))*$C153/1000</f>
        <v>0.0</v>
      </c>
      <c r="F153" s="42">
        <f>(INT($E$25*2/$D153)-INT($E$25*(2-1)/$D153))*$C153/1000</f>
        <v>0.0</v>
      </c>
      <c r="G153" s="42">
        <f>(INT($E$25*3/$D153)-INT($E$25*(3-1)/$D153))*$C153/1000</f>
        <v>10.5704</v>
      </c>
      <c r="H153" s="42">
        <f>(INT($E$25*4/$D153)-INT($E$25*(4-1)/$D153))*$C153/1000</f>
        <v>0.0</v>
      </c>
      <c r="I153" s="42">
        <f>(INT($E$25*5/$D153)-INT($E$25*(5-1)/$D153))*$C153/1000</f>
        <v>0.0</v>
      </c>
      <c r="J153" s="42">
        <f>(INT($E$25*6/$D153)-INT($E$25*(6-1)/$D153))*$C153/1000</f>
        <v>10.5704</v>
      </c>
      <c r="K153" s="42">
        <f>(INT($E$25*7/$D153)-INT($E$25*(7-1)/$D153))*$C153/1000</f>
        <v>0.0</v>
      </c>
      <c r="L153" s="42">
        <f>(INT($E$25*8/$D153)-INT($E$25*(8-1)/$D153))*$C153/1000</f>
        <v>10.5704</v>
      </c>
      <c r="M153" s="42">
        <f>(INT($E$25*9/$D153)-INT($E$25*(9-1)/$D153))*$C153/1000</f>
        <v>0.0</v>
      </c>
      <c r="N153" s="42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44" t="n">
        <v>149339.64</v>
      </c>
      <c r="D154" s="43" t="n">
        <v>30000</v>
      </c>
      <c r="E154" s="42">
        <f>(INT($E$25*1/$D154)-INT($E$25*(1-1)/$D154))*$C154/1000</f>
        <v>0.0</v>
      </c>
      <c r="F154" s="42">
        <f>(INT($E$25*2/$D154)-INT($E$25*(2-1)/$D154))*$C154/1000</f>
        <v>0.0</v>
      </c>
      <c r="G154" s="42">
        <f>(INT($E$25*3/$D154)-INT($E$25*(3-1)/$D154))*$C154/1000</f>
        <v>0.0</v>
      </c>
      <c r="H154" s="42">
        <f>(INT($E$25*4/$D154)-INT($E$25*(4-1)/$D154))*$C154/1000</f>
        <v>0.0</v>
      </c>
      <c r="I154" s="42">
        <f>(INT($E$25*5/$D154)-INT($E$25*(5-1)/$D154))*$C154/1000</f>
        <v>149.33964</v>
      </c>
      <c r="J154" s="42">
        <f>(INT($E$25*6/$D154)-INT($E$25*(6-1)/$D154))*$C154/1000</f>
        <v>0.0</v>
      </c>
      <c r="K154" s="42">
        <f>(INT($E$25*7/$D154)-INT($E$25*(7-1)/$D154))*$C154/1000</f>
        <v>0.0</v>
      </c>
      <c r="L154" s="42">
        <f>(INT($E$25*8/$D154)-INT($E$25*(8-1)/$D154))*$C154/1000</f>
        <v>0.0</v>
      </c>
      <c r="M154" s="42">
        <f>(INT($E$25*9/$D154)-INT($E$25*(9-1)/$D154))*$C154/1000</f>
        <v>149.33964</v>
      </c>
      <c r="N154" s="42">
        <f>(INT($E$25*10/$D154)-INT($E$25*(10-1)/$D154))*$C154/1000</f>
        <v>0.0</v>
      </c>
    </row>
    <row r="155">
      <c r="B155" s="22" t="inlineStr">
        <is>
          <t>COUPLING (муфта)</t>
        </is>
      </c>
      <c r="C155" s="44" t="n">
        <v>10830.34</v>
      </c>
      <c r="D155" s="43" t="n">
        <v>20000</v>
      </c>
      <c r="E155" s="42">
        <f>(INT($E$25*1/$D155)-INT($E$25*(1-1)/$D155))*$C155/1000</f>
        <v>0.0</v>
      </c>
      <c r="F155" s="42">
        <f>(INT($E$25*2/$D155)-INT($E$25*(2-1)/$D155))*$C155/1000</f>
        <v>0.0</v>
      </c>
      <c r="G155" s="42">
        <f>(INT($E$25*3/$D155)-INT($E$25*(3-1)/$D155))*$C155/1000</f>
        <v>10.83034</v>
      </c>
      <c r="H155" s="42">
        <f>(INT($E$25*4/$D155)-INT($E$25*(4-1)/$D155))*$C155/1000</f>
        <v>0.0</v>
      </c>
      <c r="I155" s="42">
        <f>(INT($E$25*5/$D155)-INT($E$25*(5-1)/$D155))*$C155/1000</f>
        <v>0.0</v>
      </c>
      <c r="J155" s="42">
        <f>(INT($E$25*6/$D155)-INT($E$25*(6-1)/$D155))*$C155/1000</f>
        <v>10.83034</v>
      </c>
      <c r="K155" s="42">
        <f>(INT($E$25*7/$D155)-INT($E$25*(7-1)/$D155))*$C155/1000</f>
        <v>0.0</v>
      </c>
      <c r="L155" s="42">
        <f>(INT($E$25*8/$D155)-INT($E$25*(8-1)/$D155))*$C155/1000</f>
        <v>0.0</v>
      </c>
      <c r="M155" s="42">
        <f>(INT($E$25*9/$D155)-INT($E$25*(9-1)/$D155))*$C155/1000</f>
        <v>10.83034</v>
      </c>
      <c r="N155" s="42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44" t="n">
        <v>1593.95</v>
      </c>
      <c r="D156" s="43" t="n">
        <v>10000</v>
      </c>
      <c r="E156" s="42">
        <f>(INT($E$25*1/$D156)-INT($E$25*(1-1)/$D156))*$C156/1000</f>
        <v>0.0</v>
      </c>
      <c r="F156" s="42">
        <f>(INT($E$25*2/$D156)-INT($E$25*(2-1)/$D156))*$C156/1000</f>
        <v>1.59395</v>
      </c>
      <c r="G156" s="42">
        <f>(INT($E$25*3/$D156)-INT($E$25*(3-1)/$D156))*$C156/1000</f>
        <v>1.59395</v>
      </c>
      <c r="H156" s="42">
        <f>(INT($E$25*4/$D156)-INT($E$25*(4-1)/$D156))*$C156/1000</f>
        <v>0.0</v>
      </c>
      <c r="I156" s="42">
        <f>(INT($E$25*5/$D156)-INT($E$25*(5-1)/$D156))*$C156/1000</f>
        <v>1.59395</v>
      </c>
      <c r="J156" s="42">
        <f>(INT($E$25*6/$D156)-INT($E$25*(6-1)/$D156))*$C156/1000</f>
        <v>1.59395</v>
      </c>
      <c r="K156" s="42">
        <f>(INT($E$25*7/$D156)-INT($E$25*(7-1)/$D156))*$C156/1000</f>
        <v>0.0</v>
      </c>
      <c r="L156" s="42">
        <f>(INT($E$25*8/$D156)-INT($E$25*(8-1)/$D156))*$C156/1000</f>
        <v>1.59395</v>
      </c>
      <c r="M156" s="42">
        <f>(INT($E$25*9/$D156)-INT($E$25*(9-1)/$D156))*$C156/1000</f>
        <v>1.59395</v>
      </c>
      <c r="N156" s="42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44" t="n">
        <v>4616.49</v>
      </c>
      <c r="D157" s="43" t="n">
        <v>20000</v>
      </c>
      <c r="E157" s="42">
        <f>(INT($E$25*1/$D157)-INT($E$25*(1-1)/$D157))*$C157/1000</f>
        <v>0.0</v>
      </c>
      <c r="F157" s="42">
        <f>(INT($E$25*2/$D157)-INT($E$25*(2-1)/$D157))*$C157/1000</f>
        <v>0.0</v>
      </c>
      <c r="G157" s="42">
        <f>(INT($E$25*3/$D157)-INT($E$25*(3-1)/$D157))*$C157/1000</f>
        <v>4.61649</v>
      </c>
      <c r="H157" s="42">
        <f>(INT($E$25*4/$D157)-INT($E$25*(4-1)/$D157))*$C157/1000</f>
        <v>0.0</v>
      </c>
      <c r="I157" s="42">
        <f>(INT($E$25*5/$D157)-INT($E$25*(5-1)/$D157))*$C157/1000</f>
        <v>0.0</v>
      </c>
      <c r="J157" s="42">
        <f>(INT($E$25*6/$D157)-INT($E$25*(6-1)/$D157))*$C157/1000</f>
        <v>4.61649</v>
      </c>
      <c r="K157" s="42">
        <f>(INT($E$25*7/$D157)-INT($E$25*(7-1)/$D157))*$C157/1000</f>
        <v>0.0</v>
      </c>
      <c r="L157" s="42">
        <f>(INT($E$25*8/$D157)-INT($E$25*(8-1)/$D157))*$C157/1000</f>
        <v>0.0</v>
      </c>
      <c r="M157" s="42">
        <f>(INT($E$25*9/$D157)-INT($E$25*(9-1)/$D157))*$C157/1000</f>
        <v>4.61649</v>
      </c>
      <c r="N157" s="42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44" t="n">
        <v>238.88</v>
      </c>
      <c r="D158" s="43" t="n">
        <v>22000</v>
      </c>
      <c r="E158" s="42">
        <f>(INT($E$25*1/$D158)-INT($E$25*(1-1)/$D158))*$C158/1000</f>
        <v>0.0</v>
      </c>
      <c r="F158" s="42">
        <f>(INT($E$25*2/$D158)-INT($E$25*(2-1)/$D158))*$C158/1000</f>
        <v>0.0</v>
      </c>
      <c r="G158" s="42">
        <f>(INT($E$25*3/$D158)-INT($E$25*(3-1)/$D158))*$C158/1000</f>
        <v>0.0</v>
      </c>
      <c r="H158" s="42">
        <f>(INT($E$25*4/$D158)-INT($E$25*(4-1)/$D158))*$C158/1000</f>
        <v>0.23888</v>
      </c>
      <c r="I158" s="42">
        <f>(INT($E$25*5/$D158)-INT($E$25*(5-1)/$D158))*$C158/1000</f>
        <v>0.0</v>
      </c>
      <c r="J158" s="42">
        <f>(INT($E$25*6/$D158)-INT($E$25*(6-1)/$D158))*$C158/1000</f>
        <v>0.0</v>
      </c>
      <c r="K158" s="42">
        <f>(INT($E$25*7/$D158)-INT($E$25*(7-1)/$D158))*$C158/1000</f>
        <v>0.23888</v>
      </c>
      <c r="L158" s="42">
        <f>(INT($E$25*8/$D158)-INT($E$25*(8-1)/$D158))*$C158/1000</f>
        <v>0.0</v>
      </c>
      <c r="M158" s="42">
        <f>(INT($E$25*9/$D158)-INT($E$25*(9-1)/$D158))*$C158/1000</f>
        <v>0.0</v>
      </c>
      <c r="N158" s="42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44" t="n">
        <v>620.8200000000001</v>
      </c>
      <c r="D159" s="43" t="n">
        <v>20000</v>
      </c>
      <c r="E159" s="42">
        <f>(INT($E$25*1/$D159)-INT($E$25*(1-1)/$D159))*$C159/1000</f>
        <v>0.0</v>
      </c>
      <c r="F159" s="42">
        <f>(INT($E$25*2/$D159)-INT($E$25*(2-1)/$D159))*$C159/1000</f>
        <v>0.0</v>
      </c>
      <c r="G159" s="42">
        <f>(INT($E$25*3/$D159)-INT($E$25*(3-1)/$D159))*$C159/1000</f>
        <v>0.62082</v>
      </c>
      <c r="H159" s="42">
        <f>(INT($E$25*4/$D159)-INT($E$25*(4-1)/$D159))*$C159/1000</f>
        <v>0.0</v>
      </c>
      <c r="I159" s="42">
        <f>(INT($E$25*5/$D159)-INT($E$25*(5-1)/$D159))*$C159/1000</f>
        <v>0.0</v>
      </c>
      <c r="J159" s="42">
        <f>(INT($E$25*6/$D159)-INT($E$25*(6-1)/$D159))*$C159/1000</f>
        <v>0.62082</v>
      </c>
      <c r="K159" s="42">
        <f>(INT($E$25*7/$D159)-INT($E$25*(7-1)/$D159))*$C159/1000</f>
        <v>0.0</v>
      </c>
      <c r="L159" s="42">
        <f>(INT($E$25*8/$D159)-INT($E$25*(8-1)/$D159))*$C159/1000</f>
        <v>0.0</v>
      </c>
      <c r="M159" s="42">
        <f>(INT($E$25*9/$D159)-INT($E$25*(9-1)/$D159))*$C159/1000</f>
        <v>0.62082</v>
      </c>
      <c r="N159" s="42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44" t="n">
        <v>16243.37</v>
      </c>
      <c r="D160" s="43" t="n">
        <v>13000</v>
      </c>
      <c r="E160" s="42">
        <f>(INT($E$25*1/$D160)-INT($E$25*(1-1)/$D160))*$C160/1000</f>
        <v>0.0</v>
      </c>
      <c r="F160" s="42">
        <f>(INT($E$25*2/$D160)-INT($E$25*(2-1)/$D160))*$C160/1000</f>
        <v>16.243370000000002</v>
      </c>
      <c r="G160" s="42">
        <f>(INT($E$25*3/$D160)-INT($E$25*(3-1)/$D160))*$C160/1000</f>
        <v>0.0</v>
      </c>
      <c r="H160" s="42">
        <f>(INT($E$25*4/$D160)-INT($E$25*(4-1)/$D160))*$C160/1000</f>
        <v>16.243370000000002</v>
      </c>
      <c r="I160" s="42">
        <f>(INT($E$25*5/$D160)-INT($E$25*(5-1)/$D160))*$C160/1000</f>
        <v>0.0</v>
      </c>
      <c r="J160" s="42">
        <f>(INT($E$25*6/$D160)-INT($E$25*(6-1)/$D160))*$C160/1000</f>
        <v>16.243370000000002</v>
      </c>
      <c r="K160" s="42">
        <f>(INT($E$25*7/$D160)-INT($E$25*(7-1)/$D160))*$C160/1000</f>
        <v>0.0</v>
      </c>
      <c r="L160" s="42">
        <f>(INT($E$25*8/$D160)-INT($E$25*(8-1)/$D160))*$C160/1000</f>
        <v>16.243370000000002</v>
      </c>
      <c r="M160" s="42">
        <f>(INT($E$25*9/$D160)-INT($E$25*(9-1)/$D160))*$C160/1000</f>
        <v>0.0</v>
      </c>
      <c r="N160" s="42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44" t="n">
        <v>176926.4</v>
      </c>
      <c r="D161" s="43" t="n">
        <v>30000</v>
      </c>
      <c r="E161" s="42">
        <f>(INT($E$25*1/$D161)-INT($E$25*(1-1)/$D161))*$C161/1000</f>
        <v>0.0</v>
      </c>
      <c r="F161" s="42">
        <f>(INT($E$25*2/$D161)-INT($E$25*(2-1)/$D161))*$C161/1000</f>
        <v>0.0</v>
      </c>
      <c r="G161" s="42">
        <f>(INT($E$25*3/$D161)-INT($E$25*(3-1)/$D161))*$C161/1000</f>
        <v>0.0</v>
      </c>
      <c r="H161" s="42">
        <f>(INT($E$25*4/$D161)-INT($E$25*(4-1)/$D161))*$C161/1000</f>
        <v>0.0</v>
      </c>
      <c r="I161" s="42">
        <f>(INT($E$25*5/$D161)-INT($E$25*(5-1)/$D161))*$C161/1000</f>
        <v>176.9264</v>
      </c>
      <c r="J161" s="42">
        <f>(INT($E$25*6/$D161)-INT($E$25*(6-1)/$D161))*$C161/1000</f>
        <v>0.0</v>
      </c>
      <c r="K161" s="42">
        <f>(INT($E$25*7/$D161)-INT($E$25*(7-1)/$D161))*$C161/1000</f>
        <v>0.0</v>
      </c>
      <c r="L161" s="42">
        <f>(INT($E$25*8/$D161)-INT($E$25*(8-1)/$D161))*$C161/1000</f>
        <v>0.0</v>
      </c>
      <c r="M161" s="42">
        <f>(INT($E$25*9/$D161)-INT($E$25*(9-1)/$D161))*$C161/1000</f>
        <v>176.9264</v>
      </c>
      <c r="N161" s="42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44" t="n">
        <v>2480.1</v>
      </c>
      <c r="D162" s="43" t="n">
        <v>11000</v>
      </c>
      <c r="E162" s="42">
        <f>(INT($E$25*1/$D162)-INT($E$25*(1-1)/$D162))*$C162/1000</f>
        <v>0.0</v>
      </c>
      <c r="F162" s="42">
        <f>(INT($E$25*2/$D162)-INT($E$25*(2-1)/$D162))*$C162/1000</f>
        <v>2.4800999999999997</v>
      </c>
      <c r="G162" s="42">
        <f>(INT($E$25*3/$D162)-INT($E$25*(3-1)/$D162))*$C162/1000</f>
        <v>0.0</v>
      </c>
      <c r="H162" s="42">
        <f>(INT($E$25*4/$D162)-INT($E$25*(4-1)/$D162))*$C162/1000</f>
        <v>2.4800999999999997</v>
      </c>
      <c r="I162" s="42">
        <f>(INT($E$25*5/$D162)-INT($E$25*(5-1)/$D162))*$C162/1000</f>
        <v>2.4800999999999997</v>
      </c>
      <c r="J162" s="42">
        <f>(INT($E$25*6/$D162)-INT($E$25*(6-1)/$D162))*$C162/1000</f>
        <v>0.0</v>
      </c>
      <c r="K162" s="42">
        <f>(INT($E$25*7/$D162)-INT($E$25*(7-1)/$D162))*$C162/1000</f>
        <v>2.4800999999999997</v>
      </c>
      <c r="L162" s="42">
        <f>(INT($E$25*8/$D162)-INT($E$25*(8-1)/$D162))*$C162/1000</f>
        <v>2.4800999999999997</v>
      </c>
      <c r="M162" s="42">
        <f>(INT($E$25*9/$D162)-INT($E$25*(9-1)/$D162))*$C162/1000</f>
        <v>0.0</v>
      </c>
      <c r="N162" s="42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44" t="n">
        <v>2068.08</v>
      </c>
      <c r="D163" s="43" t="n">
        <v>11000</v>
      </c>
      <c r="E163" s="42">
        <f>(INT($E$25*1/$D163)-INT($E$25*(1-1)/$D163))*$C163/1000</f>
        <v>0.0</v>
      </c>
      <c r="F163" s="42">
        <f>(INT($E$25*2/$D163)-INT($E$25*(2-1)/$D163))*$C163/1000</f>
        <v>2.06808</v>
      </c>
      <c r="G163" s="42">
        <f>(INT($E$25*3/$D163)-INT($E$25*(3-1)/$D163))*$C163/1000</f>
        <v>0.0</v>
      </c>
      <c r="H163" s="42">
        <f>(INT($E$25*4/$D163)-INT($E$25*(4-1)/$D163))*$C163/1000</f>
        <v>2.06808</v>
      </c>
      <c r="I163" s="42">
        <f>(INT($E$25*5/$D163)-INT($E$25*(5-1)/$D163))*$C163/1000</f>
        <v>2.06808</v>
      </c>
      <c r="J163" s="42">
        <f>(INT($E$25*6/$D163)-INT($E$25*(6-1)/$D163))*$C163/1000</f>
        <v>0.0</v>
      </c>
      <c r="K163" s="42">
        <f>(INT($E$25*7/$D163)-INT($E$25*(7-1)/$D163))*$C163/1000</f>
        <v>2.06808</v>
      </c>
      <c r="L163" s="42">
        <f>(INT($E$25*8/$D163)-INT($E$25*(8-1)/$D163))*$C163/1000</f>
        <v>2.06808</v>
      </c>
      <c r="M163" s="42">
        <f>(INT($E$25*9/$D163)-INT($E$25*(9-1)/$D163))*$C163/1000</f>
        <v>0.0</v>
      </c>
      <c r="N163" s="42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44" t="n">
        <v>14077.02</v>
      </c>
      <c r="D164" s="43" t="n">
        <v>11900</v>
      </c>
      <c r="E164" s="42">
        <f>(INT($E$25*1/$D164)-INT($E$25*(1-1)/$D164))*$C164/1000</f>
        <v>0.0</v>
      </c>
      <c r="F164" s="42">
        <f>(INT($E$25*2/$D164)-INT($E$25*(2-1)/$D164))*$C164/1000</f>
        <v>14.077020000000001</v>
      </c>
      <c r="G164" s="42">
        <f>(INT($E$25*3/$D164)-INT($E$25*(3-1)/$D164))*$C164/1000</f>
        <v>0.0</v>
      </c>
      <c r="H164" s="42">
        <f>(INT($E$25*4/$D164)-INT($E$25*(4-1)/$D164))*$C164/1000</f>
        <v>14.077020000000001</v>
      </c>
      <c r="I164" s="42">
        <f>(INT($E$25*5/$D164)-INT($E$25*(5-1)/$D164))*$C164/1000</f>
        <v>0.0</v>
      </c>
      <c r="J164" s="42">
        <f>(INT($E$25*6/$D164)-INT($E$25*(6-1)/$D164))*$C164/1000</f>
        <v>14.077020000000001</v>
      </c>
      <c r="K164" s="42">
        <f>(INT($E$25*7/$D164)-INT($E$25*(7-1)/$D164))*$C164/1000</f>
        <v>14.077020000000001</v>
      </c>
      <c r="L164" s="42">
        <f>(INT($E$25*8/$D164)-INT($E$25*(8-1)/$D164))*$C164/1000</f>
        <v>0.0</v>
      </c>
      <c r="M164" s="42">
        <f>(INT($E$25*9/$D164)-INT($E$25*(9-1)/$D164))*$C164/1000</f>
        <v>14.077020000000001</v>
      </c>
      <c r="N164" s="42">
        <f>(INT($E$25*10/$D164)-INT($E$25*(10-1)/$D164))*$C164/1000</f>
        <v>0.0</v>
      </c>
    </row>
    <row r="165">
      <c r="B165" s="22" t="inlineStr">
        <is>
          <t>DRIVE SHAFT (кардан)</t>
        </is>
      </c>
      <c r="C165" s="44" t="n">
        <v>1626.09</v>
      </c>
      <c r="D165" s="43" t="n">
        <v>15000</v>
      </c>
      <c r="E165" s="42">
        <f>(INT($E$25*1/$D165)-INT($E$25*(1-1)/$D165))*$C165/1000</f>
        <v>0.0</v>
      </c>
      <c r="F165" s="42">
        <f>(INT($E$25*2/$D165)-INT($E$25*(2-1)/$D165))*$C165/1000</f>
        <v>0.0</v>
      </c>
      <c r="G165" s="42">
        <f>(INT($E$25*3/$D165)-INT($E$25*(3-1)/$D165))*$C165/1000</f>
        <v>1.6260899999999998</v>
      </c>
      <c r="H165" s="42">
        <f>(INT($E$25*4/$D165)-INT($E$25*(4-1)/$D165))*$C165/1000</f>
        <v>0.0</v>
      </c>
      <c r="I165" s="42">
        <f>(INT($E$25*5/$D165)-INT($E$25*(5-1)/$D165))*$C165/1000</f>
        <v>1.6260899999999998</v>
      </c>
      <c r="J165" s="42">
        <f>(INT($E$25*6/$D165)-INT($E$25*(6-1)/$D165))*$C165/1000</f>
        <v>0.0</v>
      </c>
      <c r="K165" s="42">
        <f>(INT($E$25*7/$D165)-INT($E$25*(7-1)/$D165))*$C165/1000</f>
        <v>1.6260899999999998</v>
      </c>
      <c r="L165" s="42">
        <f>(INT($E$25*8/$D165)-INT($E$25*(8-1)/$D165))*$C165/1000</f>
        <v>0.0</v>
      </c>
      <c r="M165" s="42">
        <f>(INT($E$25*9/$D165)-INT($E$25*(9-1)/$D165))*$C165/1000</f>
        <v>1.6260899999999998</v>
      </c>
      <c r="N165" s="42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44" t="n">
        <v>83945.98</v>
      </c>
      <c r="D166" s="43" t="n">
        <v>18000</v>
      </c>
      <c r="E166" s="42">
        <f>(INT($E$25*1/$D166)-INT($E$25*(1-1)/$D166))*$C166/1000</f>
        <v>0.0</v>
      </c>
      <c r="F166" s="42">
        <f>(INT($E$25*2/$D166)-INT($E$25*(2-1)/$D166))*$C166/1000</f>
        <v>0.0</v>
      </c>
      <c r="G166" s="42">
        <f>(INT($E$25*3/$D166)-INT($E$25*(3-1)/$D166))*$C166/1000</f>
        <v>83.94597999999999</v>
      </c>
      <c r="H166" s="42">
        <f>(INT($E$25*4/$D166)-INT($E$25*(4-1)/$D166))*$C166/1000</f>
        <v>0.0</v>
      </c>
      <c r="I166" s="42">
        <f>(INT($E$25*5/$D166)-INT($E$25*(5-1)/$D166))*$C166/1000</f>
        <v>0.0</v>
      </c>
      <c r="J166" s="42">
        <f>(INT($E$25*6/$D166)-INT($E$25*(6-1)/$D166))*$C166/1000</f>
        <v>83.94597999999999</v>
      </c>
      <c r="K166" s="42">
        <f>(INT($E$25*7/$D166)-INT($E$25*(7-1)/$D166))*$C166/1000</f>
        <v>0.0</v>
      </c>
      <c r="L166" s="42">
        <f>(INT($E$25*8/$D166)-INT($E$25*(8-1)/$D166))*$C166/1000</f>
        <v>83.94597999999999</v>
      </c>
      <c r="M166" s="42">
        <f>(INT($E$25*9/$D166)-INT($E$25*(9-1)/$D166))*$C166/1000</f>
        <v>0.0</v>
      </c>
      <c r="N166" s="42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44" t="n">
        <v>4856.64</v>
      </c>
      <c r="D167" s="43" t="n">
        <v>14000</v>
      </c>
      <c r="E167" s="42">
        <f>(INT($E$25*1/$D167)-INT($E$25*(1-1)/$D167))*$C167/1000</f>
        <v>0.0</v>
      </c>
      <c r="F167" s="42">
        <f>(INT($E$25*2/$D167)-INT($E$25*(2-1)/$D167))*$C167/1000</f>
        <v>4.8566400000000005</v>
      </c>
      <c r="G167" s="42">
        <f>(INT($E$25*3/$D167)-INT($E$25*(3-1)/$D167))*$C167/1000</f>
        <v>0.0</v>
      </c>
      <c r="H167" s="42">
        <f>(INT($E$25*4/$D167)-INT($E$25*(4-1)/$D167))*$C167/1000</f>
        <v>4.8566400000000005</v>
      </c>
      <c r="I167" s="42">
        <f>(INT($E$25*5/$D167)-INT($E$25*(5-1)/$D167))*$C167/1000</f>
        <v>0.0</v>
      </c>
      <c r="J167" s="42">
        <f>(INT($E$25*6/$D167)-INT($E$25*(6-1)/$D167))*$C167/1000</f>
        <v>4.8566400000000005</v>
      </c>
      <c r="K167" s="42">
        <f>(INT($E$25*7/$D167)-INT($E$25*(7-1)/$D167))*$C167/1000</f>
        <v>0.0</v>
      </c>
      <c r="L167" s="42">
        <f>(INT($E$25*8/$D167)-INT($E$25*(8-1)/$D167))*$C167/1000</f>
        <v>4.8566400000000005</v>
      </c>
      <c r="M167" s="42">
        <f>(INT($E$25*9/$D167)-INT($E$25*(9-1)/$D167))*$C167/1000</f>
        <v>0.0</v>
      </c>
      <c r="N167" s="42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44" t="n">
        <v>10503.76</v>
      </c>
      <c r="D168" s="43" t="n">
        <v>12000</v>
      </c>
      <c r="E168" s="42">
        <f>(INT($E$25*1/$D168)-INT($E$25*(1-1)/$D168))*$C168/1000</f>
        <v>0.0</v>
      </c>
      <c r="F168" s="42">
        <f>(INT($E$25*2/$D168)-INT($E$25*(2-1)/$D168))*$C168/1000</f>
        <v>10.50376</v>
      </c>
      <c r="G168" s="42">
        <f>(INT($E$25*3/$D168)-INT($E$25*(3-1)/$D168))*$C168/1000</f>
        <v>0.0</v>
      </c>
      <c r="H168" s="42">
        <f>(INT($E$25*4/$D168)-INT($E$25*(4-1)/$D168))*$C168/1000</f>
        <v>10.50376</v>
      </c>
      <c r="I168" s="42">
        <f>(INT($E$25*5/$D168)-INT($E$25*(5-1)/$D168))*$C168/1000</f>
        <v>0.0</v>
      </c>
      <c r="J168" s="42">
        <f>(INT($E$25*6/$D168)-INT($E$25*(6-1)/$D168))*$C168/1000</f>
        <v>10.50376</v>
      </c>
      <c r="K168" s="42">
        <f>(INT($E$25*7/$D168)-INT($E$25*(7-1)/$D168))*$C168/1000</f>
        <v>10.50376</v>
      </c>
      <c r="L168" s="42">
        <f>(INT($E$25*8/$D168)-INT($E$25*(8-1)/$D168))*$C168/1000</f>
        <v>0.0</v>
      </c>
      <c r="M168" s="42">
        <f>(INT($E$25*9/$D168)-INT($E$25*(9-1)/$D168))*$C168/1000</f>
        <v>10.50376</v>
      </c>
      <c r="N168" s="42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44" t="n">
        <v>33088.43</v>
      </c>
      <c r="D169" s="43" t="n">
        <v>21000</v>
      </c>
      <c r="E169" s="42">
        <f>(INT($E$25*1/$D169)-INT($E$25*(1-1)/$D169))*$C169/1000</f>
        <v>0.0</v>
      </c>
      <c r="F169" s="42">
        <f>(INT($E$25*2/$D169)-INT($E$25*(2-1)/$D169))*$C169/1000</f>
        <v>0.0</v>
      </c>
      <c r="G169" s="42">
        <f>(INT($E$25*3/$D169)-INT($E$25*(3-1)/$D169))*$C169/1000</f>
        <v>33.08843</v>
      </c>
      <c r="H169" s="42">
        <f>(INT($E$25*4/$D169)-INT($E$25*(4-1)/$D169))*$C169/1000</f>
        <v>0.0</v>
      </c>
      <c r="I169" s="42">
        <f>(INT($E$25*5/$D169)-INT($E$25*(5-1)/$D169))*$C169/1000</f>
        <v>0.0</v>
      </c>
      <c r="J169" s="42">
        <f>(INT($E$25*6/$D169)-INT($E$25*(6-1)/$D169))*$C169/1000</f>
        <v>33.08843</v>
      </c>
      <c r="K169" s="42">
        <f>(INT($E$25*7/$D169)-INT($E$25*(7-1)/$D169))*$C169/1000</f>
        <v>0.0</v>
      </c>
      <c r="L169" s="42">
        <f>(INT($E$25*8/$D169)-INT($E$25*(8-1)/$D169))*$C169/1000</f>
        <v>0.0</v>
      </c>
      <c r="M169" s="42">
        <f>(INT($E$25*9/$D169)-INT($E$25*(9-1)/$D169))*$C169/1000</f>
        <v>33.08843</v>
      </c>
      <c r="N169" s="42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44" t="n">
        <v>798.38</v>
      </c>
      <c r="D170" s="43" t="n">
        <v>14000</v>
      </c>
      <c r="E170" s="42">
        <f>(INT($E$25*1/$D170)-INT($E$25*(1-1)/$D170))*$C170/1000</f>
        <v>0.0</v>
      </c>
      <c r="F170" s="42">
        <f>(INT($E$25*2/$D170)-INT($E$25*(2-1)/$D170))*$C170/1000</f>
        <v>0.79838</v>
      </c>
      <c r="G170" s="42">
        <f>(INT($E$25*3/$D170)-INT($E$25*(3-1)/$D170))*$C170/1000</f>
        <v>0.0</v>
      </c>
      <c r="H170" s="42">
        <f>(INT($E$25*4/$D170)-INT($E$25*(4-1)/$D170))*$C170/1000</f>
        <v>0.79838</v>
      </c>
      <c r="I170" s="42">
        <f>(INT($E$25*5/$D170)-INT($E$25*(5-1)/$D170))*$C170/1000</f>
        <v>0.0</v>
      </c>
      <c r="J170" s="42">
        <f>(INT($E$25*6/$D170)-INT($E$25*(6-1)/$D170))*$C170/1000</f>
        <v>0.79838</v>
      </c>
      <c r="K170" s="42">
        <f>(INT($E$25*7/$D170)-INT($E$25*(7-1)/$D170))*$C170/1000</f>
        <v>0.0</v>
      </c>
      <c r="L170" s="42">
        <f>(INT($E$25*8/$D170)-INT($E$25*(8-1)/$D170))*$C170/1000</f>
        <v>0.79838</v>
      </c>
      <c r="M170" s="42">
        <f>(INT($E$25*9/$D170)-INT($E$25*(9-1)/$D170))*$C170/1000</f>
        <v>0.0</v>
      </c>
      <c r="N170" s="42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44" t="n">
        <v>2803.81</v>
      </c>
      <c r="D171" s="43" t="n">
        <v>6000</v>
      </c>
      <c r="E171" s="42">
        <f>(INT($E$25*1/$D171)-INT($E$25*(1-1)/$D171))*$C171/1000</f>
        <v>2.80381</v>
      </c>
      <c r="F171" s="42">
        <f>(INT($E$25*2/$D171)-INT($E$25*(2-1)/$D171))*$C171/1000</f>
        <v>2.80381</v>
      </c>
      <c r="G171" s="42">
        <f>(INT($E$25*3/$D171)-INT($E$25*(3-1)/$D171))*$C171/1000</f>
        <v>2.80381</v>
      </c>
      <c r="H171" s="42">
        <f>(INT($E$25*4/$D171)-INT($E$25*(4-1)/$D171))*$C171/1000</f>
        <v>2.80381</v>
      </c>
      <c r="I171" s="42">
        <f>(INT($E$25*5/$D171)-INT($E$25*(5-1)/$D171))*$C171/1000</f>
        <v>2.80381</v>
      </c>
      <c r="J171" s="42">
        <f>(INT($E$25*6/$D171)-INT($E$25*(6-1)/$D171))*$C171/1000</f>
        <v>5.60762</v>
      </c>
      <c r="K171" s="42">
        <f>(INT($E$25*7/$D171)-INT($E$25*(7-1)/$D171))*$C171/1000</f>
        <v>2.80381</v>
      </c>
      <c r="L171" s="42">
        <f>(INT($E$25*8/$D171)-INT($E$25*(8-1)/$D171))*$C171/1000</f>
        <v>2.80381</v>
      </c>
      <c r="M171" s="42">
        <f>(INT($E$25*9/$D171)-INT($E$25*(9-1)/$D171))*$C171/1000</f>
        <v>2.80381</v>
      </c>
      <c r="N171" s="42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44" t="n">
        <v>2803.81</v>
      </c>
      <c r="D172" s="43" t="n">
        <v>6000</v>
      </c>
      <c r="E172" s="42">
        <f>(INT($E$25*1/$D172)-INT($E$25*(1-1)/$D172))*$C172/1000</f>
        <v>2.80381</v>
      </c>
      <c r="F172" s="42">
        <f>(INT($E$25*2/$D172)-INT($E$25*(2-1)/$D172))*$C172/1000</f>
        <v>2.80381</v>
      </c>
      <c r="G172" s="42">
        <f>(INT($E$25*3/$D172)-INT($E$25*(3-1)/$D172))*$C172/1000</f>
        <v>2.80381</v>
      </c>
      <c r="H172" s="42">
        <f>(INT($E$25*4/$D172)-INT($E$25*(4-1)/$D172))*$C172/1000</f>
        <v>2.80381</v>
      </c>
      <c r="I172" s="42">
        <f>(INT($E$25*5/$D172)-INT($E$25*(5-1)/$D172))*$C172/1000</f>
        <v>2.80381</v>
      </c>
      <c r="J172" s="42">
        <f>(INT($E$25*6/$D172)-INT($E$25*(6-1)/$D172))*$C172/1000</f>
        <v>5.60762</v>
      </c>
      <c r="K172" s="42">
        <f>(INT($E$25*7/$D172)-INT($E$25*(7-1)/$D172))*$C172/1000</f>
        <v>2.80381</v>
      </c>
      <c r="L172" s="42">
        <f>(INT($E$25*8/$D172)-INT($E$25*(8-1)/$D172))*$C172/1000</f>
        <v>2.80381</v>
      </c>
      <c r="M172" s="42">
        <f>(INT($E$25*9/$D172)-INT($E$25*(9-1)/$D172))*$C172/1000</f>
        <v>2.80381</v>
      </c>
      <c r="N172" s="42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44" t="n">
        <v>11684.45</v>
      </c>
      <c r="D173" s="43" t="n">
        <v>12000</v>
      </c>
      <c r="E173" s="42">
        <f>(INT($E$25*1/$D173)-INT($E$25*(1-1)/$D173))*$C173/1000</f>
        <v>0.0</v>
      </c>
      <c r="F173" s="42">
        <f>(INT($E$25*2/$D173)-INT($E$25*(2-1)/$D173))*$C173/1000</f>
        <v>11.68445</v>
      </c>
      <c r="G173" s="42">
        <f>(INT($E$25*3/$D173)-INT($E$25*(3-1)/$D173))*$C173/1000</f>
        <v>0.0</v>
      </c>
      <c r="H173" s="42">
        <f>(INT($E$25*4/$D173)-INT($E$25*(4-1)/$D173))*$C173/1000</f>
        <v>11.68445</v>
      </c>
      <c r="I173" s="42">
        <f>(INT($E$25*5/$D173)-INT($E$25*(5-1)/$D173))*$C173/1000</f>
        <v>0.0</v>
      </c>
      <c r="J173" s="42">
        <f>(INT($E$25*6/$D173)-INT($E$25*(6-1)/$D173))*$C173/1000</f>
        <v>11.68445</v>
      </c>
      <c r="K173" s="42">
        <f>(INT($E$25*7/$D173)-INT($E$25*(7-1)/$D173))*$C173/1000</f>
        <v>11.68445</v>
      </c>
      <c r="L173" s="42">
        <f>(INT($E$25*8/$D173)-INT($E$25*(8-1)/$D173))*$C173/1000</f>
        <v>0.0</v>
      </c>
      <c r="M173" s="42">
        <f>(INT($E$25*9/$D173)-INT($E$25*(9-1)/$D173))*$C173/1000</f>
        <v>11.68445</v>
      </c>
      <c r="N173" s="42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44" t="n">
        <v>15375.35</v>
      </c>
      <c r="D174" s="43" t="n">
        <v>21000</v>
      </c>
      <c r="E174" s="42">
        <f>(INT($E$25*1/$D174)-INT($E$25*(1-1)/$D174))*$C174/1000</f>
        <v>0.0</v>
      </c>
      <c r="F174" s="42">
        <f>(INT($E$25*2/$D174)-INT($E$25*(2-1)/$D174))*$C174/1000</f>
        <v>0.0</v>
      </c>
      <c r="G174" s="42">
        <f>(INT($E$25*3/$D174)-INT($E$25*(3-1)/$D174))*$C174/1000</f>
        <v>15.375350000000001</v>
      </c>
      <c r="H174" s="42">
        <f>(INT($E$25*4/$D174)-INT($E$25*(4-1)/$D174))*$C174/1000</f>
        <v>0.0</v>
      </c>
      <c r="I174" s="42">
        <f>(INT($E$25*5/$D174)-INT($E$25*(5-1)/$D174))*$C174/1000</f>
        <v>0.0</v>
      </c>
      <c r="J174" s="42">
        <f>(INT($E$25*6/$D174)-INT($E$25*(6-1)/$D174))*$C174/1000</f>
        <v>15.375350000000001</v>
      </c>
      <c r="K174" s="42">
        <f>(INT($E$25*7/$D174)-INT($E$25*(7-1)/$D174))*$C174/1000</f>
        <v>0.0</v>
      </c>
      <c r="L174" s="42">
        <f>(INT($E$25*8/$D174)-INT($E$25*(8-1)/$D174))*$C174/1000</f>
        <v>0.0</v>
      </c>
      <c r="M174" s="42">
        <f>(INT($E$25*9/$D174)-INT($E$25*(9-1)/$D174))*$C174/1000</f>
        <v>15.375350000000001</v>
      </c>
      <c r="N174" s="42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44" t="n">
        <v>4036.53</v>
      </c>
      <c r="D175" s="43" t="n">
        <v>15000</v>
      </c>
      <c r="E175" s="42">
        <f>(INT($E$25*1/$D175)-INT($E$25*(1-1)/$D175))*$C175/1000</f>
        <v>0.0</v>
      </c>
      <c r="F175" s="42">
        <f>(INT($E$25*2/$D175)-INT($E$25*(2-1)/$D175))*$C175/1000</f>
        <v>0.0</v>
      </c>
      <c r="G175" s="42">
        <f>(INT($E$25*3/$D175)-INT($E$25*(3-1)/$D175))*$C175/1000</f>
        <v>4.03653</v>
      </c>
      <c r="H175" s="42">
        <f>(INT($E$25*4/$D175)-INT($E$25*(4-1)/$D175))*$C175/1000</f>
        <v>0.0</v>
      </c>
      <c r="I175" s="42">
        <f>(INT($E$25*5/$D175)-INT($E$25*(5-1)/$D175))*$C175/1000</f>
        <v>4.03653</v>
      </c>
      <c r="J175" s="42">
        <f>(INT($E$25*6/$D175)-INT($E$25*(6-1)/$D175))*$C175/1000</f>
        <v>0.0</v>
      </c>
      <c r="K175" s="42">
        <f>(INT($E$25*7/$D175)-INT($E$25*(7-1)/$D175))*$C175/1000</f>
        <v>4.03653</v>
      </c>
      <c r="L175" s="42">
        <f>(INT($E$25*8/$D175)-INT($E$25*(8-1)/$D175))*$C175/1000</f>
        <v>0.0</v>
      </c>
      <c r="M175" s="42">
        <f>(INT($E$25*9/$D175)-INT($E$25*(9-1)/$D175))*$C175/1000</f>
        <v>4.03653</v>
      </c>
      <c r="N175" s="42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44" t="n">
        <v>65763.14</v>
      </c>
      <c r="D176" s="43" t="n">
        <v>15000</v>
      </c>
      <c r="E176" s="42">
        <f>(INT($E$25*1/$D176)-INT($E$25*(1-1)/$D176))*$C176/1000</f>
        <v>0.0</v>
      </c>
      <c r="F176" s="42">
        <f>(INT($E$25*2/$D176)-INT($E$25*(2-1)/$D176))*$C176/1000</f>
        <v>0.0</v>
      </c>
      <c r="G176" s="42">
        <f>(INT($E$25*3/$D176)-INT($E$25*(3-1)/$D176))*$C176/1000</f>
        <v>65.76313999999999</v>
      </c>
      <c r="H176" s="42">
        <f>(INT($E$25*4/$D176)-INT($E$25*(4-1)/$D176))*$C176/1000</f>
        <v>0.0</v>
      </c>
      <c r="I176" s="42">
        <f>(INT($E$25*5/$D176)-INT($E$25*(5-1)/$D176))*$C176/1000</f>
        <v>65.76313999999999</v>
      </c>
      <c r="J176" s="42">
        <f>(INT($E$25*6/$D176)-INT($E$25*(6-1)/$D176))*$C176/1000</f>
        <v>0.0</v>
      </c>
      <c r="K176" s="42">
        <f>(INT($E$25*7/$D176)-INT($E$25*(7-1)/$D176))*$C176/1000</f>
        <v>65.76313999999999</v>
      </c>
      <c r="L176" s="42">
        <f>(INT($E$25*8/$D176)-INT($E$25*(8-1)/$D176))*$C176/1000</f>
        <v>0.0</v>
      </c>
      <c r="M176" s="42">
        <f>(INT($E$25*9/$D176)-INT($E$25*(9-1)/$D176))*$C176/1000</f>
        <v>65.76313999999999</v>
      </c>
      <c r="N176" s="42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44" t="n">
        <v>229791.16</v>
      </c>
      <c r="D177" s="43" t="n">
        <v>22000</v>
      </c>
      <c r="E177" s="42">
        <f>(INT($E$25*1/$D177)-INT($E$25*(1-1)/$D177))*$C177/1000</f>
        <v>0.0</v>
      </c>
      <c r="F177" s="42">
        <f>(INT($E$25*2/$D177)-INT($E$25*(2-1)/$D177))*$C177/1000</f>
        <v>0.0</v>
      </c>
      <c r="G177" s="42">
        <f>(INT($E$25*3/$D177)-INT($E$25*(3-1)/$D177))*$C177/1000</f>
        <v>0.0</v>
      </c>
      <c r="H177" s="42">
        <f>(INT($E$25*4/$D177)-INT($E$25*(4-1)/$D177))*$C177/1000</f>
        <v>229.79116</v>
      </c>
      <c r="I177" s="42">
        <f>(INT($E$25*5/$D177)-INT($E$25*(5-1)/$D177))*$C177/1000</f>
        <v>0.0</v>
      </c>
      <c r="J177" s="42">
        <f>(INT($E$25*6/$D177)-INT($E$25*(6-1)/$D177))*$C177/1000</f>
        <v>0.0</v>
      </c>
      <c r="K177" s="42">
        <f>(INT($E$25*7/$D177)-INT($E$25*(7-1)/$D177))*$C177/1000</f>
        <v>229.79116</v>
      </c>
      <c r="L177" s="42">
        <f>(INT($E$25*8/$D177)-INT($E$25*(8-1)/$D177))*$C177/1000</f>
        <v>0.0</v>
      </c>
      <c r="M177" s="42">
        <f>(INT($E$25*9/$D177)-INT($E$25*(9-1)/$D177))*$C177/1000</f>
        <v>0.0</v>
      </c>
      <c r="N177" s="42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44" t="n">
        <v>1056.97</v>
      </c>
      <c r="D178" s="43" t="n">
        <v>6000</v>
      </c>
      <c r="E178" s="42">
        <f>(INT($E$25*1/$D178)-INT($E$25*(1-1)/$D178))*$C178/1000</f>
        <v>1.05697</v>
      </c>
      <c r="F178" s="42">
        <f>(INT($E$25*2/$D178)-INT($E$25*(2-1)/$D178))*$C178/1000</f>
        <v>1.05697</v>
      </c>
      <c r="G178" s="42">
        <f>(INT($E$25*3/$D178)-INT($E$25*(3-1)/$D178))*$C178/1000</f>
        <v>1.05697</v>
      </c>
      <c r="H178" s="42">
        <f>(INT($E$25*4/$D178)-INT($E$25*(4-1)/$D178))*$C178/1000</f>
        <v>1.05697</v>
      </c>
      <c r="I178" s="42">
        <f>(INT($E$25*5/$D178)-INT($E$25*(5-1)/$D178))*$C178/1000</f>
        <v>1.05697</v>
      </c>
      <c r="J178" s="42">
        <f>(INT($E$25*6/$D178)-INT($E$25*(6-1)/$D178))*$C178/1000</f>
        <v>2.11394</v>
      </c>
      <c r="K178" s="42">
        <f>(INT($E$25*7/$D178)-INT($E$25*(7-1)/$D178))*$C178/1000</f>
        <v>1.05697</v>
      </c>
      <c r="L178" s="42">
        <f>(INT($E$25*8/$D178)-INT($E$25*(8-1)/$D178))*$C178/1000</f>
        <v>1.05697</v>
      </c>
      <c r="M178" s="42">
        <f>(INT($E$25*9/$D178)-INT($E$25*(9-1)/$D178))*$C178/1000</f>
        <v>1.05697</v>
      </c>
      <c r="N178" s="42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44" t="n">
        <v>86.47</v>
      </c>
      <c r="D179" s="43" t="n">
        <v>6000</v>
      </c>
      <c r="E179" s="42">
        <f>(INT($E$25*1/$D179)-INT($E$25*(1-1)/$D179))*$C179/1000</f>
        <v>0.08647</v>
      </c>
      <c r="F179" s="42">
        <f>(INT($E$25*2/$D179)-INT($E$25*(2-1)/$D179))*$C179/1000</f>
        <v>0.08647</v>
      </c>
      <c r="G179" s="42">
        <f>(INT($E$25*3/$D179)-INT($E$25*(3-1)/$D179))*$C179/1000</f>
        <v>0.08647</v>
      </c>
      <c r="H179" s="42">
        <f>(INT($E$25*4/$D179)-INT($E$25*(4-1)/$D179))*$C179/1000</f>
        <v>0.08647</v>
      </c>
      <c r="I179" s="42">
        <f>(INT($E$25*5/$D179)-INT($E$25*(5-1)/$D179))*$C179/1000</f>
        <v>0.08647</v>
      </c>
      <c r="J179" s="42">
        <f>(INT($E$25*6/$D179)-INT($E$25*(6-1)/$D179))*$C179/1000</f>
        <v>0.17294</v>
      </c>
      <c r="K179" s="42">
        <f>(INT($E$25*7/$D179)-INT($E$25*(7-1)/$D179))*$C179/1000</f>
        <v>0.08647</v>
      </c>
      <c r="L179" s="42">
        <f>(INT($E$25*8/$D179)-INT($E$25*(8-1)/$D179))*$C179/1000</f>
        <v>0.08647</v>
      </c>
      <c r="M179" s="42">
        <f>(INT($E$25*9/$D179)-INT($E$25*(9-1)/$D179))*$C179/1000</f>
        <v>0.08647</v>
      </c>
      <c r="N179" s="42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44" t="n">
        <v>528.48</v>
      </c>
      <c r="D180" s="43" t="n">
        <v>6000</v>
      </c>
      <c r="E180" s="42">
        <f>(INT($E$25*1/$D180)-INT($E$25*(1-1)/$D180))*$C180/1000</f>
        <v>0.5284800000000001</v>
      </c>
      <c r="F180" s="42">
        <f>(INT($E$25*2/$D180)-INT($E$25*(2-1)/$D180))*$C180/1000</f>
        <v>0.5284800000000001</v>
      </c>
      <c r="G180" s="42">
        <f>(INT($E$25*3/$D180)-INT($E$25*(3-1)/$D180))*$C180/1000</f>
        <v>0.5284800000000001</v>
      </c>
      <c r="H180" s="42">
        <f>(INT($E$25*4/$D180)-INT($E$25*(4-1)/$D180))*$C180/1000</f>
        <v>0.5284800000000001</v>
      </c>
      <c r="I180" s="42">
        <f>(INT($E$25*5/$D180)-INT($E$25*(5-1)/$D180))*$C180/1000</f>
        <v>0.5284800000000001</v>
      </c>
      <c r="J180" s="42">
        <f>(INT($E$25*6/$D180)-INT($E$25*(6-1)/$D180))*$C180/1000</f>
        <v>1.0569600000000001</v>
      </c>
      <c r="K180" s="42">
        <f>(INT($E$25*7/$D180)-INT($E$25*(7-1)/$D180))*$C180/1000</f>
        <v>0.5284800000000001</v>
      </c>
      <c r="L180" s="42">
        <f>(INT($E$25*8/$D180)-INT($E$25*(8-1)/$D180))*$C180/1000</f>
        <v>0.5284800000000001</v>
      </c>
      <c r="M180" s="42">
        <f>(INT($E$25*9/$D180)-INT($E$25*(9-1)/$D180))*$C180/1000</f>
        <v>0.5284800000000001</v>
      </c>
      <c r="N180" s="42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44" t="n">
        <v>102.84</v>
      </c>
      <c r="D181" s="43" t="n">
        <v>6000</v>
      </c>
      <c r="E181" s="42">
        <f>(INT($E$25*1/$D181)-INT($E$25*(1-1)/$D181))*$C181/1000</f>
        <v>0.10284</v>
      </c>
      <c r="F181" s="42">
        <f>(INT($E$25*2/$D181)-INT($E$25*(2-1)/$D181))*$C181/1000</f>
        <v>0.10284</v>
      </c>
      <c r="G181" s="42">
        <f>(INT($E$25*3/$D181)-INT($E$25*(3-1)/$D181))*$C181/1000</f>
        <v>0.10284</v>
      </c>
      <c r="H181" s="42">
        <f>(INT($E$25*4/$D181)-INT($E$25*(4-1)/$D181))*$C181/1000</f>
        <v>0.10284</v>
      </c>
      <c r="I181" s="42">
        <f>(INT($E$25*5/$D181)-INT($E$25*(5-1)/$D181))*$C181/1000</f>
        <v>0.10284</v>
      </c>
      <c r="J181" s="42">
        <f>(INT($E$25*6/$D181)-INT($E$25*(6-1)/$D181))*$C181/1000</f>
        <v>0.20568</v>
      </c>
      <c r="K181" s="42">
        <f>(INT($E$25*7/$D181)-INT($E$25*(7-1)/$D181))*$C181/1000</f>
        <v>0.10284</v>
      </c>
      <c r="L181" s="42">
        <f>(INT($E$25*8/$D181)-INT($E$25*(8-1)/$D181))*$C181/1000</f>
        <v>0.10284</v>
      </c>
      <c r="M181" s="42">
        <f>(INT($E$25*9/$D181)-INT($E$25*(9-1)/$D181))*$C181/1000</f>
        <v>0.10284</v>
      </c>
      <c r="N181" s="42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44" t="n">
        <v>9255.559999999999</v>
      </c>
      <c r="D182" s="43" t="n">
        <v>12000</v>
      </c>
      <c r="E182" s="42">
        <f>(INT($E$25*1/$D182)-INT($E$25*(1-1)/$D182))*$C182/1000</f>
        <v>0.0</v>
      </c>
      <c r="F182" s="42">
        <f>(INT($E$25*2/$D182)-INT($E$25*(2-1)/$D182))*$C182/1000</f>
        <v>9.25556</v>
      </c>
      <c r="G182" s="42">
        <f>(INT($E$25*3/$D182)-INT($E$25*(3-1)/$D182))*$C182/1000</f>
        <v>0.0</v>
      </c>
      <c r="H182" s="42">
        <f>(INT($E$25*4/$D182)-INT($E$25*(4-1)/$D182))*$C182/1000</f>
        <v>9.25556</v>
      </c>
      <c r="I182" s="42">
        <f>(INT($E$25*5/$D182)-INT($E$25*(5-1)/$D182))*$C182/1000</f>
        <v>0.0</v>
      </c>
      <c r="J182" s="42">
        <f>(INT($E$25*6/$D182)-INT($E$25*(6-1)/$D182))*$C182/1000</f>
        <v>9.25556</v>
      </c>
      <c r="K182" s="42">
        <f>(INT($E$25*7/$D182)-INT($E$25*(7-1)/$D182))*$C182/1000</f>
        <v>9.25556</v>
      </c>
      <c r="L182" s="42">
        <f>(INT($E$25*8/$D182)-INT($E$25*(8-1)/$D182))*$C182/1000</f>
        <v>0.0</v>
      </c>
      <c r="M182" s="42">
        <f>(INT($E$25*9/$D182)-INT($E$25*(9-1)/$D182))*$C182/1000</f>
        <v>9.25556</v>
      </c>
      <c r="N182" s="42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44" t="n">
        <v>5299.62</v>
      </c>
      <c r="D183" s="43" t="n">
        <v>15000</v>
      </c>
      <c r="E183" s="42">
        <f>(INT($E$25*1/$D183)-INT($E$25*(1-1)/$D183))*$C183/1000</f>
        <v>0.0</v>
      </c>
      <c r="F183" s="42">
        <f>(INT($E$25*2/$D183)-INT($E$25*(2-1)/$D183))*$C183/1000</f>
        <v>0.0</v>
      </c>
      <c r="G183" s="42">
        <f>(INT($E$25*3/$D183)-INT($E$25*(3-1)/$D183))*$C183/1000</f>
        <v>5.29962</v>
      </c>
      <c r="H183" s="42">
        <f>(INT($E$25*4/$D183)-INT($E$25*(4-1)/$D183))*$C183/1000</f>
        <v>0.0</v>
      </c>
      <c r="I183" s="42">
        <f>(INT($E$25*5/$D183)-INT($E$25*(5-1)/$D183))*$C183/1000</f>
        <v>5.29962</v>
      </c>
      <c r="J183" s="42">
        <f>(INT($E$25*6/$D183)-INT($E$25*(6-1)/$D183))*$C183/1000</f>
        <v>0.0</v>
      </c>
      <c r="K183" s="42">
        <f>(INT($E$25*7/$D183)-INT($E$25*(7-1)/$D183))*$C183/1000</f>
        <v>5.29962</v>
      </c>
      <c r="L183" s="42">
        <f>(INT($E$25*8/$D183)-INT($E$25*(8-1)/$D183))*$C183/1000</f>
        <v>0.0</v>
      </c>
      <c r="M183" s="42">
        <f>(INT($E$25*9/$D183)-INT($E$25*(9-1)/$D183))*$C183/1000</f>
        <v>5.29962</v>
      </c>
      <c r="N183" s="42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44" t="n">
        <v>2066.45</v>
      </c>
      <c r="D184" s="43" t="n">
        <v>12000</v>
      </c>
      <c r="E184" s="42">
        <f>(INT($E$25*1/$D184)-INT($E$25*(1-1)/$D184))*$C184/1000</f>
        <v>0.0</v>
      </c>
      <c r="F184" s="42">
        <f>(INT($E$25*2/$D184)-INT($E$25*(2-1)/$D184))*$C184/1000</f>
        <v>2.0664499999999997</v>
      </c>
      <c r="G184" s="42">
        <f>(INT($E$25*3/$D184)-INT($E$25*(3-1)/$D184))*$C184/1000</f>
        <v>0.0</v>
      </c>
      <c r="H184" s="42">
        <f>(INT($E$25*4/$D184)-INT($E$25*(4-1)/$D184))*$C184/1000</f>
        <v>2.0664499999999997</v>
      </c>
      <c r="I184" s="42">
        <f>(INT($E$25*5/$D184)-INT($E$25*(5-1)/$D184))*$C184/1000</f>
        <v>0.0</v>
      </c>
      <c r="J184" s="42">
        <f>(INT($E$25*6/$D184)-INT($E$25*(6-1)/$D184))*$C184/1000</f>
        <v>2.0664499999999997</v>
      </c>
      <c r="K184" s="42">
        <f>(INT($E$25*7/$D184)-INT($E$25*(7-1)/$D184))*$C184/1000</f>
        <v>2.0664499999999997</v>
      </c>
      <c r="L184" s="42">
        <f>(INT($E$25*8/$D184)-INT($E$25*(8-1)/$D184))*$C184/1000</f>
        <v>0.0</v>
      </c>
      <c r="M184" s="42">
        <f>(INT($E$25*9/$D184)-INT($E$25*(9-1)/$D184))*$C184/1000</f>
        <v>2.0664499999999997</v>
      </c>
      <c r="N184" s="42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44" t="n">
        <v>2940.89</v>
      </c>
      <c r="D185" s="43" t="n">
        <v>8000</v>
      </c>
      <c r="E185" s="42">
        <f>(INT($E$25*1/$D185)-INT($E$25*(1-1)/$D185))*$C185/1000</f>
        <v>0.0</v>
      </c>
      <c r="F185" s="42">
        <f>(INT($E$25*2/$D185)-INT($E$25*(2-1)/$D185))*$C185/1000</f>
        <v>2.94089</v>
      </c>
      <c r="G185" s="42">
        <f>(INT($E$25*3/$D185)-INT($E$25*(3-1)/$D185))*$C185/1000</f>
        <v>2.94089</v>
      </c>
      <c r="H185" s="42">
        <f>(INT($E$25*4/$D185)-INT($E$25*(4-1)/$D185))*$C185/1000</f>
        <v>2.94089</v>
      </c>
      <c r="I185" s="42">
        <f>(INT($E$25*5/$D185)-INT($E$25*(5-1)/$D185))*$C185/1000</f>
        <v>2.94089</v>
      </c>
      <c r="J185" s="42">
        <f>(INT($E$25*6/$D185)-INT($E$25*(6-1)/$D185))*$C185/1000</f>
        <v>2.94089</v>
      </c>
      <c r="K185" s="42">
        <f>(INT($E$25*7/$D185)-INT($E$25*(7-1)/$D185))*$C185/1000</f>
        <v>2.94089</v>
      </c>
      <c r="L185" s="42">
        <f>(INT($E$25*8/$D185)-INT($E$25*(8-1)/$D185))*$C185/1000</f>
        <v>2.94089</v>
      </c>
      <c r="M185" s="42">
        <f>(INT($E$25*9/$D185)-INT($E$25*(9-1)/$D185))*$C185/1000</f>
        <v>0.0</v>
      </c>
      <c r="N185" s="42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44" t="n">
        <v>3810.03</v>
      </c>
      <c r="D186" s="43" t="n">
        <v>15000</v>
      </c>
      <c r="E186" s="42">
        <f>(INT($E$25*1/$D186)-INT($E$25*(1-1)/$D186))*$C186/1000</f>
        <v>0.0</v>
      </c>
      <c r="F186" s="42">
        <f>(INT($E$25*2/$D186)-INT($E$25*(2-1)/$D186))*$C186/1000</f>
        <v>0.0</v>
      </c>
      <c r="G186" s="42">
        <f>(INT($E$25*3/$D186)-INT($E$25*(3-1)/$D186))*$C186/1000</f>
        <v>3.8100300000000002</v>
      </c>
      <c r="H186" s="42">
        <f>(INT($E$25*4/$D186)-INT($E$25*(4-1)/$D186))*$C186/1000</f>
        <v>0.0</v>
      </c>
      <c r="I186" s="42">
        <f>(INT($E$25*5/$D186)-INT($E$25*(5-1)/$D186))*$C186/1000</f>
        <v>3.8100300000000002</v>
      </c>
      <c r="J186" s="42">
        <f>(INT($E$25*6/$D186)-INT($E$25*(6-1)/$D186))*$C186/1000</f>
        <v>0.0</v>
      </c>
      <c r="K186" s="42">
        <f>(INT($E$25*7/$D186)-INT($E$25*(7-1)/$D186))*$C186/1000</f>
        <v>3.8100300000000002</v>
      </c>
      <c r="L186" s="42">
        <f>(INT($E$25*8/$D186)-INT($E$25*(8-1)/$D186))*$C186/1000</f>
        <v>0.0</v>
      </c>
      <c r="M186" s="42">
        <f>(INT($E$25*9/$D186)-INT($E$25*(9-1)/$D186))*$C186/1000</f>
        <v>3.8100300000000002</v>
      </c>
      <c r="N186" s="42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44" t="n">
        <v>1497.69</v>
      </c>
      <c r="D187" s="43" t="n">
        <v>15000</v>
      </c>
      <c r="E187" s="42">
        <f>(INT($E$25*1/$D187)-INT($E$25*(1-1)/$D187))*$C187/1000</f>
        <v>0.0</v>
      </c>
      <c r="F187" s="42">
        <f>(INT($E$25*2/$D187)-INT($E$25*(2-1)/$D187))*$C187/1000</f>
        <v>0.0</v>
      </c>
      <c r="G187" s="42">
        <f>(INT($E$25*3/$D187)-INT($E$25*(3-1)/$D187))*$C187/1000</f>
        <v>1.49769</v>
      </c>
      <c r="H187" s="42">
        <f>(INT($E$25*4/$D187)-INT($E$25*(4-1)/$D187))*$C187/1000</f>
        <v>0.0</v>
      </c>
      <c r="I187" s="42">
        <f>(INT($E$25*5/$D187)-INT($E$25*(5-1)/$D187))*$C187/1000</f>
        <v>1.49769</v>
      </c>
      <c r="J187" s="42">
        <f>(INT($E$25*6/$D187)-INT($E$25*(6-1)/$D187))*$C187/1000</f>
        <v>0.0</v>
      </c>
      <c r="K187" s="42">
        <f>(INT($E$25*7/$D187)-INT($E$25*(7-1)/$D187))*$C187/1000</f>
        <v>1.49769</v>
      </c>
      <c r="L187" s="42">
        <f>(INT($E$25*8/$D187)-INT($E$25*(8-1)/$D187))*$C187/1000</f>
        <v>0.0</v>
      </c>
      <c r="M187" s="42">
        <f>(INT($E$25*9/$D187)-INT($E$25*(9-1)/$D187))*$C187/1000</f>
        <v>1.49769</v>
      </c>
      <c r="N187" s="42">
        <f>(INT($E$25*10/$D187)-INT($E$25*(10-1)/$D187))*$C187/1000</f>
        <v>0.0</v>
      </c>
    </row>
    <row r="188">
      <c r="B188" s="45" t="inlineStr">
        <is>
          <t>ИТОГО</t>
        </is>
      </c>
      <c r="E188" s="42">
        <f>SUM(E129:E187)</f>
        <v>7.382379999999999</v>
      </c>
      <c r="F188" s="42">
        <f>SUM(F129:F187)</f>
        <v>204.26495</v>
      </c>
      <c r="G188" s="42">
        <f>SUM(G129:G187)</f>
        <v>438.81584</v>
      </c>
      <c r="H188" s="42">
        <f>SUM(H129:H187)</f>
        <v>434.86339000000004</v>
      </c>
      <c r="I188" s="42">
        <f>SUM(I129:I187)</f>
        <v>610.36746</v>
      </c>
      <c r="J188" s="42">
        <f>SUM(J129:J187)</f>
        <v>366.36175000000003</v>
      </c>
      <c r="K188" s="42">
        <f>SUM(K129:K187)</f>
        <v>590.25823</v>
      </c>
      <c r="L188" s="42">
        <f>SUM(L129:L187)</f>
        <v>224.66392</v>
      </c>
      <c r="M188" s="42">
        <f>SUM(M129:M187)</f>
        <v>774.55654</v>
      </c>
      <c r="N188" s="42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44" t="n">
        <v>8</v>
      </c>
      <c r="D192" s="43" t="n">
        <v>12000</v>
      </c>
      <c r="E192" s="42">
        <f>(INT($E$25*1/$D192)-INT($E$25*(1-1)/$D192))*$C192</f>
        <v>0.0</v>
      </c>
      <c r="F192" s="42">
        <f>(INT($E$25*2/$D192)-INT($E$25*(2-1)/$D192))*$C192</f>
        <v>8.0</v>
      </c>
      <c r="G192" s="42">
        <f>(INT($E$25*3/$D192)-INT($E$25*(3-1)/$D192))*$C192</f>
        <v>0.0</v>
      </c>
      <c r="H192" s="42">
        <f>(INT($E$25*4/$D192)-INT($E$25*(4-1)/$D192))*$C192</f>
        <v>8.0</v>
      </c>
      <c r="I192" s="42">
        <f>(INT($E$25*5/$D192)-INT($E$25*(5-1)/$D192))*$C192</f>
        <v>0.0</v>
      </c>
      <c r="J192" s="42">
        <f>(INT($E$25*6/$D192)-INT($E$25*(6-1)/$D192))*$C192</f>
        <v>8.0</v>
      </c>
      <c r="K192" s="42">
        <f>(INT($E$25*7/$D192)-INT($E$25*(7-1)/$D192))*$C192</f>
        <v>8.0</v>
      </c>
      <c r="L192" s="42">
        <f>(INT($E$25*8/$D192)-INT($E$25*(8-1)/$D192))*$C192</f>
        <v>0.0</v>
      </c>
      <c r="M192" s="42">
        <f>(INT($E$25*9/$D192)-INT($E$25*(9-1)/$D192))*$C192</f>
        <v>8.0</v>
      </c>
      <c r="N192" s="42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44" t="n">
        <v>10</v>
      </c>
      <c r="D193" s="43" t="n">
        <v>11000</v>
      </c>
      <c r="E193" s="42">
        <f>(INT($E$25*1/$D193)-INT($E$25*(1-1)/$D193))*$C193</f>
        <v>0.0</v>
      </c>
      <c r="F193" s="42">
        <f>(INT($E$25*2/$D193)-INT($E$25*(2-1)/$D193))*$C193</f>
        <v>10.0</v>
      </c>
      <c r="G193" s="42">
        <f>(INT($E$25*3/$D193)-INT($E$25*(3-1)/$D193))*$C193</f>
        <v>0.0</v>
      </c>
      <c r="H193" s="42">
        <f>(INT($E$25*4/$D193)-INT($E$25*(4-1)/$D193))*$C193</f>
        <v>10.0</v>
      </c>
      <c r="I193" s="42">
        <f>(INT($E$25*5/$D193)-INT($E$25*(5-1)/$D193))*$C193</f>
        <v>10.0</v>
      </c>
      <c r="J193" s="42">
        <f>(INT($E$25*6/$D193)-INT($E$25*(6-1)/$D193))*$C193</f>
        <v>0.0</v>
      </c>
      <c r="K193" s="42">
        <f>(INT($E$25*7/$D193)-INT($E$25*(7-1)/$D193))*$C193</f>
        <v>10.0</v>
      </c>
      <c r="L193" s="42">
        <f>(INT($E$25*8/$D193)-INT($E$25*(8-1)/$D193))*$C193</f>
        <v>10.0</v>
      </c>
      <c r="M193" s="42">
        <f>(INT($E$25*9/$D193)-INT($E$25*(9-1)/$D193))*$C193</f>
        <v>0.0</v>
      </c>
      <c r="N193" s="42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44" t="n">
        <v>2</v>
      </c>
      <c r="D194" s="43" t="n">
        <v>12000</v>
      </c>
      <c r="E194" s="42">
        <f>(INT($E$25*1/$D194)-INT($E$25*(1-1)/$D194))*$C194</f>
        <v>0.0</v>
      </c>
      <c r="F194" s="42">
        <f>(INT($E$25*2/$D194)-INT($E$25*(2-1)/$D194))*$C194</f>
        <v>2.0</v>
      </c>
      <c r="G194" s="42">
        <f>(INT($E$25*3/$D194)-INT($E$25*(3-1)/$D194))*$C194</f>
        <v>0.0</v>
      </c>
      <c r="H194" s="42">
        <f>(INT($E$25*4/$D194)-INT($E$25*(4-1)/$D194))*$C194</f>
        <v>2.0</v>
      </c>
      <c r="I194" s="42">
        <f>(INT($E$25*5/$D194)-INT($E$25*(5-1)/$D194))*$C194</f>
        <v>0.0</v>
      </c>
      <c r="J194" s="42">
        <f>(INT($E$25*6/$D194)-INT($E$25*(6-1)/$D194))*$C194</f>
        <v>2.0</v>
      </c>
      <c r="K194" s="42">
        <f>(INT($E$25*7/$D194)-INT($E$25*(7-1)/$D194))*$C194</f>
        <v>2.0</v>
      </c>
      <c r="L194" s="42">
        <f>(INT($E$25*8/$D194)-INT($E$25*(8-1)/$D194))*$C194</f>
        <v>0.0</v>
      </c>
      <c r="M194" s="42">
        <f>(INT($E$25*9/$D194)-INT($E$25*(9-1)/$D194))*$C194</f>
        <v>2.0</v>
      </c>
      <c r="N194" s="42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44" t="n">
        <v>3.5</v>
      </c>
      <c r="D195" s="43" t="n">
        <v>8000</v>
      </c>
      <c r="E195" s="42">
        <f>(INT($E$25*1/$D195)-INT($E$25*(1-1)/$D195))*$C195</f>
        <v>0.0</v>
      </c>
      <c r="F195" s="42">
        <f>(INT($E$25*2/$D195)-INT($E$25*(2-1)/$D195))*$C195</f>
        <v>3.5</v>
      </c>
      <c r="G195" s="42">
        <f>(INT($E$25*3/$D195)-INT($E$25*(3-1)/$D195))*$C195</f>
        <v>3.5</v>
      </c>
      <c r="H195" s="42">
        <f>(INT($E$25*4/$D195)-INT($E$25*(4-1)/$D195))*$C195</f>
        <v>3.5</v>
      </c>
      <c r="I195" s="42">
        <f>(INT($E$25*5/$D195)-INT($E$25*(5-1)/$D195))*$C195</f>
        <v>3.5</v>
      </c>
      <c r="J195" s="42">
        <f>(INT($E$25*6/$D195)-INT($E$25*(6-1)/$D195))*$C195</f>
        <v>3.5</v>
      </c>
      <c r="K195" s="42">
        <f>(INT($E$25*7/$D195)-INT($E$25*(7-1)/$D195))*$C195</f>
        <v>3.5</v>
      </c>
      <c r="L195" s="42">
        <f>(INT($E$25*8/$D195)-INT($E$25*(8-1)/$D195))*$C195</f>
        <v>3.5</v>
      </c>
      <c r="M195" s="42">
        <f>(INT($E$25*9/$D195)-INT($E$25*(9-1)/$D195))*$C195</f>
        <v>0.0</v>
      </c>
      <c r="N195" s="42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44" t="n">
        <v>2.3</v>
      </c>
      <c r="D196" s="43" t="n">
        <v>25000</v>
      </c>
      <c r="E196" s="42">
        <f>(INT($E$25*1/$D196)-INT($E$25*(1-1)/$D196))*$C196</f>
        <v>0.0</v>
      </c>
      <c r="F196" s="42">
        <f>(INT($E$25*2/$D196)-INT($E$25*(2-1)/$D196))*$C196</f>
        <v>0.0</v>
      </c>
      <c r="G196" s="42">
        <f>(INT($E$25*3/$D196)-INT($E$25*(3-1)/$D196))*$C196</f>
        <v>0.0</v>
      </c>
      <c r="H196" s="42">
        <f>(INT($E$25*4/$D196)-INT($E$25*(4-1)/$D196))*$C196</f>
        <v>2.3</v>
      </c>
      <c r="I196" s="42">
        <f>(INT($E$25*5/$D196)-INT($E$25*(5-1)/$D196))*$C196</f>
        <v>0.0</v>
      </c>
      <c r="J196" s="42">
        <f>(INT($E$25*6/$D196)-INT($E$25*(6-1)/$D196))*$C196</f>
        <v>0.0</v>
      </c>
      <c r="K196" s="42">
        <f>(INT($E$25*7/$D196)-INT($E$25*(7-1)/$D196))*$C196</f>
        <v>0.0</v>
      </c>
      <c r="L196" s="42">
        <f>(INT($E$25*8/$D196)-INT($E$25*(8-1)/$D196))*$C196</f>
        <v>2.3</v>
      </c>
      <c r="M196" s="42">
        <f>(INT($E$25*9/$D196)-INT($E$25*(9-1)/$D196))*$C196</f>
        <v>0.0</v>
      </c>
      <c r="N196" s="42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44" t="n">
        <v>1.9</v>
      </c>
      <c r="D197" s="43" t="n">
        <v>22000</v>
      </c>
      <c r="E197" s="42">
        <f>(INT($E$25*1/$D197)-INT($E$25*(1-1)/$D197))*$C197</f>
        <v>0.0</v>
      </c>
      <c r="F197" s="42">
        <f>(INT($E$25*2/$D197)-INT($E$25*(2-1)/$D197))*$C197</f>
        <v>0.0</v>
      </c>
      <c r="G197" s="42">
        <f>(INT($E$25*3/$D197)-INT($E$25*(3-1)/$D197))*$C197</f>
        <v>0.0</v>
      </c>
      <c r="H197" s="42">
        <f>(INT($E$25*4/$D197)-INT($E$25*(4-1)/$D197))*$C197</f>
        <v>1.9</v>
      </c>
      <c r="I197" s="42">
        <f>(INT($E$25*5/$D197)-INT($E$25*(5-1)/$D197))*$C197</f>
        <v>0.0</v>
      </c>
      <c r="J197" s="42">
        <f>(INT($E$25*6/$D197)-INT($E$25*(6-1)/$D197))*$C197</f>
        <v>0.0</v>
      </c>
      <c r="K197" s="42">
        <f>(INT($E$25*7/$D197)-INT($E$25*(7-1)/$D197))*$C197</f>
        <v>1.9</v>
      </c>
      <c r="L197" s="42">
        <f>(INT($E$25*8/$D197)-INT($E$25*(8-1)/$D197))*$C197</f>
        <v>0.0</v>
      </c>
      <c r="M197" s="42">
        <f>(INT($E$25*9/$D197)-INT($E$25*(9-1)/$D197))*$C197</f>
        <v>0.0</v>
      </c>
      <c r="N197" s="42">
        <f>(INT($E$25*10/$D197)-INT($E$25*(10-1)/$D197))*$C197</f>
        <v>1.9</v>
      </c>
    </row>
    <row r="198">
      <c r="B198" s="22" t="inlineStr">
        <is>
          <t>VALVE,REGEN-HP (клапан)</t>
        </is>
      </c>
      <c r="C198" s="44" t="n">
        <v>1.5</v>
      </c>
      <c r="D198" s="43" t="n">
        <v>15000</v>
      </c>
      <c r="E198" s="42">
        <f>(INT($E$25*1/$D198)-INT($E$25*(1-1)/$D198))*$C198</f>
        <v>0.0</v>
      </c>
      <c r="F198" s="42">
        <f>(INT($E$25*2/$D198)-INT($E$25*(2-1)/$D198))*$C198</f>
        <v>0.0</v>
      </c>
      <c r="G198" s="42">
        <f>(INT($E$25*3/$D198)-INT($E$25*(3-1)/$D198))*$C198</f>
        <v>1.5</v>
      </c>
      <c r="H198" s="42">
        <f>(INT($E$25*4/$D198)-INT($E$25*(4-1)/$D198))*$C198</f>
        <v>0.0</v>
      </c>
      <c r="I198" s="42">
        <f>(INT($E$25*5/$D198)-INT($E$25*(5-1)/$D198))*$C198</f>
        <v>1.5</v>
      </c>
      <c r="J198" s="42">
        <f>(INT($E$25*6/$D198)-INT($E$25*(6-1)/$D198))*$C198</f>
        <v>0.0</v>
      </c>
      <c r="K198" s="42">
        <f>(INT($E$25*7/$D198)-INT($E$25*(7-1)/$D198))*$C198</f>
        <v>1.5</v>
      </c>
      <c r="L198" s="42">
        <f>(INT($E$25*8/$D198)-INT($E$25*(8-1)/$D198))*$C198</f>
        <v>0.0</v>
      </c>
      <c r="M198" s="42">
        <f>(INT($E$25*9/$D198)-INT($E$25*(9-1)/$D198))*$C198</f>
        <v>1.5</v>
      </c>
      <c r="N198" s="42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44" t="n">
        <v>10</v>
      </c>
      <c r="D199" s="43" t="n">
        <v>12500</v>
      </c>
      <c r="E199" s="42">
        <f>(INT($E$25*1/$D199)-INT($E$25*(1-1)/$D199))*$C199</f>
        <v>0.0</v>
      </c>
      <c r="F199" s="42">
        <f>(INT($E$25*2/$D199)-INT($E$25*(2-1)/$D199))*$C199</f>
        <v>10.0</v>
      </c>
      <c r="G199" s="42">
        <f>(INT($E$25*3/$D199)-INT($E$25*(3-1)/$D199))*$C199</f>
        <v>0.0</v>
      </c>
      <c r="H199" s="42">
        <f>(INT($E$25*4/$D199)-INT($E$25*(4-1)/$D199))*$C199</f>
        <v>10.0</v>
      </c>
      <c r="I199" s="42">
        <f>(INT($E$25*5/$D199)-INT($E$25*(5-1)/$D199))*$C199</f>
        <v>0.0</v>
      </c>
      <c r="J199" s="42">
        <f>(INT($E$25*6/$D199)-INT($E$25*(6-1)/$D199))*$C199</f>
        <v>10.0</v>
      </c>
      <c r="K199" s="42">
        <f>(INT($E$25*7/$D199)-INT($E$25*(7-1)/$D199))*$C199</f>
        <v>0.0</v>
      </c>
      <c r="L199" s="42">
        <f>(INT($E$25*8/$D199)-INT($E$25*(8-1)/$D199))*$C199</f>
        <v>10.0</v>
      </c>
      <c r="M199" s="42">
        <f>(INT($E$25*9/$D199)-INT($E$25*(9-1)/$D199))*$C199</f>
        <v>10.0</v>
      </c>
      <c r="N199" s="42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44" t="n">
        <v>0.8</v>
      </c>
      <c r="D200" s="43" t="n">
        <v>18000</v>
      </c>
      <c r="E200" s="42">
        <f>(INT($E$25*1/$D200)-INT($E$25*(1-1)/$D200))*$C200</f>
        <v>0.0</v>
      </c>
      <c r="F200" s="42">
        <f>(INT($E$25*2/$D200)-INT($E$25*(2-1)/$D200))*$C200</f>
        <v>0.0</v>
      </c>
      <c r="G200" s="42">
        <f>(INT($E$25*3/$D200)-INT($E$25*(3-1)/$D200))*$C200</f>
        <v>0.8</v>
      </c>
      <c r="H200" s="42">
        <f>(INT($E$25*4/$D200)-INT($E$25*(4-1)/$D200))*$C200</f>
        <v>0.0</v>
      </c>
      <c r="I200" s="42">
        <f>(INT($E$25*5/$D200)-INT($E$25*(5-1)/$D200))*$C200</f>
        <v>0.0</v>
      </c>
      <c r="J200" s="42">
        <f>(INT($E$25*6/$D200)-INT($E$25*(6-1)/$D200))*$C200</f>
        <v>0.8</v>
      </c>
      <c r="K200" s="42">
        <f>(INT($E$25*7/$D200)-INT($E$25*(7-1)/$D200))*$C200</f>
        <v>0.0</v>
      </c>
      <c r="L200" s="42">
        <f>(INT($E$25*8/$D200)-INT($E$25*(8-1)/$D200))*$C200</f>
        <v>0.8</v>
      </c>
      <c r="M200" s="42">
        <f>(INT($E$25*9/$D200)-INT($E$25*(9-1)/$D200))*$C200</f>
        <v>0.0</v>
      </c>
      <c r="N200" s="42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44" t="n">
        <v>5</v>
      </c>
      <c r="D201" s="43" t="n">
        <v>25000</v>
      </c>
      <c r="E201" s="42">
        <f>(INT($E$25*1/$D201)-INT($E$25*(1-1)/$D201))*$C201</f>
        <v>0.0</v>
      </c>
      <c r="F201" s="42">
        <f>(INT($E$25*2/$D201)-INT($E$25*(2-1)/$D201))*$C201</f>
        <v>0.0</v>
      </c>
      <c r="G201" s="42">
        <f>(INT($E$25*3/$D201)-INT($E$25*(3-1)/$D201))*$C201</f>
        <v>0.0</v>
      </c>
      <c r="H201" s="42">
        <f>(INT($E$25*4/$D201)-INT($E$25*(4-1)/$D201))*$C201</f>
        <v>5.0</v>
      </c>
      <c r="I201" s="42">
        <f>(INT($E$25*5/$D201)-INT($E$25*(5-1)/$D201))*$C201</f>
        <v>0.0</v>
      </c>
      <c r="J201" s="42">
        <f>(INT($E$25*6/$D201)-INT($E$25*(6-1)/$D201))*$C201</f>
        <v>0.0</v>
      </c>
      <c r="K201" s="42">
        <f>(INT($E$25*7/$D201)-INT($E$25*(7-1)/$D201))*$C201</f>
        <v>0.0</v>
      </c>
      <c r="L201" s="42">
        <f>(INT($E$25*8/$D201)-INT($E$25*(8-1)/$D201))*$C201</f>
        <v>5.0</v>
      </c>
      <c r="M201" s="42">
        <f>(INT($E$25*9/$D201)-INT($E$25*(9-1)/$D201))*$C201</f>
        <v>0.0</v>
      </c>
      <c r="N201" s="42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44" t="n">
        <v>2</v>
      </c>
      <c r="D202" s="43" t="n">
        <v>15100</v>
      </c>
      <c r="E202" s="42">
        <f>(INT($E$25*1/$D202)-INT($E$25*(1-1)/$D202))*$C202</f>
        <v>0.0</v>
      </c>
      <c r="F202" s="42">
        <f>(INT($E$25*2/$D202)-INT($E$25*(2-1)/$D202))*$C202</f>
        <v>0.0</v>
      </c>
      <c r="G202" s="42">
        <f>(INT($E$25*3/$D202)-INT($E$25*(3-1)/$D202))*$C202</f>
        <v>2.0</v>
      </c>
      <c r="H202" s="42">
        <f>(INT($E$25*4/$D202)-INT($E$25*(4-1)/$D202))*$C202</f>
        <v>0.0</v>
      </c>
      <c r="I202" s="42">
        <f>(INT($E$25*5/$D202)-INT($E$25*(5-1)/$D202))*$C202</f>
        <v>2.0</v>
      </c>
      <c r="J202" s="42">
        <f>(INT($E$25*6/$D202)-INT($E$25*(6-1)/$D202))*$C202</f>
        <v>0.0</v>
      </c>
      <c r="K202" s="42">
        <f>(INT($E$25*7/$D202)-INT($E$25*(7-1)/$D202))*$C202</f>
        <v>2.0</v>
      </c>
      <c r="L202" s="42">
        <f>(INT($E$25*8/$D202)-INT($E$25*(8-1)/$D202))*$C202</f>
        <v>0.0</v>
      </c>
      <c r="M202" s="42">
        <f>(INT($E$25*9/$D202)-INT($E$25*(9-1)/$D202))*$C202</f>
        <v>2.0</v>
      </c>
      <c r="N202" s="42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44" t="n">
        <v>2</v>
      </c>
      <c r="D203" s="43" t="n">
        <v>15100</v>
      </c>
      <c r="E203" s="42">
        <f>(INT($E$25*1/$D203)-INT($E$25*(1-1)/$D203))*$C203</f>
        <v>0.0</v>
      </c>
      <c r="F203" s="42">
        <f>(INT($E$25*2/$D203)-INT($E$25*(2-1)/$D203))*$C203</f>
        <v>0.0</v>
      </c>
      <c r="G203" s="42">
        <f>(INT($E$25*3/$D203)-INT($E$25*(3-1)/$D203))*$C203</f>
        <v>2.0</v>
      </c>
      <c r="H203" s="42">
        <f>(INT($E$25*4/$D203)-INT($E$25*(4-1)/$D203))*$C203</f>
        <v>0.0</v>
      </c>
      <c r="I203" s="42">
        <f>(INT($E$25*5/$D203)-INT($E$25*(5-1)/$D203))*$C203</f>
        <v>2.0</v>
      </c>
      <c r="J203" s="42">
        <f>(INT($E$25*6/$D203)-INT($E$25*(6-1)/$D203))*$C203</f>
        <v>0.0</v>
      </c>
      <c r="K203" s="42">
        <f>(INT($E$25*7/$D203)-INT($E$25*(7-1)/$D203))*$C203</f>
        <v>2.0</v>
      </c>
      <c r="L203" s="42">
        <f>(INT($E$25*8/$D203)-INT($E$25*(8-1)/$D203))*$C203</f>
        <v>0.0</v>
      </c>
      <c r="M203" s="42">
        <f>(INT($E$25*9/$D203)-INT($E$25*(9-1)/$D203))*$C203</f>
        <v>2.0</v>
      </c>
      <c r="N203" s="42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44" t="n">
        <v>3.5</v>
      </c>
      <c r="D204" s="43" t="n">
        <v>10100</v>
      </c>
      <c r="E204" s="42">
        <f>(INT($E$25*1/$D204)-INT($E$25*(1-1)/$D204))*$C204</f>
        <v>0.0</v>
      </c>
      <c r="F204" s="42">
        <f>(INT($E$25*2/$D204)-INT($E$25*(2-1)/$D204))*$C204</f>
        <v>3.5</v>
      </c>
      <c r="G204" s="42">
        <f>(INT($E$25*3/$D204)-INT($E$25*(3-1)/$D204))*$C204</f>
        <v>3.5</v>
      </c>
      <c r="H204" s="42">
        <f>(INT($E$25*4/$D204)-INT($E$25*(4-1)/$D204))*$C204</f>
        <v>0.0</v>
      </c>
      <c r="I204" s="42">
        <f>(INT($E$25*5/$D204)-INT($E$25*(5-1)/$D204))*$C204</f>
        <v>3.5</v>
      </c>
      <c r="J204" s="42">
        <f>(INT($E$25*6/$D204)-INT($E$25*(6-1)/$D204))*$C204</f>
        <v>3.5</v>
      </c>
      <c r="K204" s="42">
        <f>(INT($E$25*7/$D204)-INT($E$25*(7-1)/$D204))*$C204</f>
        <v>0.0</v>
      </c>
      <c r="L204" s="42">
        <f>(INT($E$25*8/$D204)-INT($E$25*(8-1)/$D204))*$C204</f>
        <v>3.5</v>
      </c>
      <c r="M204" s="42">
        <f>(INT($E$25*9/$D204)-INT($E$25*(9-1)/$D204))*$C204</f>
        <v>3.5</v>
      </c>
      <c r="N204" s="42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44" t="n">
        <v>2</v>
      </c>
      <c r="D205" s="43" t="n">
        <v>15000</v>
      </c>
      <c r="E205" s="42">
        <f>(INT($E$25*1/$D205)-INT($E$25*(1-1)/$D205))*$C205</f>
        <v>0.0</v>
      </c>
      <c r="F205" s="42">
        <f>(INT($E$25*2/$D205)-INT($E$25*(2-1)/$D205))*$C205</f>
        <v>0.0</v>
      </c>
      <c r="G205" s="42">
        <f>(INT($E$25*3/$D205)-INT($E$25*(3-1)/$D205))*$C205</f>
        <v>2.0</v>
      </c>
      <c r="H205" s="42">
        <f>(INT($E$25*4/$D205)-INT($E$25*(4-1)/$D205))*$C205</f>
        <v>0.0</v>
      </c>
      <c r="I205" s="42">
        <f>(INT($E$25*5/$D205)-INT($E$25*(5-1)/$D205))*$C205</f>
        <v>2.0</v>
      </c>
      <c r="J205" s="42">
        <f>(INT($E$25*6/$D205)-INT($E$25*(6-1)/$D205))*$C205</f>
        <v>0.0</v>
      </c>
      <c r="K205" s="42">
        <f>(INT($E$25*7/$D205)-INT($E$25*(7-1)/$D205))*$C205</f>
        <v>2.0</v>
      </c>
      <c r="L205" s="42">
        <f>(INT($E$25*8/$D205)-INT($E$25*(8-1)/$D205))*$C205</f>
        <v>0.0</v>
      </c>
      <c r="M205" s="42">
        <f>(INT($E$25*9/$D205)-INT($E$25*(9-1)/$D205))*$C205</f>
        <v>2.0</v>
      </c>
      <c r="N205" s="42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44" t="n">
        <v>2.97</v>
      </c>
      <c r="D206" s="43" t="n">
        <v>15000</v>
      </c>
      <c r="E206" s="42">
        <f>(INT($E$25*1/$D206)-INT($E$25*(1-1)/$D206))*$C206</f>
        <v>0.0</v>
      </c>
      <c r="F206" s="42">
        <f>(INT($E$25*2/$D206)-INT($E$25*(2-1)/$D206))*$C206</f>
        <v>0.0</v>
      </c>
      <c r="G206" s="42">
        <f>(INT($E$25*3/$D206)-INT($E$25*(3-1)/$D206))*$C206</f>
        <v>2.97</v>
      </c>
      <c r="H206" s="42">
        <f>(INT($E$25*4/$D206)-INT($E$25*(4-1)/$D206))*$C206</f>
        <v>0.0</v>
      </c>
      <c r="I206" s="42">
        <f>(INT($E$25*5/$D206)-INT($E$25*(5-1)/$D206))*$C206</f>
        <v>2.97</v>
      </c>
      <c r="J206" s="42">
        <f>(INT($E$25*6/$D206)-INT($E$25*(6-1)/$D206))*$C206</f>
        <v>0.0</v>
      </c>
      <c r="K206" s="42">
        <f>(INT($E$25*7/$D206)-INT($E$25*(7-1)/$D206))*$C206</f>
        <v>2.97</v>
      </c>
      <c r="L206" s="42">
        <f>(INT($E$25*8/$D206)-INT($E$25*(8-1)/$D206))*$C206</f>
        <v>0.0</v>
      </c>
      <c r="M206" s="42">
        <f>(INT($E$25*9/$D206)-INT($E$25*(9-1)/$D206))*$C206</f>
        <v>2.97</v>
      </c>
      <c r="N206" s="42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44" t="n">
        <v>1.5</v>
      </c>
      <c r="D207" s="43" t="n">
        <v>8000</v>
      </c>
      <c r="E207" s="42">
        <f>(INT($E$25*1/$D207)-INT($E$25*(1-1)/$D207))*$C207</f>
        <v>0.0</v>
      </c>
      <c r="F207" s="42">
        <f>(INT($E$25*2/$D207)-INT($E$25*(2-1)/$D207))*$C207</f>
        <v>1.5</v>
      </c>
      <c r="G207" s="42">
        <f>(INT($E$25*3/$D207)-INT($E$25*(3-1)/$D207))*$C207</f>
        <v>1.5</v>
      </c>
      <c r="H207" s="42">
        <f>(INT($E$25*4/$D207)-INT($E$25*(4-1)/$D207))*$C207</f>
        <v>1.5</v>
      </c>
      <c r="I207" s="42">
        <f>(INT($E$25*5/$D207)-INT($E$25*(5-1)/$D207))*$C207</f>
        <v>1.5</v>
      </c>
      <c r="J207" s="42">
        <f>(INT($E$25*6/$D207)-INT($E$25*(6-1)/$D207))*$C207</f>
        <v>1.5</v>
      </c>
      <c r="K207" s="42">
        <f>(INT($E$25*7/$D207)-INT($E$25*(7-1)/$D207))*$C207</f>
        <v>1.5</v>
      </c>
      <c r="L207" s="42">
        <f>(INT($E$25*8/$D207)-INT($E$25*(8-1)/$D207))*$C207</f>
        <v>1.5</v>
      </c>
      <c r="M207" s="42">
        <f>(INT($E$25*9/$D207)-INT($E$25*(9-1)/$D207))*$C207</f>
        <v>0.0</v>
      </c>
      <c r="N207" s="42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44" t="n">
        <v>22.68</v>
      </c>
      <c r="D208" s="43" t="n">
        <v>14900</v>
      </c>
      <c r="E208" s="42">
        <f>(INT($E$25*1/$D208)-INT($E$25*(1-1)/$D208))*$C208</f>
        <v>0.0</v>
      </c>
      <c r="F208" s="42">
        <f>(INT($E$25*2/$D208)-INT($E$25*(2-1)/$D208))*$C208</f>
        <v>0.0</v>
      </c>
      <c r="G208" s="42">
        <f>(INT($E$25*3/$D208)-INT($E$25*(3-1)/$D208))*$C208</f>
        <v>22.68</v>
      </c>
      <c r="H208" s="42">
        <f>(INT($E$25*4/$D208)-INT($E$25*(4-1)/$D208))*$C208</f>
        <v>0.0</v>
      </c>
      <c r="I208" s="42">
        <f>(INT($E$25*5/$D208)-INT($E$25*(5-1)/$D208))*$C208</f>
        <v>22.68</v>
      </c>
      <c r="J208" s="42">
        <f>(INT($E$25*6/$D208)-INT($E$25*(6-1)/$D208))*$C208</f>
        <v>0.0</v>
      </c>
      <c r="K208" s="42">
        <f>(INT($E$25*7/$D208)-INT($E$25*(7-1)/$D208))*$C208</f>
        <v>22.68</v>
      </c>
      <c r="L208" s="42">
        <f>(INT($E$25*8/$D208)-INT($E$25*(8-1)/$D208))*$C208</f>
        <v>0.0</v>
      </c>
      <c r="M208" s="42">
        <f>(INT($E$25*9/$D208)-INT($E$25*(9-1)/$D208))*$C208</f>
        <v>22.68</v>
      </c>
      <c r="N208" s="42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44" t="n">
        <v>19.5</v>
      </c>
      <c r="D209" s="43" t="n">
        <v>14900</v>
      </c>
      <c r="E209" s="42">
        <f>(INT($E$25*1/$D209)-INT($E$25*(1-1)/$D209))*$C209</f>
        <v>0.0</v>
      </c>
      <c r="F209" s="42">
        <f>(INT($E$25*2/$D209)-INT($E$25*(2-1)/$D209))*$C209</f>
        <v>0.0</v>
      </c>
      <c r="G209" s="42">
        <f>(INT($E$25*3/$D209)-INT($E$25*(3-1)/$D209))*$C209</f>
        <v>19.5</v>
      </c>
      <c r="H209" s="42">
        <f>(INT($E$25*4/$D209)-INT($E$25*(4-1)/$D209))*$C209</f>
        <v>0.0</v>
      </c>
      <c r="I209" s="42">
        <f>(INT($E$25*5/$D209)-INT($E$25*(5-1)/$D209))*$C209</f>
        <v>19.5</v>
      </c>
      <c r="J209" s="42">
        <f>(INT($E$25*6/$D209)-INT($E$25*(6-1)/$D209))*$C209</f>
        <v>0.0</v>
      </c>
      <c r="K209" s="42">
        <f>(INT($E$25*7/$D209)-INT($E$25*(7-1)/$D209))*$C209</f>
        <v>19.5</v>
      </c>
      <c r="L209" s="42">
        <f>(INT($E$25*8/$D209)-INT($E$25*(8-1)/$D209))*$C209</f>
        <v>0.0</v>
      </c>
      <c r="M209" s="42">
        <f>(INT($E$25*9/$D209)-INT($E$25*(9-1)/$D209))*$C209</f>
        <v>19.5</v>
      </c>
      <c r="N209" s="42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44" t="n">
        <v>10.6</v>
      </c>
      <c r="D210" s="43" t="n">
        <v>10400</v>
      </c>
      <c r="E210" s="42">
        <f>(INT($E$25*1/$D210)-INT($E$25*(1-1)/$D210))*$C210</f>
        <v>0.0</v>
      </c>
      <c r="F210" s="42">
        <f>(INT($E$25*2/$D210)-INT($E$25*(2-1)/$D210))*$C210</f>
        <v>10.6</v>
      </c>
      <c r="G210" s="42">
        <f>(INT($E$25*3/$D210)-INT($E$25*(3-1)/$D210))*$C210</f>
        <v>10.6</v>
      </c>
      <c r="H210" s="42">
        <f>(INT($E$25*4/$D210)-INT($E$25*(4-1)/$D210))*$C210</f>
        <v>0.0</v>
      </c>
      <c r="I210" s="42">
        <f>(INT($E$25*5/$D210)-INT($E$25*(5-1)/$D210))*$C210</f>
        <v>10.6</v>
      </c>
      <c r="J210" s="42">
        <f>(INT($E$25*6/$D210)-INT($E$25*(6-1)/$D210))*$C210</f>
        <v>10.6</v>
      </c>
      <c r="K210" s="42">
        <f>(INT($E$25*7/$D210)-INT($E$25*(7-1)/$D210))*$C210</f>
        <v>0.0</v>
      </c>
      <c r="L210" s="42">
        <f>(INT($E$25*8/$D210)-INT($E$25*(8-1)/$D210))*$C210</f>
        <v>10.6</v>
      </c>
      <c r="M210" s="42">
        <f>(INT($E$25*9/$D210)-INT($E$25*(9-1)/$D210))*$C210</f>
        <v>10.6</v>
      </c>
      <c r="N210" s="42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44" t="n">
        <v>6.6</v>
      </c>
      <c r="D211" s="43" t="n">
        <v>12000</v>
      </c>
      <c r="E211" s="42">
        <f>(INT($E$25*1/$D211)-INT($E$25*(1-1)/$D211))*$C211</f>
        <v>0.0</v>
      </c>
      <c r="F211" s="42">
        <f>(INT($E$25*2/$D211)-INT($E$25*(2-1)/$D211))*$C211</f>
        <v>6.6</v>
      </c>
      <c r="G211" s="42">
        <f>(INT($E$25*3/$D211)-INT($E$25*(3-1)/$D211))*$C211</f>
        <v>0.0</v>
      </c>
      <c r="H211" s="42">
        <f>(INT($E$25*4/$D211)-INT($E$25*(4-1)/$D211))*$C211</f>
        <v>6.6</v>
      </c>
      <c r="I211" s="42">
        <f>(INT($E$25*5/$D211)-INT($E$25*(5-1)/$D211))*$C211</f>
        <v>0.0</v>
      </c>
      <c r="J211" s="42">
        <f>(INT($E$25*6/$D211)-INT($E$25*(6-1)/$D211))*$C211</f>
        <v>6.6</v>
      </c>
      <c r="K211" s="42">
        <f>(INT($E$25*7/$D211)-INT($E$25*(7-1)/$D211))*$C211</f>
        <v>6.6</v>
      </c>
      <c r="L211" s="42">
        <f>(INT($E$25*8/$D211)-INT($E$25*(8-1)/$D211))*$C211</f>
        <v>0.0</v>
      </c>
      <c r="M211" s="42">
        <f>(INT($E$25*9/$D211)-INT($E$25*(9-1)/$D211))*$C211</f>
        <v>6.6</v>
      </c>
      <c r="N211" s="42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44" t="n">
        <v>1.1</v>
      </c>
      <c r="D212" s="43" t="n">
        <v>8000</v>
      </c>
      <c r="E212" s="42">
        <f>(INT($E$25*1/$D212)-INT($E$25*(1-1)/$D212))*$C212</f>
        <v>0.0</v>
      </c>
      <c r="F212" s="42">
        <f>(INT($E$25*2/$D212)-INT($E$25*(2-1)/$D212))*$C212</f>
        <v>1.1</v>
      </c>
      <c r="G212" s="42">
        <f>(INT($E$25*3/$D212)-INT($E$25*(3-1)/$D212))*$C212</f>
        <v>1.1</v>
      </c>
      <c r="H212" s="42">
        <f>(INT($E$25*4/$D212)-INT($E$25*(4-1)/$D212))*$C212</f>
        <v>1.1</v>
      </c>
      <c r="I212" s="42">
        <f>(INT($E$25*5/$D212)-INT($E$25*(5-1)/$D212))*$C212</f>
        <v>1.1</v>
      </c>
      <c r="J212" s="42">
        <f>(INT($E$25*6/$D212)-INT($E$25*(6-1)/$D212))*$C212</f>
        <v>1.1</v>
      </c>
      <c r="K212" s="42">
        <f>(INT($E$25*7/$D212)-INT($E$25*(7-1)/$D212))*$C212</f>
        <v>1.1</v>
      </c>
      <c r="L212" s="42">
        <f>(INT($E$25*8/$D212)-INT($E$25*(8-1)/$D212))*$C212</f>
        <v>1.1</v>
      </c>
      <c r="M212" s="42">
        <f>(INT($E$25*9/$D212)-INT($E$25*(9-1)/$D212))*$C212</f>
        <v>0.0</v>
      </c>
      <c r="N212" s="42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44" t="n">
        <v>1.1</v>
      </c>
      <c r="D213" s="43" t="n">
        <v>8000</v>
      </c>
      <c r="E213" s="42">
        <f>(INT($E$25*1/$D213)-INT($E$25*(1-1)/$D213))*$C213</f>
        <v>0.0</v>
      </c>
      <c r="F213" s="42">
        <f>(INT($E$25*2/$D213)-INT($E$25*(2-1)/$D213))*$C213</f>
        <v>1.1</v>
      </c>
      <c r="G213" s="42">
        <f>(INT($E$25*3/$D213)-INT($E$25*(3-1)/$D213))*$C213</f>
        <v>1.1</v>
      </c>
      <c r="H213" s="42">
        <f>(INT($E$25*4/$D213)-INT($E$25*(4-1)/$D213))*$C213</f>
        <v>1.1</v>
      </c>
      <c r="I213" s="42">
        <f>(INT($E$25*5/$D213)-INT($E$25*(5-1)/$D213))*$C213</f>
        <v>1.1</v>
      </c>
      <c r="J213" s="42">
        <f>(INT($E$25*6/$D213)-INT($E$25*(6-1)/$D213))*$C213</f>
        <v>1.1</v>
      </c>
      <c r="K213" s="42">
        <f>(INT($E$25*7/$D213)-INT($E$25*(7-1)/$D213))*$C213</f>
        <v>1.1</v>
      </c>
      <c r="L213" s="42">
        <f>(INT($E$25*8/$D213)-INT($E$25*(8-1)/$D213))*$C213</f>
        <v>1.1</v>
      </c>
      <c r="M213" s="42">
        <f>(INT($E$25*9/$D213)-INT($E$25*(9-1)/$D213))*$C213</f>
        <v>0.0</v>
      </c>
      <c r="N213" s="42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44" t="n">
        <v>1.5</v>
      </c>
      <c r="D214" s="43" t="n">
        <v>10400</v>
      </c>
      <c r="E214" s="42">
        <f>(INT($E$25*1/$D214)-INT($E$25*(1-1)/$D214))*$C214</f>
        <v>0.0</v>
      </c>
      <c r="F214" s="42">
        <f>(INT($E$25*2/$D214)-INT($E$25*(2-1)/$D214))*$C214</f>
        <v>1.5</v>
      </c>
      <c r="G214" s="42">
        <f>(INT($E$25*3/$D214)-INT($E$25*(3-1)/$D214))*$C214</f>
        <v>1.5</v>
      </c>
      <c r="H214" s="42">
        <f>(INT($E$25*4/$D214)-INT($E$25*(4-1)/$D214))*$C214</f>
        <v>0.0</v>
      </c>
      <c r="I214" s="42">
        <f>(INT($E$25*5/$D214)-INT($E$25*(5-1)/$D214))*$C214</f>
        <v>1.5</v>
      </c>
      <c r="J214" s="42">
        <f>(INT($E$25*6/$D214)-INT($E$25*(6-1)/$D214))*$C214</f>
        <v>1.5</v>
      </c>
      <c r="K214" s="42">
        <f>(INT($E$25*7/$D214)-INT($E$25*(7-1)/$D214))*$C214</f>
        <v>0.0</v>
      </c>
      <c r="L214" s="42">
        <f>(INT($E$25*8/$D214)-INT($E$25*(8-1)/$D214))*$C214</f>
        <v>1.5</v>
      </c>
      <c r="M214" s="42">
        <f>(INT($E$25*9/$D214)-INT($E$25*(9-1)/$D214))*$C214</f>
        <v>1.5</v>
      </c>
      <c r="N214" s="42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44" t="n">
        <v>0.9</v>
      </c>
      <c r="D215" s="43" t="n">
        <v>8000</v>
      </c>
      <c r="E215" s="42">
        <f>(INT($E$25*1/$D215)-INT($E$25*(1-1)/$D215))*$C215</f>
        <v>0.0</v>
      </c>
      <c r="F215" s="42">
        <f>(INT($E$25*2/$D215)-INT($E$25*(2-1)/$D215))*$C215</f>
        <v>0.9</v>
      </c>
      <c r="G215" s="42">
        <f>(INT($E$25*3/$D215)-INT($E$25*(3-1)/$D215))*$C215</f>
        <v>0.9</v>
      </c>
      <c r="H215" s="42">
        <f>(INT($E$25*4/$D215)-INT($E$25*(4-1)/$D215))*$C215</f>
        <v>0.9</v>
      </c>
      <c r="I215" s="42">
        <f>(INT($E$25*5/$D215)-INT($E$25*(5-1)/$D215))*$C215</f>
        <v>0.9</v>
      </c>
      <c r="J215" s="42">
        <f>(INT($E$25*6/$D215)-INT($E$25*(6-1)/$D215))*$C215</f>
        <v>0.9</v>
      </c>
      <c r="K215" s="42">
        <f>(INT($E$25*7/$D215)-INT($E$25*(7-1)/$D215))*$C215</f>
        <v>0.9</v>
      </c>
      <c r="L215" s="42">
        <f>(INT($E$25*8/$D215)-INT($E$25*(8-1)/$D215))*$C215</f>
        <v>0.9</v>
      </c>
      <c r="M215" s="42">
        <f>(INT($E$25*9/$D215)-INT($E$25*(9-1)/$D215))*$C215</f>
        <v>0.0</v>
      </c>
      <c r="N215" s="42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44" t="n">
        <v>11</v>
      </c>
      <c r="D216" s="43" t="n">
        <v>18000</v>
      </c>
      <c r="E216" s="42">
        <f>(INT($E$25*1/$D216)-INT($E$25*(1-1)/$D216))*$C216</f>
        <v>0.0</v>
      </c>
      <c r="F216" s="42">
        <f>(INT($E$25*2/$D216)-INT($E$25*(2-1)/$D216))*$C216</f>
        <v>0.0</v>
      </c>
      <c r="G216" s="42">
        <f>(INT($E$25*3/$D216)-INT($E$25*(3-1)/$D216))*$C216</f>
        <v>11.0</v>
      </c>
      <c r="H216" s="42">
        <f>(INT($E$25*4/$D216)-INT($E$25*(4-1)/$D216))*$C216</f>
        <v>0.0</v>
      </c>
      <c r="I216" s="42">
        <f>(INT($E$25*5/$D216)-INT($E$25*(5-1)/$D216))*$C216</f>
        <v>0.0</v>
      </c>
      <c r="J216" s="42">
        <f>(INT($E$25*6/$D216)-INT($E$25*(6-1)/$D216))*$C216</f>
        <v>11.0</v>
      </c>
      <c r="K216" s="42">
        <f>(INT($E$25*7/$D216)-INT($E$25*(7-1)/$D216))*$C216</f>
        <v>0.0</v>
      </c>
      <c r="L216" s="42">
        <f>(INT($E$25*8/$D216)-INT($E$25*(8-1)/$D216))*$C216</f>
        <v>11.0</v>
      </c>
      <c r="M216" s="42">
        <f>(INT($E$25*9/$D216)-INT($E$25*(9-1)/$D216))*$C216</f>
        <v>0.0</v>
      </c>
      <c r="N216" s="42">
        <f>(INT($E$25*10/$D216)-INT($E$25*(10-1)/$D216))*$C216</f>
        <v>0.0</v>
      </c>
    </row>
    <row r="217">
      <c r="B217" s="22" t="inlineStr">
        <is>
          <t>AIREND (компрессор)</t>
        </is>
      </c>
      <c r="C217" s="44" t="n">
        <v>8</v>
      </c>
      <c r="D217" s="43" t="n">
        <v>30000</v>
      </c>
      <c r="E217" s="42">
        <f>(INT($E$25*1/$D217)-INT($E$25*(1-1)/$D217))*$C217</f>
        <v>0.0</v>
      </c>
      <c r="F217" s="42">
        <f>(INT($E$25*2/$D217)-INT($E$25*(2-1)/$D217))*$C217</f>
        <v>0.0</v>
      </c>
      <c r="G217" s="42">
        <f>(INT($E$25*3/$D217)-INT($E$25*(3-1)/$D217))*$C217</f>
        <v>0.0</v>
      </c>
      <c r="H217" s="42">
        <f>(INT($E$25*4/$D217)-INT($E$25*(4-1)/$D217))*$C217</f>
        <v>0.0</v>
      </c>
      <c r="I217" s="42">
        <f>(INT($E$25*5/$D217)-INT($E$25*(5-1)/$D217))*$C217</f>
        <v>8.0</v>
      </c>
      <c r="J217" s="42">
        <f>(INT($E$25*6/$D217)-INT($E$25*(6-1)/$D217))*$C217</f>
        <v>0.0</v>
      </c>
      <c r="K217" s="42">
        <f>(INT($E$25*7/$D217)-INT($E$25*(7-1)/$D217))*$C217</f>
        <v>0.0</v>
      </c>
      <c r="L217" s="42">
        <f>(INT($E$25*8/$D217)-INT($E$25*(8-1)/$D217))*$C217</f>
        <v>0.0</v>
      </c>
      <c r="M217" s="42">
        <f>(INT($E$25*9/$D217)-INT($E$25*(9-1)/$D217))*$C217</f>
        <v>8.0</v>
      </c>
      <c r="N217" s="42">
        <f>(INT($E$25*10/$D217)-INT($E$25*(10-1)/$D217))*$C217</f>
        <v>0.0</v>
      </c>
    </row>
    <row r="218">
      <c r="B218" s="22" t="inlineStr">
        <is>
          <t>COUPLING (муфта)</t>
        </is>
      </c>
      <c r="C218" s="44" t="n">
        <v>8.300000000000001</v>
      </c>
      <c r="D218" s="43" t="n">
        <v>20000</v>
      </c>
      <c r="E218" s="42">
        <f>(INT($E$25*1/$D218)-INT($E$25*(1-1)/$D218))*$C218</f>
        <v>0.0</v>
      </c>
      <c r="F218" s="42">
        <f>(INT($E$25*2/$D218)-INT($E$25*(2-1)/$D218))*$C218</f>
        <v>0.0</v>
      </c>
      <c r="G218" s="42">
        <f>(INT($E$25*3/$D218)-INT($E$25*(3-1)/$D218))*$C218</f>
        <v>8.3</v>
      </c>
      <c r="H218" s="42">
        <f>(INT($E$25*4/$D218)-INT($E$25*(4-1)/$D218))*$C218</f>
        <v>0.0</v>
      </c>
      <c r="I218" s="42">
        <f>(INT($E$25*5/$D218)-INT($E$25*(5-1)/$D218))*$C218</f>
        <v>0.0</v>
      </c>
      <c r="J218" s="42">
        <f>(INT($E$25*6/$D218)-INT($E$25*(6-1)/$D218))*$C218</f>
        <v>8.3</v>
      </c>
      <c r="K218" s="42">
        <f>(INT($E$25*7/$D218)-INT($E$25*(7-1)/$D218))*$C218</f>
        <v>0.0</v>
      </c>
      <c r="L218" s="42">
        <f>(INT($E$25*8/$D218)-INT($E$25*(8-1)/$D218))*$C218</f>
        <v>0.0</v>
      </c>
      <c r="M218" s="42">
        <f>(INT($E$25*9/$D218)-INT($E$25*(9-1)/$D218))*$C218</f>
        <v>8.3</v>
      </c>
      <c r="N218" s="42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44" t="n">
        <v>3.5</v>
      </c>
      <c r="D219" s="43" t="n">
        <v>10000</v>
      </c>
      <c r="E219" s="42">
        <f>(INT($E$25*1/$D219)-INT($E$25*(1-1)/$D219))*$C219</f>
        <v>0.0</v>
      </c>
      <c r="F219" s="42">
        <f>(INT($E$25*2/$D219)-INT($E$25*(2-1)/$D219))*$C219</f>
        <v>3.5</v>
      </c>
      <c r="G219" s="42">
        <f>(INT($E$25*3/$D219)-INT($E$25*(3-1)/$D219))*$C219</f>
        <v>3.5</v>
      </c>
      <c r="H219" s="42">
        <f>(INT($E$25*4/$D219)-INT($E$25*(4-1)/$D219))*$C219</f>
        <v>0.0</v>
      </c>
      <c r="I219" s="42">
        <f>(INT($E$25*5/$D219)-INT($E$25*(5-1)/$D219))*$C219</f>
        <v>3.5</v>
      </c>
      <c r="J219" s="42">
        <f>(INT($E$25*6/$D219)-INT($E$25*(6-1)/$D219))*$C219</f>
        <v>3.5</v>
      </c>
      <c r="K219" s="42">
        <f>(INT($E$25*7/$D219)-INT($E$25*(7-1)/$D219))*$C219</f>
        <v>0.0</v>
      </c>
      <c r="L219" s="42">
        <f>(INT($E$25*8/$D219)-INT($E$25*(8-1)/$D219))*$C219</f>
        <v>3.5</v>
      </c>
      <c r="M219" s="42">
        <f>(INT($E$25*9/$D219)-INT($E$25*(9-1)/$D219))*$C219</f>
        <v>3.5</v>
      </c>
      <c r="N219" s="42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44" t="n">
        <v>8</v>
      </c>
      <c r="D220" s="43" t="n">
        <v>20000</v>
      </c>
      <c r="E220" s="42">
        <f>(INT($E$25*1/$D220)-INT($E$25*(1-1)/$D220))*$C220</f>
        <v>0.0</v>
      </c>
      <c r="F220" s="42">
        <f>(INT($E$25*2/$D220)-INT($E$25*(2-1)/$D220))*$C220</f>
        <v>0.0</v>
      </c>
      <c r="G220" s="42">
        <f>(INT($E$25*3/$D220)-INT($E$25*(3-1)/$D220))*$C220</f>
        <v>8.0</v>
      </c>
      <c r="H220" s="42">
        <f>(INT($E$25*4/$D220)-INT($E$25*(4-1)/$D220))*$C220</f>
        <v>0.0</v>
      </c>
      <c r="I220" s="42">
        <f>(INT($E$25*5/$D220)-INT($E$25*(5-1)/$D220))*$C220</f>
        <v>0.0</v>
      </c>
      <c r="J220" s="42">
        <f>(INT($E$25*6/$D220)-INT($E$25*(6-1)/$D220))*$C220</f>
        <v>8.0</v>
      </c>
      <c r="K220" s="42">
        <f>(INT($E$25*7/$D220)-INT($E$25*(7-1)/$D220))*$C220</f>
        <v>0.0</v>
      </c>
      <c r="L220" s="42">
        <f>(INT($E$25*8/$D220)-INT($E$25*(8-1)/$D220))*$C220</f>
        <v>0.0</v>
      </c>
      <c r="M220" s="42">
        <f>(INT($E$25*9/$D220)-INT($E$25*(9-1)/$D220))*$C220</f>
        <v>8.0</v>
      </c>
      <c r="N220" s="42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44" t="n">
        <v>2.8</v>
      </c>
      <c r="D221" s="43" t="n">
        <v>22000</v>
      </c>
      <c r="E221" s="42">
        <f>(INT($E$25*1/$D221)-INT($E$25*(1-1)/$D221))*$C221</f>
        <v>0.0</v>
      </c>
      <c r="F221" s="42">
        <f>(INT($E$25*2/$D221)-INT($E$25*(2-1)/$D221))*$C221</f>
        <v>0.0</v>
      </c>
      <c r="G221" s="42">
        <f>(INT($E$25*3/$D221)-INT($E$25*(3-1)/$D221))*$C221</f>
        <v>0.0</v>
      </c>
      <c r="H221" s="42">
        <f>(INT($E$25*4/$D221)-INT($E$25*(4-1)/$D221))*$C221</f>
        <v>2.8</v>
      </c>
      <c r="I221" s="42">
        <f>(INT($E$25*5/$D221)-INT($E$25*(5-1)/$D221))*$C221</f>
        <v>0.0</v>
      </c>
      <c r="J221" s="42">
        <f>(INT($E$25*6/$D221)-INT($E$25*(6-1)/$D221))*$C221</f>
        <v>0.0</v>
      </c>
      <c r="K221" s="42">
        <f>(INT($E$25*7/$D221)-INT($E$25*(7-1)/$D221))*$C221</f>
        <v>2.8</v>
      </c>
      <c r="L221" s="42">
        <f>(INT($E$25*8/$D221)-INT($E$25*(8-1)/$D221))*$C221</f>
        <v>0.0</v>
      </c>
      <c r="M221" s="42">
        <f>(INT($E$25*9/$D221)-INT($E$25*(9-1)/$D221))*$C221</f>
        <v>0.0</v>
      </c>
      <c r="N221" s="42">
        <f>(INT($E$25*10/$D221)-INT($E$25*(10-1)/$D221))*$C221</f>
        <v>2.8</v>
      </c>
    </row>
    <row r="222">
      <c r="B222" s="22" t="inlineStr">
        <is>
          <t>SILENCER (глушитель)</t>
        </is>
      </c>
      <c r="C222" s="44" t="n">
        <v>2.1</v>
      </c>
      <c r="D222" s="43" t="n">
        <v>20000</v>
      </c>
      <c r="E222" s="42">
        <f>(INT($E$25*1/$D222)-INT($E$25*(1-1)/$D222))*$C222</f>
        <v>0.0</v>
      </c>
      <c r="F222" s="42">
        <f>(INT($E$25*2/$D222)-INT($E$25*(2-1)/$D222))*$C222</f>
        <v>0.0</v>
      </c>
      <c r="G222" s="42">
        <f>(INT($E$25*3/$D222)-INT($E$25*(3-1)/$D222))*$C222</f>
        <v>2.1</v>
      </c>
      <c r="H222" s="42">
        <f>(INT($E$25*4/$D222)-INT($E$25*(4-1)/$D222))*$C222</f>
        <v>0.0</v>
      </c>
      <c r="I222" s="42">
        <f>(INT($E$25*5/$D222)-INT($E$25*(5-1)/$D222))*$C222</f>
        <v>0.0</v>
      </c>
      <c r="J222" s="42">
        <f>(INT($E$25*6/$D222)-INT($E$25*(6-1)/$D222))*$C222</f>
        <v>2.1</v>
      </c>
      <c r="K222" s="42">
        <f>(INT($E$25*7/$D222)-INT($E$25*(7-1)/$D222))*$C222</f>
        <v>0.0</v>
      </c>
      <c r="L222" s="42">
        <f>(INT($E$25*8/$D222)-INT($E$25*(8-1)/$D222))*$C222</f>
        <v>0.0</v>
      </c>
      <c r="M222" s="42">
        <f>(INT($E$25*9/$D222)-INT($E$25*(9-1)/$D222))*$C222</f>
        <v>2.1</v>
      </c>
      <c r="N222" s="42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44" t="n">
        <v>1.7</v>
      </c>
      <c r="D223" s="43" t="n">
        <v>13000</v>
      </c>
      <c r="E223" s="42">
        <f>(INT($E$25*1/$D223)-INT($E$25*(1-1)/$D223))*$C223</f>
        <v>0.0</v>
      </c>
      <c r="F223" s="42">
        <f>(INT($E$25*2/$D223)-INT($E$25*(2-1)/$D223))*$C223</f>
        <v>1.7</v>
      </c>
      <c r="G223" s="42">
        <f>(INT($E$25*3/$D223)-INT($E$25*(3-1)/$D223))*$C223</f>
        <v>0.0</v>
      </c>
      <c r="H223" s="42">
        <f>(INT($E$25*4/$D223)-INT($E$25*(4-1)/$D223))*$C223</f>
        <v>1.7</v>
      </c>
      <c r="I223" s="42">
        <f>(INT($E$25*5/$D223)-INT($E$25*(5-1)/$D223))*$C223</f>
        <v>0.0</v>
      </c>
      <c r="J223" s="42">
        <f>(INT($E$25*6/$D223)-INT($E$25*(6-1)/$D223))*$C223</f>
        <v>1.7</v>
      </c>
      <c r="K223" s="42">
        <f>(INT($E$25*7/$D223)-INT($E$25*(7-1)/$D223))*$C223</f>
        <v>0.0</v>
      </c>
      <c r="L223" s="42">
        <f>(INT($E$25*8/$D223)-INT($E$25*(8-1)/$D223))*$C223</f>
        <v>1.7</v>
      </c>
      <c r="M223" s="42">
        <f>(INT($E$25*9/$D223)-INT($E$25*(9-1)/$D223))*$C223</f>
        <v>0.0</v>
      </c>
      <c r="N223" s="42">
        <f>(INT($E$25*10/$D223)-INT($E$25*(10-1)/$D223))*$C223</f>
        <v>1.7</v>
      </c>
    </row>
    <row r="224">
      <c r="B224" s="22" t="inlineStr">
        <is>
          <t>ENG (двигатель)</t>
        </is>
      </c>
      <c r="C224" s="44" t="n">
        <v>20</v>
      </c>
      <c r="D224" s="43" t="n">
        <v>30000</v>
      </c>
      <c r="E224" s="42">
        <f>(INT($E$25*1/$D224)-INT($E$25*(1-1)/$D224))*$C224</f>
        <v>0.0</v>
      </c>
      <c r="F224" s="42">
        <f>(INT($E$25*2/$D224)-INT($E$25*(2-1)/$D224))*$C224</f>
        <v>0.0</v>
      </c>
      <c r="G224" s="42">
        <f>(INT($E$25*3/$D224)-INT($E$25*(3-1)/$D224))*$C224</f>
        <v>0.0</v>
      </c>
      <c r="H224" s="42">
        <f>(INT($E$25*4/$D224)-INT($E$25*(4-1)/$D224))*$C224</f>
        <v>0.0</v>
      </c>
      <c r="I224" s="42">
        <f>(INT($E$25*5/$D224)-INT($E$25*(5-1)/$D224))*$C224</f>
        <v>20.0</v>
      </c>
      <c r="J224" s="42">
        <f>(INT($E$25*6/$D224)-INT($E$25*(6-1)/$D224))*$C224</f>
        <v>0.0</v>
      </c>
      <c r="K224" s="42">
        <f>(INT($E$25*7/$D224)-INT($E$25*(7-1)/$D224))*$C224</f>
        <v>0.0</v>
      </c>
      <c r="L224" s="42">
        <f>(INT($E$25*8/$D224)-INT($E$25*(8-1)/$D224))*$C224</f>
        <v>0.0</v>
      </c>
      <c r="M224" s="42">
        <f>(INT($E$25*9/$D224)-INT($E$25*(9-1)/$D224))*$C224</f>
        <v>20.0</v>
      </c>
      <c r="N224" s="42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44" t="n">
        <v>1</v>
      </c>
      <c r="D225" s="43" t="n">
        <v>11000</v>
      </c>
      <c r="E225" s="42">
        <f>(INT($E$25*1/$D225)-INT($E$25*(1-1)/$D225))*$C225</f>
        <v>0.0</v>
      </c>
      <c r="F225" s="42">
        <f>(INT($E$25*2/$D225)-INT($E$25*(2-1)/$D225))*$C225</f>
        <v>1.0</v>
      </c>
      <c r="G225" s="42">
        <f>(INT($E$25*3/$D225)-INT($E$25*(3-1)/$D225))*$C225</f>
        <v>0.0</v>
      </c>
      <c r="H225" s="42">
        <f>(INT($E$25*4/$D225)-INT($E$25*(4-1)/$D225))*$C225</f>
        <v>1.0</v>
      </c>
      <c r="I225" s="42">
        <f>(INT($E$25*5/$D225)-INT($E$25*(5-1)/$D225))*$C225</f>
        <v>1.0</v>
      </c>
      <c r="J225" s="42">
        <f>(INT($E$25*6/$D225)-INT($E$25*(6-1)/$D225))*$C225</f>
        <v>0.0</v>
      </c>
      <c r="K225" s="42">
        <f>(INT($E$25*7/$D225)-INT($E$25*(7-1)/$D225))*$C225</f>
        <v>1.0</v>
      </c>
      <c r="L225" s="42">
        <f>(INT($E$25*8/$D225)-INT($E$25*(8-1)/$D225))*$C225</f>
        <v>1.0</v>
      </c>
      <c r="M225" s="42">
        <f>(INT($E$25*9/$D225)-INT($E$25*(9-1)/$D225))*$C225</f>
        <v>0.0</v>
      </c>
      <c r="N225" s="42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44" t="n">
        <v>1.1</v>
      </c>
      <c r="D226" s="43" t="n">
        <v>11000</v>
      </c>
      <c r="E226" s="42">
        <f>(INT($E$25*1/$D226)-INT($E$25*(1-1)/$D226))*$C226</f>
        <v>0.0</v>
      </c>
      <c r="F226" s="42">
        <f>(INT($E$25*2/$D226)-INT($E$25*(2-1)/$D226))*$C226</f>
        <v>1.1</v>
      </c>
      <c r="G226" s="42">
        <f>(INT($E$25*3/$D226)-INT($E$25*(3-1)/$D226))*$C226</f>
        <v>0.0</v>
      </c>
      <c r="H226" s="42">
        <f>(INT($E$25*4/$D226)-INT($E$25*(4-1)/$D226))*$C226</f>
        <v>1.1</v>
      </c>
      <c r="I226" s="42">
        <f>(INT($E$25*5/$D226)-INT($E$25*(5-1)/$D226))*$C226</f>
        <v>1.1</v>
      </c>
      <c r="J226" s="42">
        <f>(INT($E$25*6/$D226)-INT($E$25*(6-1)/$D226))*$C226</f>
        <v>0.0</v>
      </c>
      <c r="K226" s="42">
        <f>(INT($E$25*7/$D226)-INT($E$25*(7-1)/$D226))*$C226</f>
        <v>1.1</v>
      </c>
      <c r="L226" s="42">
        <f>(INT($E$25*8/$D226)-INT($E$25*(8-1)/$D226))*$C226</f>
        <v>1.1</v>
      </c>
      <c r="M226" s="42">
        <f>(INT($E$25*9/$D226)-INT($E$25*(9-1)/$D226))*$C226</f>
        <v>0.0</v>
      </c>
      <c r="N226" s="42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44" t="n">
        <v>3.8</v>
      </c>
      <c r="D227" s="43" t="n">
        <v>11900</v>
      </c>
      <c r="E227" s="42">
        <f>(INT($E$25*1/$D227)-INT($E$25*(1-1)/$D227))*$C227</f>
        <v>0.0</v>
      </c>
      <c r="F227" s="42">
        <f>(INT($E$25*2/$D227)-INT($E$25*(2-1)/$D227))*$C227</f>
        <v>3.8</v>
      </c>
      <c r="G227" s="42">
        <f>(INT($E$25*3/$D227)-INT($E$25*(3-1)/$D227))*$C227</f>
        <v>0.0</v>
      </c>
      <c r="H227" s="42">
        <f>(INT($E$25*4/$D227)-INT($E$25*(4-1)/$D227))*$C227</f>
        <v>3.8</v>
      </c>
      <c r="I227" s="42">
        <f>(INT($E$25*5/$D227)-INT($E$25*(5-1)/$D227))*$C227</f>
        <v>0.0</v>
      </c>
      <c r="J227" s="42">
        <f>(INT($E$25*6/$D227)-INT($E$25*(6-1)/$D227))*$C227</f>
        <v>3.8</v>
      </c>
      <c r="K227" s="42">
        <f>(INT($E$25*7/$D227)-INT($E$25*(7-1)/$D227))*$C227</f>
        <v>3.8</v>
      </c>
      <c r="L227" s="42">
        <f>(INT($E$25*8/$D227)-INT($E$25*(8-1)/$D227))*$C227</f>
        <v>0.0</v>
      </c>
      <c r="M227" s="42">
        <f>(INT($E$25*9/$D227)-INT($E$25*(9-1)/$D227))*$C227</f>
        <v>3.8</v>
      </c>
      <c r="N227" s="42">
        <f>(INT($E$25*10/$D227)-INT($E$25*(10-1)/$D227))*$C227</f>
        <v>0.0</v>
      </c>
    </row>
    <row r="228">
      <c r="B228" s="22" t="inlineStr">
        <is>
          <t>DRIVE SHAFT (кардан)</t>
        </is>
      </c>
      <c r="C228" s="44" t="n">
        <v>2.5</v>
      </c>
      <c r="D228" s="43" t="n">
        <v>15000</v>
      </c>
      <c r="E228" s="42">
        <f>(INT($E$25*1/$D228)-INT($E$25*(1-1)/$D228))*$C228</f>
        <v>0.0</v>
      </c>
      <c r="F228" s="42">
        <f>(INT($E$25*2/$D228)-INT($E$25*(2-1)/$D228))*$C228</f>
        <v>0.0</v>
      </c>
      <c r="G228" s="42">
        <f>(INT($E$25*3/$D228)-INT($E$25*(3-1)/$D228))*$C228</f>
        <v>2.5</v>
      </c>
      <c r="H228" s="42">
        <f>(INT($E$25*4/$D228)-INT($E$25*(4-1)/$D228))*$C228</f>
        <v>0.0</v>
      </c>
      <c r="I228" s="42">
        <f>(INT($E$25*5/$D228)-INT($E$25*(5-1)/$D228))*$C228</f>
        <v>2.5</v>
      </c>
      <c r="J228" s="42">
        <f>(INT($E$25*6/$D228)-INT($E$25*(6-1)/$D228))*$C228</f>
        <v>0.0</v>
      </c>
      <c r="K228" s="42">
        <f>(INT($E$25*7/$D228)-INT($E$25*(7-1)/$D228))*$C228</f>
        <v>2.5</v>
      </c>
      <c r="L228" s="42">
        <f>(INT($E$25*8/$D228)-INT($E$25*(8-1)/$D228))*$C228</f>
        <v>0.0</v>
      </c>
      <c r="M228" s="42">
        <f>(INT($E$25*9/$D228)-INT($E$25*(9-1)/$D228))*$C228</f>
        <v>2.5</v>
      </c>
      <c r="N228" s="42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44" t="n">
        <v>16</v>
      </c>
      <c r="D229" s="43" t="n">
        <v>18000</v>
      </c>
      <c r="E229" s="42">
        <f>(INT($E$25*1/$D229)-INT($E$25*(1-1)/$D229))*$C229</f>
        <v>0.0</v>
      </c>
      <c r="F229" s="42">
        <f>(INT($E$25*2/$D229)-INT($E$25*(2-1)/$D229))*$C229</f>
        <v>0.0</v>
      </c>
      <c r="G229" s="42">
        <f>(INT($E$25*3/$D229)-INT($E$25*(3-1)/$D229))*$C229</f>
        <v>16.0</v>
      </c>
      <c r="H229" s="42">
        <f>(INT($E$25*4/$D229)-INT($E$25*(4-1)/$D229))*$C229</f>
        <v>0.0</v>
      </c>
      <c r="I229" s="42">
        <f>(INT($E$25*5/$D229)-INT($E$25*(5-1)/$D229))*$C229</f>
        <v>0.0</v>
      </c>
      <c r="J229" s="42">
        <f>(INT($E$25*6/$D229)-INT($E$25*(6-1)/$D229))*$C229</f>
        <v>16.0</v>
      </c>
      <c r="K229" s="42">
        <f>(INT($E$25*7/$D229)-INT($E$25*(7-1)/$D229))*$C229</f>
        <v>0.0</v>
      </c>
      <c r="L229" s="42">
        <f>(INT($E$25*8/$D229)-INT($E$25*(8-1)/$D229))*$C229</f>
        <v>16.0</v>
      </c>
      <c r="M229" s="42">
        <f>(INT($E$25*9/$D229)-INT($E$25*(9-1)/$D229))*$C229</f>
        <v>0.0</v>
      </c>
      <c r="N229" s="42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44" t="n">
        <v>20</v>
      </c>
      <c r="D230" s="43" t="n">
        <v>14000</v>
      </c>
      <c r="E230" s="42">
        <f>(INT($E$25*1/$D230)-INT($E$25*(1-1)/$D230))*$C230</f>
        <v>0.0</v>
      </c>
      <c r="F230" s="42">
        <f>(INT($E$25*2/$D230)-INT($E$25*(2-1)/$D230))*$C230</f>
        <v>20.0</v>
      </c>
      <c r="G230" s="42">
        <f>(INT($E$25*3/$D230)-INT($E$25*(3-1)/$D230))*$C230</f>
        <v>0.0</v>
      </c>
      <c r="H230" s="42">
        <f>(INT($E$25*4/$D230)-INT($E$25*(4-1)/$D230))*$C230</f>
        <v>20.0</v>
      </c>
      <c r="I230" s="42">
        <f>(INT($E$25*5/$D230)-INT($E$25*(5-1)/$D230))*$C230</f>
        <v>0.0</v>
      </c>
      <c r="J230" s="42">
        <f>(INT($E$25*6/$D230)-INT($E$25*(6-1)/$D230))*$C230</f>
        <v>20.0</v>
      </c>
      <c r="K230" s="42">
        <f>(INT($E$25*7/$D230)-INT($E$25*(7-1)/$D230))*$C230</f>
        <v>0.0</v>
      </c>
      <c r="L230" s="42">
        <f>(INT($E$25*8/$D230)-INT($E$25*(8-1)/$D230))*$C230</f>
        <v>20.0</v>
      </c>
      <c r="M230" s="42">
        <f>(INT($E$25*9/$D230)-INT($E$25*(9-1)/$D230))*$C230</f>
        <v>0.0</v>
      </c>
      <c r="N230" s="42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44" t="n">
        <v>3</v>
      </c>
      <c r="D231" s="43" t="n">
        <v>12000</v>
      </c>
      <c r="E231" s="42">
        <f>(INT($E$25*1/$D231)-INT($E$25*(1-1)/$D231))*$C231</f>
        <v>0.0</v>
      </c>
      <c r="F231" s="42">
        <f>(INT($E$25*2/$D231)-INT($E$25*(2-1)/$D231))*$C231</f>
        <v>3.0</v>
      </c>
      <c r="G231" s="42">
        <f>(INT($E$25*3/$D231)-INT($E$25*(3-1)/$D231))*$C231</f>
        <v>0.0</v>
      </c>
      <c r="H231" s="42">
        <f>(INT($E$25*4/$D231)-INT($E$25*(4-1)/$D231))*$C231</f>
        <v>3.0</v>
      </c>
      <c r="I231" s="42">
        <f>(INT($E$25*5/$D231)-INT($E$25*(5-1)/$D231))*$C231</f>
        <v>0.0</v>
      </c>
      <c r="J231" s="42">
        <f>(INT($E$25*6/$D231)-INT($E$25*(6-1)/$D231))*$C231</f>
        <v>3.0</v>
      </c>
      <c r="K231" s="42">
        <f>(INT($E$25*7/$D231)-INT($E$25*(7-1)/$D231))*$C231</f>
        <v>3.0</v>
      </c>
      <c r="L231" s="42">
        <f>(INT($E$25*8/$D231)-INT($E$25*(8-1)/$D231))*$C231</f>
        <v>0.0</v>
      </c>
      <c r="M231" s="42">
        <f>(INT($E$25*9/$D231)-INT($E$25*(9-1)/$D231))*$C231</f>
        <v>3.0</v>
      </c>
      <c r="N231" s="42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44" t="n">
        <v>23</v>
      </c>
      <c r="D232" s="43" t="n">
        <v>21000</v>
      </c>
      <c r="E232" s="42">
        <f>(INT($E$25*1/$D232)-INT($E$25*(1-1)/$D232))*$C232</f>
        <v>0.0</v>
      </c>
      <c r="F232" s="42">
        <f>(INT($E$25*2/$D232)-INT($E$25*(2-1)/$D232))*$C232</f>
        <v>0.0</v>
      </c>
      <c r="G232" s="42">
        <f>(INT($E$25*3/$D232)-INT($E$25*(3-1)/$D232))*$C232</f>
        <v>23.0</v>
      </c>
      <c r="H232" s="42">
        <f>(INT($E$25*4/$D232)-INT($E$25*(4-1)/$D232))*$C232</f>
        <v>0.0</v>
      </c>
      <c r="I232" s="42">
        <f>(INT($E$25*5/$D232)-INT($E$25*(5-1)/$D232))*$C232</f>
        <v>0.0</v>
      </c>
      <c r="J232" s="42">
        <f>(INT($E$25*6/$D232)-INT($E$25*(6-1)/$D232))*$C232</f>
        <v>23.0</v>
      </c>
      <c r="K232" s="42">
        <f>(INT($E$25*7/$D232)-INT($E$25*(7-1)/$D232))*$C232</f>
        <v>0.0</v>
      </c>
      <c r="L232" s="42">
        <f>(INT($E$25*8/$D232)-INT($E$25*(8-1)/$D232))*$C232</f>
        <v>0.0</v>
      </c>
      <c r="M232" s="42">
        <f>(INT($E$25*9/$D232)-INT($E$25*(9-1)/$D232))*$C232</f>
        <v>23.0</v>
      </c>
      <c r="N232" s="42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44" t="n">
        <v>11.2</v>
      </c>
      <c r="D233" s="43" t="n">
        <v>14000</v>
      </c>
      <c r="E233" s="42">
        <f>(INT($E$25*1/$D233)-INT($E$25*(1-1)/$D233))*$C233</f>
        <v>0.0</v>
      </c>
      <c r="F233" s="42">
        <f>(INT($E$25*2/$D233)-INT($E$25*(2-1)/$D233))*$C233</f>
        <v>11.2</v>
      </c>
      <c r="G233" s="42">
        <f>(INT($E$25*3/$D233)-INT($E$25*(3-1)/$D233))*$C233</f>
        <v>0.0</v>
      </c>
      <c r="H233" s="42">
        <f>(INT($E$25*4/$D233)-INT($E$25*(4-1)/$D233))*$C233</f>
        <v>11.2</v>
      </c>
      <c r="I233" s="42">
        <f>(INT($E$25*5/$D233)-INT($E$25*(5-1)/$D233))*$C233</f>
        <v>0.0</v>
      </c>
      <c r="J233" s="42">
        <f>(INT($E$25*6/$D233)-INT($E$25*(6-1)/$D233))*$C233</f>
        <v>11.2</v>
      </c>
      <c r="K233" s="42">
        <f>(INT($E$25*7/$D233)-INT($E$25*(7-1)/$D233))*$C233</f>
        <v>0.0</v>
      </c>
      <c r="L233" s="42">
        <f>(INT($E$25*8/$D233)-INT($E$25*(8-1)/$D233))*$C233</f>
        <v>11.2</v>
      </c>
      <c r="M233" s="42">
        <f>(INT($E$25*9/$D233)-INT($E$25*(9-1)/$D233))*$C233</f>
        <v>0.0</v>
      </c>
      <c r="N233" s="42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44" t="n">
        <v>6.7</v>
      </c>
      <c r="D234" s="43" t="n">
        <v>6000</v>
      </c>
      <c r="E234" s="42">
        <f>(INT($E$25*1/$D234)-INT($E$25*(1-1)/$D234))*$C234</f>
        <v>6.7</v>
      </c>
      <c r="F234" s="42">
        <f>(INT($E$25*2/$D234)-INT($E$25*(2-1)/$D234))*$C234</f>
        <v>6.7</v>
      </c>
      <c r="G234" s="42">
        <f>(INT($E$25*3/$D234)-INT($E$25*(3-1)/$D234))*$C234</f>
        <v>6.7</v>
      </c>
      <c r="H234" s="42">
        <f>(INT($E$25*4/$D234)-INT($E$25*(4-1)/$D234))*$C234</f>
        <v>6.7</v>
      </c>
      <c r="I234" s="42">
        <f>(INT($E$25*5/$D234)-INT($E$25*(5-1)/$D234))*$C234</f>
        <v>6.7</v>
      </c>
      <c r="J234" s="42">
        <f>(INT($E$25*6/$D234)-INT($E$25*(6-1)/$D234))*$C234</f>
        <v>13.4</v>
      </c>
      <c r="K234" s="42">
        <f>(INT($E$25*7/$D234)-INT($E$25*(7-1)/$D234))*$C234</f>
        <v>6.7</v>
      </c>
      <c r="L234" s="42">
        <f>(INT($E$25*8/$D234)-INT($E$25*(8-1)/$D234))*$C234</f>
        <v>6.7</v>
      </c>
      <c r="M234" s="42">
        <f>(INT($E$25*9/$D234)-INT($E$25*(9-1)/$D234))*$C234</f>
        <v>6.7</v>
      </c>
      <c r="N234" s="42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44" t="n">
        <v>6.7</v>
      </c>
      <c r="D235" s="43" t="n">
        <v>6000</v>
      </c>
      <c r="E235" s="42">
        <f>(INT($E$25*1/$D235)-INT($E$25*(1-1)/$D235))*$C235</f>
        <v>6.7</v>
      </c>
      <c r="F235" s="42">
        <f>(INT($E$25*2/$D235)-INT($E$25*(2-1)/$D235))*$C235</f>
        <v>6.7</v>
      </c>
      <c r="G235" s="42">
        <f>(INT($E$25*3/$D235)-INT($E$25*(3-1)/$D235))*$C235</f>
        <v>6.7</v>
      </c>
      <c r="H235" s="42">
        <f>(INT($E$25*4/$D235)-INT($E$25*(4-1)/$D235))*$C235</f>
        <v>6.7</v>
      </c>
      <c r="I235" s="42">
        <f>(INT($E$25*5/$D235)-INT($E$25*(5-1)/$D235))*$C235</f>
        <v>6.7</v>
      </c>
      <c r="J235" s="42">
        <f>(INT($E$25*6/$D235)-INT($E$25*(6-1)/$D235))*$C235</f>
        <v>13.4</v>
      </c>
      <c r="K235" s="42">
        <f>(INT($E$25*7/$D235)-INT($E$25*(7-1)/$D235))*$C235</f>
        <v>6.7</v>
      </c>
      <c r="L235" s="42">
        <f>(INT($E$25*8/$D235)-INT($E$25*(8-1)/$D235))*$C235</f>
        <v>6.7</v>
      </c>
      <c r="M235" s="42">
        <f>(INT($E$25*9/$D235)-INT($E$25*(9-1)/$D235))*$C235</f>
        <v>6.7</v>
      </c>
      <c r="N235" s="42">
        <f>(INT($E$25*10/$D235)-INT($E$25*(10-1)/$D235))*$C235</f>
        <v>6.7</v>
      </c>
    </row>
    <row r="236">
      <c r="B236" s="22" t="inlineStr">
        <is>
          <t>Accumulator (Recoil Spring)</t>
        </is>
      </c>
      <c r="C236" s="44" t="n">
        <v>10.86</v>
      </c>
      <c r="D236" s="43" t="n">
        <v>12000</v>
      </c>
      <c r="E236" s="42">
        <f>(INT($E$25*1/$D236)-INT($E$25*(1-1)/$D236))*$C236</f>
        <v>0.0</v>
      </c>
      <c r="F236" s="42">
        <f>(INT($E$25*2/$D236)-INT($E$25*(2-1)/$D236))*$C236</f>
        <v>10.86</v>
      </c>
      <c r="G236" s="42">
        <f>(INT($E$25*3/$D236)-INT($E$25*(3-1)/$D236))*$C236</f>
        <v>0.0</v>
      </c>
      <c r="H236" s="42">
        <f>(INT($E$25*4/$D236)-INT($E$25*(4-1)/$D236))*$C236</f>
        <v>10.86</v>
      </c>
      <c r="I236" s="42">
        <f>(INT($E$25*5/$D236)-INT($E$25*(5-1)/$D236))*$C236</f>
        <v>0.0</v>
      </c>
      <c r="J236" s="42">
        <f>(INT($E$25*6/$D236)-INT($E$25*(6-1)/$D236))*$C236</f>
        <v>10.86</v>
      </c>
      <c r="K236" s="42">
        <f>(INT($E$25*7/$D236)-INT($E$25*(7-1)/$D236))*$C236</f>
        <v>10.86</v>
      </c>
      <c r="L236" s="42">
        <f>(INT($E$25*8/$D236)-INT($E$25*(8-1)/$D236))*$C236</f>
        <v>0.0</v>
      </c>
      <c r="M236" s="42">
        <f>(INT($E$25*9/$D236)-INT($E$25*(9-1)/$D236))*$C236</f>
        <v>10.86</v>
      </c>
      <c r="N236" s="42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44" t="n">
        <v>33.6</v>
      </c>
      <c r="D237" s="43" t="n">
        <v>21000</v>
      </c>
      <c r="E237" s="42">
        <f>(INT($E$25*1/$D237)-INT($E$25*(1-1)/$D237))*$C237</f>
        <v>0.0</v>
      </c>
      <c r="F237" s="42">
        <f>(INT($E$25*2/$D237)-INT($E$25*(2-1)/$D237))*$C237</f>
        <v>0.0</v>
      </c>
      <c r="G237" s="42">
        <f>(INT($E$25*3/$D237)-INT($E$25*(3-1)/$D237))*$C237</f>
        <v>33.6</v>
      </c>
      <c r="H237" s="42">
        <f>(INT($E$25*4/$D237)-INT($E$25*(4-1)/$D237))*$C237</f>
        <v>0.0</v>
      </c>
      <c r="I237" s="42">
        <f>(INT($E$25*5/$D237)-INT($E$25*(5-1)/$D237))*$C237</f>
        <v>0.0</v>
      </c>
      <c r="J237" s="42">
        <f>(INT($E$25*6/$D237)-INT($E$25*(6-1)/$D237))*$C237</f>
        <v>33.6</v>
      </c>
      <c r="K237" s="42">
        <f>(INT($E$25*7/$D237)-INT($E$25*(7-1)/$D237))*$C237</f>
        <v>0.0</v>
      </c>
      <c r="L237" s="42">
        <f>(INT($E$25*8/$D237)-INT($E$25*(8-1)/$D237))*$C237</f>
        <v>0.0</v>
      </c>
      <c r="M237" s="42">
        <f>(INT($E$25*9/$D237)-INT($E$25*(9-1)/$D237))*$C237</f>
        <v>33.6</v>
      </c>
      <c r="N237" s="42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44" t="n">
        <v>19.2</v>
      </c>
      <c r="D238" s="43" t="n">
        <v>15000</v>
      </c>
      <c r="E238" s="42">
        <f>(INT($E$25*1/$D238)-INT($E$25*(1-1)/$D238))*$C238</f>
        <v>0.0</v>
      </c>
      <c r="F238" s="42">
        <f>(INT($E$25*2/$D238)-INT($E$25*(2-1)/$D238))*$C238</f>
        <v>0.0</v>
      </c>
      <c r="G238" s="42">
        <f>(INT($E$25*3/$D238)-INT($E$25*(3-1)/$D238))*$C238</f>
        <v>19.2</v>
      </c>
      <c r="H238" s="42">
        <f>(INT($E$25*4/$D238)-INT($E$25*(4-1)/$D238))*$C238</f>
        <v>0.0</v>
      </c>
      <c r="I238" s="42">
        <f>(INT($E$25*5/$D238)-INT($E$25*(5-1)/$D238))*$C238</f>
        <v>19.2</v>
      </c>
      <c r="J238" s="42">
        <f>(INT($E$25*6/$D238)-INT($E$25*(6-1)/$D238))*$C238</f>
        <v>0.0</v>
      </c>
      <c r="K238" s="42">
        <f>(INT($E$25*7/$D238)-INT($E$25*(7-1)/$D238))*$C238</f>
        <v>19.2</v>
      </c>
      <c r="L238" s="42">
        <f>(INT($E$25*8/$D238)-INT($E$25*(8-1)/$D238))*$C238</f>
        <v>0.0</v>
      </c>
      <c r="M238" s="42">
        <f>(INT($E$25*9/$D238)-INT($E$25*(9-1)/$D238))*$C238</f>
        <v>19.2</v>
      </c>
      <c r="N238" s="42">
        <f>(INT($E$25*10/$D238)-INT($E$25*(10-1)/$D238))*$C238</f>
        <v>0.0</v>
      </c>
    </row>
    <row r="239">
      <c r="B239" s="22" t="inlineStr">
        <is>
          <t>TRACK GROUP (гусеница)</t>
        </is>
      </c>
      <c r="C239" s="44" t="n">
        <v>8</v>
      </c>
      <c r="D239" s="43" t="n">
        <v>15000</v>
      </c>
      <c r="E239" s="42">
        <f>(INT($E$25*1/$D239)-INT($E$25*(1-1)/$D239))*$C239</f>
        <v>0.0</v>
      </c>
      <c r="F239" s="42">
        <f>(INT($E$25*2/$D239)-INT($E$25*(2-1)/$D239))*$C239</f>
        <v>0.0</v>
      </c>
      <c r="G239" s="42">
        <f>(INT($E$25*3/$D239)-INT($E$25*(3-1)/$D239))*$C239</f>
        <v>8.0</v>
      </c>
      <c r="H239" s="42">
        <f>(INT($E$25*4/$D239)-INT($E$25*(4-1)/$D239))*$C239</f>
        <v>0.0</v>
      </c>
      <c r="I239" s="42">
        <f>(INT($E$25*5/$D239)-INT($E$25*(5-1)/$D239))*$C239</f>
        <v>8.0</v>
      </c>
      <c r="J239" s="42">
        <f>(INT($E$25*6/$D239)-INT($E$25*(6-1)/$D239))*$C239</f>
        <v>0.0</v>
      </c>
      <c r="K239" s="42">
        <f>(INT($E$25*7/$D239)-INT($E$25*(7-1)/$D239))*$C239</f>
        <v>8.0</v>
      </c>
      <c r="L239" s="42">
        <f>(INT($E$25*8/$D239)-INT($E$25*(8-1)/$D239))*$C239</f>
        <v>0.0</v>
      </c>
      <c r="M239" s="42">
        <f>(INT($E$25*9/$D239)-INT($E$25*(9-1)/$D239))*$C239</f>
        <v>8.0</v>
      </c>
      <c r="N239" s="42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44" t="n">
        <v>3</v>
      </c>
      <c r="D240" s="43" t="n">
        <v>22000</v>
      </c>
      <c r="E240" s="42">
        <f>(INT($E$25*1/$D240)-INT($E$25*(1-1)/$D240))*$C240</f>
        <v>0.0</v>
      </c>
      <c r="F240" s="42">
        <f>(INT($E$25*2/$D240)-INT($E$25*(2-1)/$D240))*$C240</f>
        <v>0.0</v>
      </c>
      <c r="G240" s="42">
        <f>(INT($E$25*3/$D240)-INT($E$25*(3-1)/$D240))*$C240</f>
        <v>0.0</v>
      </c>
      <c r="H240" s="42">
        <f>(INT($E$25*4/$D240)-INT($E$25*(4-1)/$D240))*$C240</f>
        <v>3.0</v>
      </c>
      <c r="I240" s="42">
        <f>(INT($E$25*5/$D240)-INT($E$25*(5-1)/$D240))*$C240</f>
        <v>0.0</v>
      </c>
      <c r="J240" s="42">
        <f>(INT($E$25*6/$D240)-INT($E$25*(6-1)/$D240))*$C240</f>
        <v>0.0</v>
      </c>
      <c r="K240" s="42">
        <f>(INT($E$25*7/$D240)-INT($E$25*(7-1)/$D240))*$C240</f>
        <v>3.0</v>
      </c>
      <c r="L240" s="42">
        <f>(INT($E$25*8/$D240)-INT($E$25*(8-1)/$D240))*$C240</f>
        <v>0.0</v>
      </c>
      <c r="M240" s="42">
        <f>(INT($E$25*9/$D240)-INT($E$25*(9-1)/$D240))*$C240</f>
        <v>0.0</v>
      </c>
      <c r="N240" s="42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44" t="n">
        <v>8.800000000000001</v>
      </c>
      <c r="D241" s="43" t="n">
        <v>6000</v>
      </c>
      <c r="E241" s="42">
        <f>(INT($E$25*1/$D241)-INT($E$25*(1-1)/$D241))*$C241</f>
        <v>8.8</v>
      </c>
      <c r="F241" s="42">
        <f>(INT($E$25*2/$D241)-INT($E$25*(2-1)/$D241))*$C241</f>
        <v>8.8</v>
      </c>
      <c r="G241" s="42">
        <f>(INT($E$25*3/$D241)-INT($E$25*(3-1)/$D241))*$C241</f>
        <v>8.8</v>
      </c>
      <c r="H241" s="42">
        <f>(INT($E$25*4/$D241)-INT($E$25*(4-1)/$D241))*$C241</f>
        <v>8.8</v>
      </c>
      <c r="I241" s="42">
        <f>(INT($E$25*5/$D241)-INT($E$25*(5-1)/$D241))*$C241</f>
        <v>8.8</v>
      </c>
      <c r="J241" s="42">
        <f>(INT($E$25*6/$D241)-INT($E$25*(6-1)/$D241))*$C241</f>
        <v>17.6</v>
      </c>
      <c r="K241" s="42">
        <f>(INT($E$25*7/$D241)-INT($E$25*(7-1)/$D241))*$C241</f>
        <v>8.8</v>
      </c>
      <c r="L241" s="42">
        <f>(INT($E$25*8/$D241)-INT($E$25*(8-1)/$D241))*$C241</f>
        <v>8.8</v>
      </c>
      <c r="M241" s="42">
        <f>(INT($E$25*9/$D241)-INT($E$25*(9-1)/$D241))*$C241</f>
        <v>8.8</v>
      </c>
      <c r="N241" s="42">
        <f>(INT($E$25*10/$D241)-INT($E$25*(10-1)/$D241))*$C241</f>
        <v>8.8</v>
      </c>
    </row>
    <row r="242">
      <c r="B242" s="22" t="inlineStr">
        <is>
          <t>SHIM (прокладки)</t>
        </is>
      </c>
      <c r="C242" s="44" t="n">
        <v>8.800000000000001</v>
      </c>
      <c r="D242" s="43" t="n">
        <v>6000</v>
      </c>
      <c r="E242" s="42">
        <f>(INT($E$25*1/$D242)-INT($E$25*(1-1)/$D242))*$C242</f>
        <v>8.8</v>
      </c>
      <c r="F242" s="42">
        <f>(INT($E$25*2/$D242)-INT($E$25*(2-1)/$D242))*$C242</f>
        <v>8.8</v>
      </c>
      <c r="G242" s="42">
        <f>(INT($E$25*3/$D242)-INT($E$25*(3-1)/$D242))*$C242</f>
        <v>8.8</v>
      </c>
      <c r="H242" s="42">
        <f>(INT($E$25*4/$D242)-INT($E$25*(4-1)/$D242))*$C242</f>
        <v>8.8</v>
      </c>
      <c r="I242" s="42">
        <f>(INT($E$25*5/$D242)-INT($E$25*(5-1)/$D242))*$C242</f>
        <v>8.8</v>
      </c>
      <c r="J242" s="42">
        <f>(INT($E$25*6/$D242)-INT($E$25*(6-1)/$D242))*$C242</f>
        <v>17.6</v>
      </c>
      <c r="K242" s="42">
        <f>(INT($E$25*7/$D242)-INT($E$25*(7-1)/$D242))*$C242</f>
        <v>8.8</v>
      </c>
      <c r="L242" s="42">
        <f>(INT($E$25*8/$D242)-INT($E$25*(8-1)/$D242))*$C242</f>
        <v>8.8</v>
      </c>
      <c r="M242" s="42">
        <f>(INT($E$25*9/$D242)-INT($E$25*(9-1)/$D242))*$C242</f>
        <v>8.8</v>
      </c>
      <c r="N242" s="42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44" t="n">
        <v>2.4</v>
      </c>
      <c r="D243" s="43" t="n">
        <v>6000</v>
      </c>
      <c r="E243" s="42">
        <f>(INT($E$25*1/$D243)-INT($E$25*(1-1)/$D243))*$C243</f>
        <v>2.4</v>
      </c>
      <c r="F243" s="42">
        <f>(INT($E$25*2/$D243)-INT($E$25*(2-1)/$D243))*$C243</f>
        <v>2.4</v>
      </c>
      <c r="G243" s="42">
        <f>(INT($E$25*3/$D243)-INT($E$25*(3-1)/$D243))*$C243</f>
        <v>2.4</v>
      </c>
      <c r="H243" s="42">
        <f>(INT($E$25*4/$D243)-INT($E$25*(4-1)/$D243))*$C243</f>
        <v>2.4</v>
      </c>
      <c r="I243" s="42">
        <f>(INT($E$25*5/$D243)-INT($E$25*(5-1)/$D243))*$C243</f>
        <v>2.4</v>
      </c>
      <c r="J243" s="42">
        <f>(INT($E$25*6/$D243)-INT($E$25*(6-1)/$D243))*$C243</f>
        <v>4.8</v>
      </c>
      <c r="K243" s="42">
        <f>(INT($E$25*7/$D243)-INT($E$25*(7-1)/$D243))*$C243</f>
        <v>2.4</v>
      </c>
      <c r="L243" s="42">
        <f>(INT($E$25*8/$D243)-INT($E$25*(8-1)/$D243))*$C243</f>
        <v>2.4</v>
      </c>
      <c r="M243" s="42">
        <f>(INT($E$25*9/$D243)-INT($E$25*(9-1)/$D243))*$C243</f>
        <v>2.4</v>
      </c>
      <c r="N243" s="42">
        <f>(INT($E$25*10/$D243)-INT($E$25*(10-1)/$D243))*$C243</f>
        <v>2.4</v>
      </c>
    </row>
    <row r="244">
      <c r="B244" s="22" t="inlineStr">
        <is>
          <t>SHIM, GUIDE (прокладки)</t>
        </is>
      </c>
      <c r="C244" s="44" t="n">
        <v>3.2</v>
      </c>
      <c r="D244" s="43" t="n">
        <v>6000</v>
      </c>
      <c r="E244" s="42">
        <f>(INT($E$25*1/$D244)-INT($E$25*(1-1)/$D244))*$C244</f>
        <v>3.2</v>
      </c>
      <c r="F244" s="42">
        <f>(INT($E$25*2/$D244)-INT($E$25*(2-1)/$D244))*$C244</f>
        <v>3.2</v>
      </c>
      <c r="G244" s="42">
        <f>(INT($E$25*3/$D244)-INT($E$25*(3-1)/$D244))*$C244</f>
        <v>3.2</v>
      </c>
      <c r="H244" s="42">
        <f>(INT($E$25*4/$D244)-INT($E$25*(4-1)/$D244))*$C244</f>
        <v>3.2</v>
      </c>
      <c r="I244" s="42">
        <f>(INT($E$25*5/$D244)-INT($E$25*(5-1)/$D244))*$C244</f>
        <v>3.2</v>
      </c>
      <c r="J244" s="42">
        <f>(INT($E$25*6/$D244)-INT($E$25*(6-1)/$D244))*$C244</f>
        <v>6.4</v>
      </c>
      <c r="K244" s="42">
        <f>(INT($E$25*7/$D244)-INT($E$25*(7-1)/$D244))*$C244</f>
        <v>3.2</v>
      </c>
      <c r="L244" s="42">
        <f>(INT($E$25*8/$D244)-INT($E$25*(8-1)/$D244))*$C244</f>
        <v>3.2</v>
      </c>
      <c r="M244" s="42">
        <f>(INT($E$25*9/$D244)-INT($E$25*(9-1)/$D244))*$C244</f>
        <v>3.2</v>
      </c>
      <c r="N244" s="42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44" t="n">
        <v>36</v>
      </c>
      <c r="D245" s="43" t="n">
        <v>12000</v>
      </c>
      <c r="E245" s="42">
        <f>(INT($E$25*1/$D245)-INT($E$25*(1-1)/$D245))*$C245</f>
        <v>0.0</v>
      </c>
      <c r="F245" s="42">
        <f>(INT($E$25*2/$D245)-INT($E$25*(2-1)/$D245))*$C245</f>
        <v>36.0</v>
      </c>
      <c r="G245" s="42">
        <f>(INT($E$25*3/$D245)-INT($E$25*(3-1)/$D245))*$C245</f>
        <v>0.0</v>
      </c>
      <c r="H245" s="42">
        <f>(INT($E$25*4/$D245)-INT($E$25*(4-1)/$D245))*$C245</f>
        <v>36.0</v>
      </c>
      <c r="I245" s="42">
        <f>(INT($E$25*5/$D245)-INT($E$25*(5-1)/$D245))*$C245</f>
        <v>0.0</v>
      </c>
      <c r="J245" s="42">
        <f>(INT($E$25*6/$D245)-INT($E$25*(6-1)/$D245))*$C245</f>
        <v>36.0</v>
      </c>
      <c r="K245" s="42">
        <f>(INT($E$25*7/$D245)-INT($E$25*(7-1)/$D245))*$C245</f>
        <v>36.0</v>
      </c>
      <c r="L245" s="42">
        <f>(INT($E$25*8/$D245)-INT($E$25*(8-1)/$D245))*$C245</f>
        <v>0.0</v>
      </c>
      <c r="M245" s="42">
        <f>(INT($E$25*9/$D245)-INT($E$25*(9-1)/$D245))*$C245</f>
        <v>36.0</v>
      </c>
      <c r="N245" s="42">
        <f>(INT($E$25*10/$D245)-INT($E$25*(10-1)/$D245))*$C245</f>
        <v>0.0</v>
      </c>
    </row>
    <row r="246">
      <c r="B246" s="22" t="inlineStr">
        <is>
          <t>SHEAVE W/BUSH-1 ROPE (шкив)</t>
        </is>
      </c>
      <c r="C246" s="44" t="n">
        <v>14</v>
      </c>
      <c r="D246" s="43" t="n">
        <v>15000</v>
      </c>
      <c r="E246" s="42">
        <f>(INT($E$25*1/$D246)-INT($E$25*(1-1)/$D246))*$C246</f>
        <v>0.0</v>
      </c>
      <c r="F246" s="42">
        <f>(INT($E$25*2/$D246)-INT($E$25*(2-1)/$D246))*$C246</f>
        <v>0.0</v>
      </c>
      <c r="G246" s="42">
        <f>(INT($E$25*3/$D246)-INT($E$25*(3-1)/$D246))*$C246</f>
        <v>14.0</v>
      </c>
      <c r="H246" s="42">
        <f>(INT($E$25*4/$D246)-INT($E$25*(4-1)/$D246))*$C246</f>
        <v>0.0</v>
      </c>
      <c r="I246" s="42">
        <f>(INT($E$25*5/$D246)-INT($E$25*(5-1)/$D246))*$C246</f>
        <v>14.0</v>
      </c>
      <c r="J246" s="42">
        <f>(INT($E$25*6/$D246)-INT($E$25*(6-1)/$D246))*$C246</f>
        <v>0.0</v>
      </c>
      <c r="K246" s="42">
        <f>(INT($E$25*7/$D246)-INT($E$25*(7-1)/$D246))*$C246</f>
        <v>14.0</v>
      </c>
      <c r="L246" s="42">
        <f>(INT($E$25*8/$D246)-INT($E$25*(8-1)/$D246))*$C246</f>
        <v>0.0</v>
      </c>
      <c r="M246" s="42">
        <f>(INT($E$25*9/$D246)-INT($E$25*(9-1)/$D246))*$C246</f>
        <v>14.0</v>
      </c>
      <c r="N246" s="42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44" t="n">
        <v>2.1</v>
      </c>
      <c r="D247" s="43" t="n">
        <v>12000</v>
      </c>
      <c r="E247" s="42">
        <f>(INT($E$25*1/$D247)-INT($E$25*(1-1)/$D247))*$C247</f>
        <v>0.0</v>
      </c>
      <c r="F247" s="42">
        <f>(INT($E$25*2/$D247)-INT($E$25*(2-1)/$D247))*$C247</f>
        <v>2.1</v>
      </c>
      <c r="G247" s="42">
        <f>(INT($E$25*3/$D247)-INT($E$25*(3-1)/$D247))*$C247</f>
        <v>0.0</v>
      </c>
      <c r="H247" s="42">
        <f>(INT($E$25*4/$D247)-INT($E$25*(4-1)/$D247))*$C247</f>
        <v>2.1</v>
      </c>
      <c r="I247" s="42">
        <f>(INT($E$25*5/$D247)-INT($E$25*(5-1)/$D247))*$C247</f>
        <v>0.0</v>
      </c>
      <c r="J247" s="42">
        <f>(INT($E$25*6/$D247)-INT($E$25*(6-1)/$D247))*$C247</f>
        <v>2.1</v>
      </c>
      <c r="K247" s="42">
        <f>(INT($E$25*7/$D247)-INT($E$25*(7-1)/$D247))*$C247</f>
        <v>2.1</v>
      </c>
      <c r="L247" s="42">
        <f>(INT($E$25*8/$D247)-INT($E$25*(8-1)/$D247))*$C247</f>
        <v>0.0</v>
      </c>
      <c r="M247" s="42">
        <f>(INT($E$25*9/$D247)-INT($E$25*(9-1)/$D247))*$C247</f>
        <v>2.1</v>
      </c>
      <c r="N247" s="42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44" t="n">
        <v>1.5</v>
      </c>
      <c r="D248" s="43" t="n">
        <v>8000</v>
      </c>
      <c r="E248" s="42">
        <f>(INT($E$25*1/$D248)-INT($E$25*(1-1)/$D248))*$C248</f>
        <v>0.0</v>
      </c>
      <c r="F248" s="42">
        <f>(INT($E$25*2/$D248)-INT($E$25*(2-1)/$D248))*$C248</f>
        <v>1.5</v>
      </c>
      <c r="G248" s="42">
        <f>(INT($E$25*3/$D248)-INT($E$25*(3-1)/$D248))*$C248</f>
        <v>1.5</v>
      </c>
      <c r="H248" s="42">
        <f>(INT($E$25*4/$D248)-INT($E$25*(4-1)/$D248))*$C248</f>
        <v>1.5</v>
      </c>
      <c r="I248" s="42">
        <f>(INT($E$25*5/$D248)-INT($E$25*(5-1)/$D248))*$C248</f>
        <v>1.5</v>
      </c>
      <c r="J248" s="42">
        <f>(INT($E$25*6/$D248)-INT($E$25*(6-1)/$D248))*$C248</f>
        <v>1.5</v>
      </c>
      <c r="K248" s="42">
        <f>(INT($E$25*7/$D248)-INT($E$25*(7-1)/$D248))*$C248</f>
        <v>1.5</v>
      </c>
      <c r="L248" s="42">
        <f>(INT($E$25*8/$D248)-INT($E$25*(8-1)/$D248))*$C248</f>
        <v>1.5</v>
      </c>
      <c r="M248" s="42">
        <f>(INT($E$25*9/$D248)-INT($E$25*(9-1)/$D248))*$C248</f>
        <v>0.0</v>
      </c>
      <c r="N248" s="42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44" t="n">
        <v>36</v>
      </c>
      <c r="D249" s="43" t="n">
        <v>15000</v>
      </c>
      <c r="E249" s="42">
        <f>(INT($E$25*1/$D249)-INT($E$25*(1-1)/$D249))*$C249</f>
        <v>0.0</v>
      </c>
      <c r="F249" s="42">
        <f>(INT($E$25*2/$D249)-INT($E$25*(2-1)/$D249))*$C249</f>
        <v>0.0</v>
      </c>
      <c r="G249" s="42">
        <f>(INT($E$25*3/$D249)-INT($E$25*(3-1)/$D249))*$C249</f>
        <v>36.0</v>
      </c>
      <c r="H249" s="42">
        <f>(INT($E$25*4/$D249)-INT($E$25*(4-1)/$D249))*$C249</f>
        <v>0.0</v>
      </c>
      <c r="I249" s="42">
        <f>(INT($E$25*5/$D249)-INT($E$25*(5-1)/$D249))*$C249</f>
        <v>36.0</v>
      </c>
      <c r="J249" s="42">
        <f>(INT($E$25*6/$D249)-INT($E$25*(6-1)/$D249))*$C249</f>
        <v>0.0</v>
      </c>
      <c r="K249" s="42">
        <f>(INT($E$25*7/$D249)-INT($E$25*(7-1)/$D249))*$C249</f>
        <v>36.0</v>
      </c>
      <c r="L249" s="42">
        <f>(INT($E$25*8/$D249)-INT($E$25*(8-1)/$D249))*$C249</f>
        <v>0.0</v>
      </c>
      <c r="M249" s="42">
        <f>(INT($E$25*9/$D249)-INT($E$25*(9-1)/$D249))*$C249</f>
        <v>36.0</v>
      </c>
      <c r="N249" s="42">
        <f>(INT($E$25*10/$D249)-INT($E$25*(10-1)/$D249))*$C249</f>
        <v>0.0</v>
      </c>
    </row>
    <row r="250">
      <c r="B250" s="22" t="inlineStr">
        <is>
          <t>Valve,solenoid (соленоид)</t>
        </is>
      </c>
      <c r="C250" s="44" t="n">
        <v>30</v>
      </c>
      <c r="D250" s="43" t="n">
        <v>15000</v>
      </c>
      <c r="E250" s="42">
        <f>(INT($E$25*1/$D250)-INT($E$25*(1-1)/$D250))*$C250</f>
        <v>0.0</v>
      </c>
      <c r="F250" s="42">
        <f>(INT($E$25*2/$D250)-INT($E$25*(2-1)/$D250))*$C250</f>
        <v>0.0</v>
      </c>
      <c r="G250" s="42">
        <f>(INT($E$25*3/$D250)-INT($E$25*(3-1)/$D250))*$C250</f>
        <v>30.0</v>
      </c>
      <c r="H250" s="42">
        <f>(INT($E$25*4/$D250)-INT($E$25*(4-1)/$D250))*$C250</f>
        <v>0.0</v>
      </c>
      <c r="I250" s="42">
        <f>(INT($E$25*5/$D250)-INT($E$25*(5-1)/$D250))*$C250</f>
        <v>30.0</v>
      </c>
      <c r="J250" s="42">
        <f>(INT($E$25*6/$D250)-INT($E$25*(6-1)/$D250))*$C250</f>
        <v>0.0</v>
      </c>
      <c r="K250" s="42">
        <f>(INT($E$25*7/$D250)-INT($E$25*(7-1)/$D250))*$C250</f>
        <v>30.0</v>
      </c>
      <c r="L250" s="42">
        <f>(INT($E$25*8/$D250)-INT($E$25*(8-1)/$D250))*$C250</f>
        <v>0.0</v>
      </c>
      <c r="M250" s="42">
        <f>(INT($E$25*9/$D250)-INT($E$25*(9-1)/$D250))*$C250</f>
        <v>30.0</v>
      </c>
      <c r="N250" s="42">
        <f>(INT($E$25*10/$D250)-INT($E$25*(10-1)/$D250))*$C250</f>
        <v>0.0</v>
      </c>
    </row>
    <row r="251">
      <c r="B251" s="45" t="inlineStr">
        <is>
          <t>ИТОГО</t>
        </is>
      </c>
      <c r="E251" s="42">
        <f>SUM(E192:E250)</f>
        <v>36.60000000000001</v>
      </c>
      <c r="F251" s="42">
        <f>SUM(F192:F250)</f>
        <v>192.66</v>
      </c>
      <c r="G251" s="42">
        <f>SUM(G192:G250)</f>
        <v>330.45</v>
      </c>
      <c r="H251" s="42">
        <f>SUM(H192:H250)</f>
        <v>188.56</v>
      </c>
      <c r="I251" s="42">
        <f>SUM(I192:I250)</f>
        <v>267.75</v>
      </c>
      <c r="J251" s="42">
        <f>SUM(J192:J250)</f>
        <v>319.96000000000004</v>
      </c>
      <c r="K251" s="42">
        <f>SUM(K192:K250)</f>
        <v>300.71</v>
      </c>
      <c r="L251" s="42">
        <f>SUM(L192:L250)</f>
        <v>155.4</v>
      </c>
      <c r="M251" s="42">
        <f>SUM(M192:M250)</f>
        <v>403.40999999999997</v>
      </c>
      <c r="N251" s="42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4" t="inlineStr">
        <is>
          <t>шт./тыс.пог.м</t>
        </is>
      </c>
      <c r="D255" s="46" t="n">
        <v>0</v>
      </c>
      <c r="E255" s="44" t="n">
        <v>0</v>
      </c>
    </row>
    <row r="256">
      <c r="B256" s="22" t="inlineStr">
        <is>
          <t>Штанги буровые / адаптеры</t>
        </is>
      </c>
      <c r="C256" s="24" t="inlineStr">
        <is>
          <t>шт./тыс.пог.м</t>
        </is>
      </c>
      <c r="D256" s="46" t="n">
        <v>0</v>
      </c>
      <c r="E256" s="44" t="n">
        <v>0</v>
      </c>
    </row>
    <row r="257">
      <c r="B257" s="22" t="inlineStr">
        <is>
          <t>Прочие расходники</t>
        </is>
      </c>
      <c r="C257" s="24" t="inlineStr">
        <is>
          <t>руб/пог.м</t>
        </is>
      </c>
      <c r="D257" s="44" t="n">
        <v>0</v>
      </c>
    </row>
    <row r="259">
      <c r="B259" s="47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4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37" t="str">
        <f>'Ввод данных'!G7</f>
        <v>Sunward
SWDRT270B</v>
      </c>
    </row>
    <row r="5">
      <c r="B5" s="9" t="inlineStr">
        <is>
          <t>Валюта затрат ТОиР:</t>
        </is>
      </c>
      <c r="D5" s="38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E40</f>
        <v>636.3723333333335</v>
      </c>
      <c r="F8" s="40">
        <f>F40</f>
        <v>636.3723333333335</v>
      </c>
      <c r="G8" s="40">
        <f>G40</f>
        <v>636.3723333333335</v>
      </c>
      <c r="H8" s="40">
        <f>H40</f>
        <v>636.3723333333335</v>
      </c>
      <c r="I8" s="40">
        <f>I40</f>
        <v>636.3723333333335</v>
      </c>
      <c r="J8" s="40">
        <f>J40</f>
        <v>636.3723333333335</v>
      </c>
      <c r="K8" s="40">
        <f>K40</f>
        <v>636.3723333333335</v>
      </c>
      <c r="L8" s="40">
        <f>L40</f>
        <v>636.3723333333335</v>
      </c>
      <c r="M8" s="40">
        <f>M40</f>
        <v>636.3723333333335</v>
      </c>
      <c r="N8" s="40">
        <f>N40</f>
        <v>636.3723333333335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109.67</v>
      </c>
      <c r="F9" s="32" t="n">
        <v>109.67</v>
      </c>
      <c r="G9" s="32" t="n">
        <v>109.67</v>
      </c>
      <c r="H9" s="32" t="n">
        <v>109.67</v>
      </c>
      <c r="I9" s="32" t="n">
        <v>109.67</v>
      </c>
      <c r="J9" s="32" t="n">
        <v>109.67</v>
      </c>
      <c r="K9" s="32" t="n">
        <v>109.67</v>
      </c>
      <c r="L9" s="32" t="n">
        <v>109.67</v>
      </c>
      <c r="M9" s="32" t="n">
        <v>109.67</v>
      </c>
      <c r="N9" s="32" t="n">
        <v>109.67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('Параметры'!C27-E8-E9)/'Параметры'!C28*20/60</f>
        <v>222.60993518518518</v>
      </c>
      <c r="F10" s="41">
        <f>('Параметры'!C27-F8-F9)/'Параметры'!C28*20/60</f>
        <v>222.60993518518518</v>
      </c>
      <c r="G10" s="41">
        <f>('Параметры'!C27-G8-G9)/'Параметры'!C28*20/60</f>
        <v>222.60993518518518</v>
      </c>
      <c r="H10" s="41">
        <f>('Параметры'!C27-H8-H9)/'Параметры'!C28*20/60</f>
        <v>222.60993518518518</v>
      </c>
      <c r="I10" s="41">
        <f>('Параметры'!C27-I8-I9)/'Параметры'!C28*20/60</f>
        <v>222.60993518518518</v>
      </c>
      <c r="J10" s="41">
        <f>('Параметры'!C27-J8-J9)/'Параметры'!C28*20/60</f>
        <v>222.60993518518518</v>
      </c>
      <c r="K10" s="41">
        <f>('Параметры'!C27-K8-K9)/'Параметры'!C28*20/60</f>
        <v>222.60993518518518</v>
      </c>
      <c r="L10" s="41">
        <f>('Параметры'!C27-L8-L9)/'Параметры'!C28*20/60</f>
        <v>222.60993518518518</v>
      </c>
      <c r="M10" s="41">
        <f>('Параметры'!C27-M8-M9)/'Параметры'!C28*20/60</f>
        <v>222.60993518518518</v>
      </c>
      <c r="N10" s="41">
        <f>('Параметры'!C27-N8-N9)/'Параметры'!C28*20/60</f>
        <v>222.60993518518518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0.93</v>
      </c>
      <c r="F11" s="33" t="n">
        <v>0.93</v>
      </c>
      <c r="G11" s="33" t="n">
        <v>0.92</v>
      </c>
      <c r="H11" s="33" t="n">
        <v>0.92</v>
      </c>
      <c r="I11" s="33" t="n">
        <v>0.87</v>
      </c>
      <c r="J11" s="33" t="n">
        <v>0.9</v>
      </c>
      <c r="K11" s="33" t="n">
        <v>0.85</v>
      </c>
      <c r="L11" s="33" t="n">
        <v>0.9</v>
      </c>
      <c r="M11" s="33" t="n">
        <v>0.9</v>
      </c>
      <c r="N11" s="33" t="n">
        <v>0.85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E85</f>
        <v>136.07378843333333</v>
      </c>
      <c r="F12" s="42">
        <f>F85</f>
        <v>136.07378843333333</v>
      </c>
      <c r="G12" s="42">
        <f>G85</f>
        <v>136.07378843333333</v>
      </c>
      <c r="H12" s="42">
        <f>H85</f>
        <v>136.07378843333333</v>
      </c>
      <c r="I12" s="42">
        <f>I85</f>
        <v>136.07378843333333</v>
      </c>
      <c r="J12" s="42">
        <f>J85</f>
        <v>136.07378843333333</v>
      </c>
      <c r="K12" s="42">
        <f>K85</f>
        <v>136.07378843333333</v>
      </c>
      <c r="L12" s="42">
        <f>L85</f>
        <v>136.07378843333333</v>
      </c>
      <c r="M12" s="42">
        <f>M85</f>
        <v>136.07378843333333</v>
      </c>
      <c r="N12" s="42">
        <f>N85</f>
        <v>136.07378843333333</v>
      </c>
    </row>
    <row r="13">
      <c r="B13" s="39" t="inlineStr">
        <is>
          <t>Затраты на ЗЧ текущих ремонтов (по ресурсу)</t>
        </is>
      </c>
      <c r="C13" s="24" t="inlineStr">
        <is>
          <t>тыс.вал/г</t>
        </is>
      </c>
      <c r="E13" s="42">
        <f>E105</f>
        <v>4.506819999999999</v>
      </c>
      <c r="F13" s="42">
        <f>F105</f>
        <v>60.109840000000005</v>
      </c>
      <c r="G13" s="42">
        <f>G105</f>
        <v>145.1624</v>
      </c>
      <c r="H13" s="42">
        <f>H105</f>
        <v>60.109840000000005</v>
      </c>
      <c r="I13" s="42">
        <f>I105</f>
        <v>144.82518</v>
      </c>
      <c r="J13" s="42">
        <f>J105</f>
        <v>67.22701</v>
      </c>
      <c r="K13" s="42">
        <f>K105</f>
        <v>145.21432</v>
      </c>
      <c r="L13" s="42">
        <f>L105</f>
        <v>60.057919999999996</v>
      </c>
      <c r="M13" s="42">
        <f>M105</f>
        <v>111.9831</v>
      </c>
      <c r="N13" s="42">
        <f>N105</f>
        <v>105.58931</v>
      </c>
    </row>
    <row r="14">
      <c r="B14" s="39" t="inlineStr">
        <is>
          <t>Затраты на ЗЧ капремонтов (по ресурсу)</t>
        </is>
      </c>
      <c r="C14" s="24" t="inlineStr">
        <is>
          <t>тыс.вал/г</t>
        </is>
      </c>
      <c r="E14" s="42">
        <f>E188</f>
        <v>7.382379999999999</v>
      </c>
      <c r="F14" s="42">
        <f>F188</f>
        <v>204.26495</v>
      </c>
      <c r="G14" s="42">
        <f>G188</f>
        <v>438.81584</v>
      </c>
      <c r="H14" s="42">
        <f>H188</f>
        <v>434.86339000000004</v>
      </c>
      <c r="I14" s="42">
        <f>I188</f>
        <v>610.36746</v>
      </c>
      <c r="J14" s="42">
        <f>J188</f>
        <v>366.36175000000003</v>
      </c>
      <c r="K14" s="42">
        <f>K188</f>
        <v>590.25823</v>
      </c>
      <c r="L14" s="42">
        <f>L188</f>
        <v>224.66392</v>
      </c>
      <c r="M14" s="42">
        <f>M188</f>
        <v>774.55654</v>
      </c>
      <c r="N14" s="42">
        <f>N188</f>
        <v>283.30237000000005</v>
      </c>
    </row>
    <row r="15">
      <c r="B15" s="39" t="inlineStr">
        <is>
          <t>Трудозатраты ТО (авто)</t>
        </is>
      </c>
      <c r="C15" s="24" t="inlineStr">
        <is>
          <t>ч-час/г</t>
        </is>
      </c>
      <c r="E15" s="40">
        <f>E47</f>
        <v>636.3723333333335</v>
      </c>
      <c r="F15" s="40">
        <f>F47</f>
        <v>636.3723333333335</v>
      </c>
      <c r="G15" s="40">
        <f>G47</f>
        <v>636.3723333333335</v>
      </c>
      <c r="H15" s="40">
        <f>H47</f>
        <v>636.3723333333335</v>
      </c>
      <c r="I15" s="40">
        <f>I47</f>
        <v>636.3723333333335</v>
      </c>
      <c r="J15" s="40">
        <f>J47</f>
        <v>636.3723333333335</v>
      </c>
      <c r="K15" s="40">
        <f>K47</f>
        <v>636.3723333333335</v>
      </c>
      <c r="L15" s="40">
        <f>L47</f>
        <v>636.3723333333335</v>
      </c>
      <c r="M15" s="40">
        <f>M47</f>
        <v>636.3723333333335</v>
      </c>
      <c r="N15" s="40">
        <f>N47</f>
        <v>636.3723333333335</v>
      </c>
    </row>
    <row r="16">
      <c r="B16" s="39" t="inlineStr">
        <is>
          <t>Трудозатраты текущих ремонтов (авто)</t>
        </is>
      </c>
      <c r="C16" s="24" t="inlineStr">
        <is>
          <t>ч-час/г</t>
        </is>
      </c>
      <c r="E16" s="40">
        <f>E125</f>
        <v>48.4</v>
      </c>
      <c r="F16" s="40">
        <f>F125</f>
        <v>174.3</v>
      </c>
      <c r="G16" s="40">
        <f>G125</f>
        <v>228.3</v>
      </c>
      <c r="H16" s="40">
        <f>H125</f>
        <v>174.3</v>
      </c>
      <c r="I16" s="40">
        <f>I125</f>
        <v>220.4</v>
      </c>
      <c r="J16" s="40">
        <f>J125</f>
        <v>255.8</v>
      </c>
      <c r="K16" s="40">
        <f>K125</f>
        <v>226.3</v>
      </c>
      <c r="L16" s="40">
        <f>L125</f>
        <v>176.3</v>
      </c>
      <c r="M16" s="40">
        <f>M125</f>
        <v>214.4</v>
      </c>
      <c r="N16" s="40">
        <f>N125</f>
        <v>365.3</v>
      </c>
    </row>
    <row r="17">
      <c r="B17" s="39" t="inlineStr">
        <is>
          <t>Трудозатраты капремонтов (авто)</t>
        </is>
      </c>
      <c r="C17" s="24" t="inlineStr">
        <is>
          <t>ч-час/г</t>
        </is>
      </c>
      <c r="E17" s="40">
        <f>E251</f>
        <v>36.60000000000001</v>
      </c>
      <c r="F17" s="40">
        <f>F251</f>
        <v>192.66</v>
      </c>
      <c r="G17" s="40">
        <f>G251</f>
        <v>330.45</v>
      </c>
      <c r="H17" s="40">
        <f>H251</f>
        <v>188.56</v>
      </c>
      <c r="I17" s="40">
        <f>I251</f>
        <v>267.75</v>
      </c>
      <c r="J17" s="40">
        <f>J251</f>
        <v>319.96000000000004</v>
      </c>
      <c r="K17" s="40">
        <f>K251</f>
        <v>300.71</v>
      </c>
      <c r="L17" s="40">
        <f>L251</f>
        <v>155.4</v>
      </c>
      <c r="M17" s="40">
        <f>M251</f>
        <v>403.40999999999997</v>
      </c>
      <c r="N17" s="40">
        <f>N251</f>
        <v>102.4</v>
      </c>
    </row>
    <row r="18">
      <c r="B18" s="39" t="inlineStr">
        <is>
          <t>Сервис (трудозатраты ТО+ТР+КР)</t>
        </is>
      </c>
      <c r="C18" s="24" t="inlineStr">
        <is>
          <t>тыс.вал/г</t>
        </is>
      </c>
      <c r="E18" s="42">
        <f>(E15+E16+E17)*$E$23/1000</f>
        <v>41.76292665221791</v>
      </c>
      <c r="F18" s="42">
        <f>(F15+F16+F17)*$E$23/1000</f>
        <v>58.08663946283677</v>
      </c>
      <c r="G18" s="42">
        <f>(G15+G16+G17)*$E$23/1000</f>
        <v>69.19007569474411</v>
      </c>
      <c r="H18" s="42">
        <f>(H15+H16+H17)*$E$23/1000</f>
        <v>57.84927521782494</v>
      </c>
      <c r="I18" s="42">
        <f>(I15+I16+I17)*$E$23/1000</f>
        <v>65.10277918307688</v>
      </c>
      <c r="J18" s="42">
        <f>(J15+J16+J17)*$E$23/1000</f>
        <v>70.17484784295176</v>
      </c>
      <c r="K18" s="42">
        <f>(K15+K16+K17)*$E$23/1000</f>
        <v>67.35252907604273</v>
      </c>
      <c r="L18" s="42">
        <f>(L15+L16+L17)*$E$23/1000</f>
        <v>56.04530695573498</v>
      </c>
      <c r="M18" s="42">
        <f>(M15+M16+M17)*$E$23/1000</f>
        <v>72.60927869728047</v>
      </c>
      <c r="N18" s="42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4" t="inlineStr">
        <is>
          <t>коэф.</t>
        </is>
      </c>
      <c r="E19" s="27" t="n">
        <v>1.0586</v>
      </c>
    </row>
    <row r="20">
      <c r="B20" s="39" t="inlineStr">
        <is>
          <t>ИТОГО ТОиР → «Данные по годам»</t>
        </is>
      </c>
      <c r="C20" s="24" t="inlineStr">
        <is>
          <t>тыс.вал/г</t>
        </is>
      </c>
      <c r="E20" s="42">
        <f>(E12+E13+E14+E18)*$E$19</f>
        <v>200.84385370956457</v>
      </c>
      <c r="F20" s="42">
        <f>(F12+F13+F14+F18)*$E$19</f>
        <v>485.4053816648857</v>
      </c>
      <c r="G20" s="42">
        <f>(G12+G13+G14+G18)*$E$19</f>
        <v>835.4916914299828</v>
      </c>
      <c r="H20" s="42">
        <f>(H12+H13+H14+H18)*$E$19</f>
        <v>729.2656164591161</v>
      </c>
      <c r="I20" s="42">
        <f>(I12+I13+I14+I18)*$E$19</f>
        <v>1012.412443182732</v>
      </c>
      <c r="J20" s="42">
        <f>(J12+J13+J14+J18)*$E$19</f>
        <v>677.3318676980754</v>
      </c>
      <c r="K20" s="42">
        <f>(K12+K13+K14+K18)*$E$19</f>
        <v>993.9183411454255</v>
      </c>
      <c r="L20" s="42">
        <f>(L12+L13+L14+L18)*$E$19</f>
        <v>504.7838142028677</v>
      </c>
      <c r="M20" s="42">
        <f>(M12+M13+M14+M18)*$E$19</f>
        <v>1159.4027577684678</v>
      </c>
      <c r="N20" s="42">
        <f>(N12+N13+N14+N18)*$E$19</f>
        <v>623.3929422923936</v>
      </c>
    </row>
    <row r="21">
      <c r="B21" s="22" t="inlineStr">
        <is>
          <t>Удельный расход ДТ / энергии</t>
        </is>
      </c>
      <c r="C21" s="24" t="inlineStr">
        <is>
          <t>кг(кВт)/час</t>
        </is>
      </c>
      <c r="E21" s="34" t="n">
        <v>74.8</v>
      </c>
      <c r="F21" s="34" t="n">
        <v>74.8</v>
      </c>
      <c r="G21" s="34" t="n">
        <v>74.8</v>
      </c>
      <c r="H21" s="34" t="n">
        <v>74.8</v>
      </c>
      <c r="I21" s="34" t="n">
        <v>74.8</v>
      </c>
      <c r="J21" s="34" t="n">
        <v>74.8</v>
      </c>
      <c r="K21" s="34" t="n">
        <v>74.8</v>
      </c>
      <c r="L21" s="34" t="n">
        <v>74.8</v>
      </c>
      <c r="M21" s="34" t="n">
        <v>74.8</v>
      </c>
      <c r="N21" s="34" t="n">
        <v>74.8</v>
      </c>
    </row>
    <row r="23">
      <c r="B23" s="22" t="inlineStr">
        <is>
          <t>Ставка сервиса</t>
        </is>
      </c>
      <c r="C23" s="24" t="inlineStr">
        <is>
          <t>вал/ч·час</t>
        </is>
      </c>
      <c r="E23" s="27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2" t="n">
        <v>7000</v>
      </c>
      <c r="F25" s="32" t="n">
        <v>7000</v>
      </c>
      <c r="G25" s="32" t="n">
        <v>7000</v>
      </c>
      <c r="H25" s="32" t="n">
        <v>7000</v>
      </c>
      <c r="I25" s="32" t="n">
        <v>7000</v>
      </c>
      <c r="J25" s="32" t="n">
        <v>7000</v>
      </c>
      <c r="K25" s="32" t="n">
        <v>7000</v>
      </c>
      <c r="L25" s="32" t="n">
        <v>7000</v>
      </c>
      <c r="M25" s="32" t="n">
        <v>7000</v>
      </c>
      <c r="N25" s="32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3" t="n">
        <v>250</v>
      </c>
      <c r="D27" s="44" t="n">
        <v>10.9</v>
      </c>
      <c r="E27" s="43" t="n">
        <v>1</v>
      </c>
    </row>
    <row r="28">
      <c r="B28" s="22" t="inlineStr">
        <is>
          <t>ТО-2</t>
        </is>
      </c>
      <c r="C28" s="43" t="n">
        <v>500</v>
      </c>
      <c r="D28" s="44" t="n">
        <v>13.5</v>
      </c>
      <c r="E28" s="43" t="n">
        <v>1</v>
      </c>
    </row>
    <row r="29">
      <c r="B29" s="22" t="inlineStr">
        <is>
          <t>ТО-3</t>
        </is>
      </c>
      <c r="C29" s="43" t="n">
        <v>1000</v>
      </c>
      <c r="D29" s="44" t="n">
        <v>12.43</v>
      </c>
      <c r="E29" s="43" t="n">
        <v>1</v>
      </c>
    </row>
    <row r="30">
      <c r="B30" s="22" t="inlineStr">
        <is>
          <t>ТО-4</t>
        </is>
      </c>
      <c r="C30" s="43" t="n">
        <v>2000</v>
      </c>
      <c r="D30" s="44" t="n">
        <v>5.67</v>
      </c>
      <c r="E30" s="43" t="n">
        <v>1</v>
      </c>
    </row>
    <row r="31">
      <c r="B31" s="22" t="inlineStr">
        <is>
          <t>ТО-5</t>
        </is>
      </c>
      <c r="C31" s="43" t="n">
        <v>3000</v>
      </c>
      <c r="D31" s="44" t="n">
        <v>10.06</v>
      </c>
      <c r="E31" s="43" t="n">
        <v>1</v>
      </c>
    </row>
    <row r="32">
      <c r="B32" s="22" t="inlineStr">
        <is>
          <t>ТО-6</t>
        </is>
      </c>
      <c r="C32" s="43" t="n">
        <v>5000</v>
      </c>
      <c r="D32" s="44" t="n">
        <v>8.460000000000001</v>
      </c>
      <c r="E32" s="43" t="n">
        <v>1</v>
      </c>
    </row>
    <row r="34">
      <c r="B34" s="39" t="inlineStr">
        <is>
          <t>ТО-1: простои, ч/год</t>
        </is>
      </c>
      <c r="C34" s="24" t="inlineStr">
        <is>
          <t>ч</t>
        </is>
      </c>
      <c r="E34" s="42">
        <f>E$25/$C27*$D27</f>
        <v>305.2</v>
      </c>
      <c r="F34" s="42">
        <f>F$25/$C27*$D27</f>
        <v>305.2</v>
      </c>
      <c r="G34" s="42">
        <f>G$25/$C27*$D27</f>
        <v>305.2</v>
      </c>
      <c r="H34" s="42">
        <f>H$25/$C27*$D27</f>
        <v>305.2</v>
      </c>
      <c r="I34" s="42">
        <f>I$25/$C27*$D27</f>
        <v>305.2</v>
      </c>
      <c r="J34" s="42">
        <f>J$25/$C27*$D27</f>
        <v>305.2</v>
      </c>
      <c r="K34" s="42">
        <f>K$25/$C27*$D27</f>
        <v>305.2</v>
      </c>
      <c r="L34" s="42">
        <f>L$25/$C27*$D27</f>
        <v>305.2</v>
      </c>
      <c r="M34" s="42">
        <f>M$25/$C27*$D27</f>
        <v>305.2</v>
      </c>
      <c r="N34" s="42">
        <f>N$25/$C27*$D27</f>
        <v>305.2</v>
      </c>
    </row>
    <row r="35">
      <c r="B35" s="39" t="inlineStr">
        <is>
          <t>ТО-2: простои, ч/год</t>
        </is>
      </c>
      <c r="C35" s="24" t="inlineStr">
        <is>
          <t>ч</t>
        </is>
      </c>
      <c r="E35" s="42">
        <f>E$25/$C28*$D28</f>
        <v>189.0</v>
      </c>
      <c r="F35" s="42">
        <f>F$25/$C28*$D28</f>
        <v>189.0</v>
      </c>
      <c r="G35" s="42">
        <f>G$25/$C28*$D28</f>
        <v>189.0</v>
      </c>
      <c r="H35" s="42">
        <f>H$25/$C28*$D28</f>
        <v>189.0</v>
      </c>
      <c r="I35" s="42">
        <f>I$25/$C28*$D28</f>
        <v>189.0</v>
      </c>
      <c r="J35" s="42">
        <f>J$25/$C28*$D28</f>
        <v>189.0</v>
      </c>
      <c r="K35" s="42">
        <f>K$25/$C28*$D28</f>
        <v>189.0</v>
      </c>
      <c r="L35" s="42">
        <f>L$25/$C28*$D28</f>
        <v>189.0</v>
      </c>
      <c r="M35" s="42">
        <f>M$25/$C28*$D28</f>
        <v>189.0</v>
      </c>
      <c r="N35" s="42">
        <f>N$25/$C28*$D28</f>
        <v>189.0</v>
      </c>
    </row>
    <row r="36">
      <c r="B36" s="39" t="inlineStr">
        <is>
          <t>ТО-3: простои, ч/год</t>
        </is>
      </c>
      <c r="C36" s="24" t="inlineStr">
        <is>
          <t>ч</t>
        </is>
      </c>
      <c r="E36" s="42">
        <f>E$25/$C29*$D29</f>
        <v>87.00999999999999</v>
      </c>
      <c r="F36" s="42">
        <f>F$25/$C29*$D29</f>
        <v>87.00999999999999</v>
      </c>
      <c r="G36" s="42">
        <f>G$25/$C29*$D29</f>
        <v>87.00999999999999</v>
      </c>
      <c r="H36" s="42">
        <f>H$25/$C29*$D29</f>
        <v>87.00999999999999</v>
      </c>
      <c r="I36" s="42">
        <f>I$25/$C29*$D29</f>
        <v>87.00999999999999</v>
      </c>
      <c r="J36" s="42">
        <f>J$25/$C29*$D29</f>
        <v>87.00999999999999</v>
      </c>
      <c r="K36" s="42">
        <f>K$25/$C29*$D29</f>
        <v>87.00999999999999</v>
      </c>
      <c r="L36" s="42">
        <f>L$25/$C29*$D29</f>
        <v>87.00999999999999</v>
      </c>
      <c r="M36" s="42">
        <f>M$25/$C29*$D29</f>
        <v>87.00999999999999</v>
      </c>
      <c r="N36" s="42">
        <f>N$25/$C29*$D29</f>
        <v>87.00999999999999</v>
      </c>
    </row>
    <row r="37">
      <c r="B37" s="39" t="inlineStr">
        <is>
          <t>ТО-4: простои, ч/год</t>
        </is>
      </c>
      <c r="C37" s="24" t="inlineStr">
        <is>
          <t>ч</t>
        </is>
      </c>
      <c r="E37" s="42">
        <f>E$25/$C30*$D30</f>
        <v>19.845</v>
      </c>
      <c r="F37" s="42">
        <f>F$25/$C30*$D30</f>
        <v>19.845</v>
      </c>
      <c r="G37" s="42">
        <f>G$25/$C30*$D30</f>
        <v>19.845</v>
      </c>
      <c r="H37" s="42">
        <f>H$25/$C30*$D30</f>
        <v>19.845</v>
      </c>
      <c r="I37" s="42">
        <f>I$25/$C30*$D30</f>
        <v>19.845</v>
      </c>
      <c r="J37" s="42">
        <f>J$25/$C30*$D30</f>
        <v>19.845</v>
      </c>
      <c r="K37" s="42">
        <f>K$25/$C30*$D30</f>
        <v>19.845</v>
      </c>
      <c r="L37" s="42">
        <f>L$25/$C30*$D30</f>
        <v>19.845</v>
      </c>
      <c r="M37" s="42">
        <f>M$25/$C30*$D30</f>
        <v>19.845</v>
      </c>
      <c r="N37" s="42">
        <f>N$25/$C30*$D30</f>
        <v>19.845</v>
      </c>
    </row>
    <row r="38">
      <c r="B38" s="39" t="inlineStr">
        <is>
          <t>ТО-5: простои, ч/год</t>
        </is>
      </c>
      <c r="C38" s="24" t="inlineStr">
        <is>
          <t>ч</t>
        </is>
      </c>
      <c r="E38" s="42">
        <f>E$25/$C31*$D31</f>
        <v>23.473333333333336</v>
      </c>
      <c r="F38" s="42">
        <f>F$25/$C31*$D31</f>
        <v>23.473333333333336</v>
      </c>
      <c r="G38" s="42">
        <f>G$25/$C31*$D31</f>
        <v>23.473333333333336</v>
      </c>
      <c r="H38" s="42">
        <f>H$25/$C31*$D31</f>
        <v>23.473333333333336</v>
      </c>
      <c r="I38" s="42">
        <f>I$25/$C31*$D31</f>
        <v>23.473333333333336</v>
      </c>
      <c r="J38" s="42">
        <f>J$25/$C31*$D31</f>
        <v>23.473333333333336</v>
      </c>
      <c r="K38" s="42">
        <f>K$25/$C31*$D31</f>
        <v>23.473333333333336</v>
      </c>
      <c r="L38" s="42">
        <f>L$25/$C31*$D31</f>
        <v>23.473333333333336</v>
      </c>
      <c r="M38" s="42">
        <f>M$25/$C31*$D31</f>
        <v>23.473333333333336</v>
      </c>
      <c r="N38" s="42">
        <f>N$25/$C31*$D31</f>
        <v>23.473333333333336</v>
      </c>
    </row>
    <row r="39">
      <c r="B39" s="39" t="inlineStr">
        <is>
          <t>ТО-6: простои, ч/год</t>
        </is>
      </c>
      <c r="C39" s="24" t="inlineStr">
        <is>
          <t>ч</t>
        </is>
      </c>
      <c r="E39" s="42">
        <f>E$25/$C32*$D32</f>
        <v>11.844000000000001</v>
      </c>
      <c r="F39" s="42">
        <f>F$25/$C32*$D32</f>
        <v>11.844000000000001</v>
      </c>
      <c r="G39" s="42">
        <f>G$25/$C32*$D32</f>
        <v>11.844000000000001</v>
      </c>
      <c r="H39" s="42">
        <f>H$25/$C32*$D32</f>
        <v>11.844000000000001</v>
      </c>
      <c r="I39" s="42">
        <f>I$25/$C32*$D32</f>
        <v>11.844000000000001</v>
      </c>
      <c r="J39" s="42">
        <f>J$25/$C32*$D32</f>
        <v>11.844000000000001</v>
      </c>
      <c r="K39" s="42">
        <f>K$25/$C32*$D32</f>
        <v>11.844000000000001</v>
      </c>
      <c r="L39" s="42">
        <f>L$25/$C32*$D32</f>
        <v>11.844000000000001</v>
      </c>
      <c r="M39" s="42">
        <f>M$25/$C32*$D32</f>
        <v>11.844000000000001</v>
      </c>
      <c r="N39" s="42">
        <f>N$25/$C32*$D32</f>
        <v>11.844000000000001</v>
      </c>
    </row>
    <row r="40">
      <c r="B40" s="39" t="inlineStr">
        <is>
          <t>Итого простои ТО</t>
        </is>
      </c>
      <c r="E40" s="42">
        <f>SUM(E34:E39)</f>
        <v>636.3723333333335</v>
      </c>
      <c r="F40" s="42">
        <f>SUM(F34:F39)</f>
        <v>636.3723333333335</v>
      </c>
      <c r="G40" s="42">
        <f>SUM(G34:G39)</f>
        <v>636.3723333333335</v>
      </c>
      <c r="H40" s="42">
        <f>SUM(H34:H39)</f>
        <v>636.3723333333335</v>
      </c>
      <c r="I40" s="42">
        <f>SUM(I34:I39)</f>
        <v>636.3723333333335</v>
      </c>
      <c r="J40" s="42">
        <f>SUM(J34:J39)</f>
        <v>636.3723333333335</v>
      </c>
      <c r="K40" s="42">
        <f>SUM(K34:K39)</f>
        <v>636.3723333333335</v>
      </c>
      <c r="L40" s="42">
        <f>SUM(L34:L39)</f>
        <v>636.3723333333335</v>
      </c>
      <c r="M40" s="42">
        <f>SUM(M34:M39)</f>
        <v>636.3723333333335</v>
      </c>
      <c r="N40" s="42">
        <f>SUM(N34:N39)</f>
        <v>636.3723333333335</v>
      </c>
    </row>
    <row r="41">
      <c r="B41" s="39" t="inlineStr">
        <is>
          <t>ТО-1: чел-часы/год</t>
        </is>
      </c>
      <c r="C41" s="24" t="inlineStr">
        <is>
          <t>ч-час</t>
        </is>
      </c>
      <c r="E41" s="42">
        <f>E34*$E27</f>
        <v>305.2</v>
      </c>
      <c r="F41" s="42">
        <f>F34*$E27</f>
        <v>305.2</v>
      </c>
      <c r="G41" s="42">
        <f>G34*$E27</f>
        <v>305.2</v>
      </c>
      <c r="H41" s="42">
        <f>H34*$E27</f>
        <v>305.2</v>
      </c>
      <c r="I41" s="42">
        <f>I34*$E27</f>
        <v>305.2</v>
      </c>
      <c r="J41" s="42">
        <f>J34*$E27</f>
        <v>305.2</v>
      </c>
      <c r="K41" s="42">
        <f>K34*$E27</f>
        <v>305.2</v>
      </c>
      <c r="L41" s="42">
        <f>L34*$E27</f>
        <v>305.2</v>
      </c>
      <c r="M41" s="42">
        <f>M34*$E27</f>
        <v>305.2</v>
      </c>
      <c r="N41" s="42">
        <f>N34*$E27</f>
        <v>305.2</v>
      </c>
    </row>
    <row r="42">
      <c r="B42" s="39" t="inlineStr">
        <is>
          <t>ТО-2: чел-часы/год</t>
        </is>
      </c>
      <c r="C42" s="24" t="inlineStr">
        <is>
          <t>ч-час</t>
        </is>
      </c>
      <c r="E42" s="42">
        <f>E35*$E28</f>
        <v>189.0</v>
      </c>
      <c r="F42" s="42">
        <f>F35*$E28</f>
        <v>189.0</v>
      </c>
      <c r="G42" s="42">
        <f>G35*$E28</f>
        <v>189.0</v>
      </c>
      <c r="H42" s="42">
        <f>H35*$E28</f>
        <v>189.0</v>
      </c>
      <c r="I42" s="42">
        <f>I35*$E28</f>
        <v>189.0</v>
      </c>
      <c r="J42" s="42">
        <f>J35*$E28</f>
        <v>189.0</v>
      </c>
      <c r="K42" s="42">
        <f>K35*$E28</f>
        <v>189.0</v>
      </c>
      <c r="L42" s="42">
        <f>L35*$E28</f>
        <v>189.0</v>
      </c>
      <c r="M42" s="42">
        <f>M35*$E28</f>
        <v>189.0</v>
      </c>
      <c r="N42" s="42">
        <f>N35*$E28</f>
        <v>189.0</v>
      </c>
    </row>
    <row r="43">
      <c r="B43" s="39" t="inlineStr">
        <is>
          <t>ТО-3: чел-часы/год</t>
        </is>
      </c>
      <c r="C43" s="24" t="inlineStr">
        <is>
          <t>ч-час</t>
        </is>
      </c>
      <c r="E43" s="42">
        <f>E36*$E29</f>
        <v>87.00999999999999</v>
      </c>
      <c r="F43" s="42">
        <f>F36*$E29</f>
        <v>87.00999999999999</v>
      </c>
      <c r="G43" s="42">
        <f>G36*$E29</f>
        <v>87.00999999999999</v>
      </c>
      <c r="H43" s="42">
        <f>H36*$E29</f>
        <v>87.00999999999999</v>
      </c>
      <c r="I43" s="42">
        <f>I36*$E29</f>
        <v>87.00999999999999</v>
      </c>
      <c r="J43" s="42">
        <f>J36*$E29</f>
        <v>87.00999999999999</v>
      </c>
      <c r="K43" s="42">
        <f>K36*$E29</f>
        <v>87.00999999999999</v>
      </c>
      <c r="L43" s="42">
        <f>L36*$E29</f>
        <v>87.00999999999999</v>
      </c>
      <c r="M43" s="42">
        <f>M36*$E29</f>
        <v>87.00999999999999</v>
      </c>
      <c r="N43" s="42">
        <f>N36*$E29</f>
        <v>87.00999999999999</v>
      </c>
    </row>
    <row r="44">
      <c r="B44" s="39" t="inlineStr">
        <is>
          <t>ТО-4: чел-часы/год</t>
        </is>
      </c>
      <c r="C44" s="24" t="inlineStr">
        <is>
          <t>ч-час</t>
        </is>
      </c>
      <c r="E44" s="42">
        <f>E37*$E30</f>
        <v>19.845</v>
      </c>
      <c r="F44" s="42">
        <f>F37*$E30</f>
        <v>19.845</v>
      </c>
      <c r="G44" s="42">
        <f>G37*$E30</f>
        <v>19.845</v>
      </c>
      <c r="H44" s="42">
        <f>H37*$E30</f>
        <v>19.845</v>
      </c>
      <c r="I44" s="42">
        <f>I37*$E30</f>
        <v>19.845</v>
      </c>
      <c r="J44" s="42">
        <f>J37*$E30</f>
        <v>19.845</v>
      </c>
      <c r="K44" s="42">
        <f>K37*$E30</f>
        <v>19.845</v>
      </c>
      <c r="L44" s="42">
        <f>L37*$E30</f>
        <v>19.845</v>
      </c>
      <c r="M44" s="42">
        <f>M37*$E30</f>
        <v>19.845</v>
      </c>
      <c r="N44" s="42">
        <f>N37*$E30</f>
        <v>19.845</v>
      </c>
    </row>
    <row r="45">
      <c r="B45" s="39" t="inlineStr">
        <is>
          <t>ТО-5: чел-часы/год</t>
        </is>
      </c>
      <c r="C45" s="24" t="inlineStr">
        <is>
          <t>ч-час</t>
        </is>
      </c>
      <c r="E45" s="42">
        <f>E38*$E31</f>
        <v>23.473333333333336</v>
      </c>
      <c r="F45" s="42">
        <f>F38*$E31</f>
        <v>23.473333333333336</v>
      </c>
      <c r="G45" s="42">
        <f>G38*$E31</f>
        <v>23.473333333333336</v>
      </c>
      <c r="H45" s="42">
        <f>H38*$E31</f>
        <v>23.473333333333336</v>
      </c>
      <c r="I45" s="42">
        <f>I38*$E31</f>
        <v>23.473333333333336</v>
      </c>
      <c r="J45" s="42">
        <f>J38*$E31</f>
        <v>23.473333333333336</v>
      </c>
      <c r="K45" s="42">
        <f>K38*$E31</f>
        <v>23.473333333333336</v>
      </c>
      <c r="L45" s="42">
        <f>L38*$E31</f>
        <v>23.473333333333336</v>
      </c>
      <c r="M45" s="42">
        <f>M38*$E31</f>
        <v>23.473333333333336</v>
      </c>
      <c r="N45" s="42">
        <f>N38*$E31</f>
        <v>23.473333333333336</v>
      </c>
    </row>
    <row r="46">
      <c r="B46" s="39" t="inlineStr">
        <is>
          <t>ТО-6: чел-часы/год</t>
        </is>
      </c>
      <c r="C46" s="24" t="inlineStr">
        <is>
          <t>ч-час</t>
        </is>
      </c>
      <c r="E46" s="42">
        <f>E39*$E32</f>
        <v>11.844000000000001</v>
      </c>
      <c r="F46" s="42">
        <f>F39*$E32</f>
        <v>11.844000000000001</v>
      </c>
      <c r="G46" s="42">
        <f>G39*$E32</f>
        <v>11.844000000000001</v>
      </c>
      <c r="H46" s="42">
        <f>H39*$E32</f>
        <v>11.844000000000001</v>
      </c>
      <c r="I46" s="42">
        <f>I39*$E32</f>
        <v>11.844000000000001</v>
      </c>
      <c r="J46" s="42">
        <f>J39*$E32</f>
        <v>11.844000000000001</v>
      </c>
      <c r="K46" s="42">
        <f>K39*$E32</f>
        <v>11.844000000000001</v>
      </c>
      <c r="L46" s="42">
        <f>L39*$E32</f>
        <v>11.844000000000001</v>
      </c>
      <c r="M46" s="42">
        <f>M39*$E32</f>
        <v>11.844000000000001</v>
      </c>
      <c r="N46" s="42">
        <f>N39*$E32</f>
        <v>11.844000000000001</v>
      </c>
    </row>
    <row r="47">
      <c r="B47" s="39" t="inlineStr">
        <is>
          <t>Итого чел-часы ТО</t>
        </is>
      </c>
      <c r="E47" s="42">
        <f>SUM(E41:E46)</f>
        <v>636.3723333333335</v>
      </c>
      <c r="F47" s="42">
        <f>SUM(F41:F46)</f>
        <v>636.3723333333335</v>
      </c>
      <c r="G47" s="42">
        <f>SUM(G41:G46)</f>
        <v>636.3723333333335</v>
      </c>
      <c r="H47" s="42">
        <f>SUM(H41:H46)</f>
        <v>636.3723333333335</v>
      </c>
      <c r="I47" s="42">
        <f>SUM(I41:I46)</f>
        <v>636.3723333333335</v>
      </c>
      <c r="J47" s="42">
        <f>SUM(J41:J46)</f>
        <v>636.3723333333335</v>
      </c>
      <c r="K47" s="42">
        <f>SUM(K41:K46)</f>
        <v>636.3723333333335</v>
      </c>
      <c r="L47" s="42">
        <f>SUM(L41:L46)</f>
        <v>636.3723333333335</v>
      </c>
      <c r="M47" s="42">
        <f>SUM(M41:M46)</f>
        <v>636.3723333333335</v>
      </c>
      <c r="N47" s="42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44" t="n">
        <v>6.77</v>
      </c>
      <c r="D51" s="44" t="n">
        <v>70</v>
      </c>
      <c r="E51" s="42">
        <f>E$25/INDEX($C$27:$C$32,$P51)*D51*C51/1000</f>
        <v>13.2692</v>
      </c>
      <c r="F51" s="42">
        <f>F$25/INDEX($C$27:$C$32,$P51)*D51*C51/1000</f>
        <v>13.2692</v>
      </c>
      <c r="G51" s="42">
        <f>G$25/INDEX($C$27:$C$32,$P51)*D51*C51/1000</f>
        <v>13.2692</v>
      </c>
      <c r="H51" s="42">
        <f>H$25/INDEX($C$27:$C$32,$P51)*D51*C51/1000</f>
        <v>13.2692</v>
      </c>
      <c r="I51" s="42">
        <f>I$25/INDEX($C$27:$C$32,$P51)*D51*C51/1000</f>
        <v>13.2692</v>
      </c>
      <c r="J51" s="42">
        <f>J$25/INDEX($C$27:$C$32,$P51)*D51*C51/1000</f>
        <v>13.2692</v>
      </c>
      <c r="K51" s="42">
        <f>K$25/INDEX($C$27:$C$32,$P51)*D51*C51/1000</f>
        <v>13.2692</v>
      </c>
      <c r="L51" s="42">
        <f>L$25/INDEX($C$27:$C$32,$P51)*D51*C51/1000</f>
        <v>13.2692</v>
      </c>
      <c r="M51" s="42">
        <f>M$25/INDEX($C$27:$C$32,$P51)*D51*C51/1000</f>
        <v>13.2692</v>
      </c>
      <c r="N51" s="42">
        <f>N$25/INDEX($C$27:$C$32,$P51)*D51*C51/1000</f>
        <v>13.2692</v>
      </c>
      <c r="P51" s="43" t="n">
        <v>1</v>
      </c>
    </row>
    <row r="52">
      <c r="B52" s="22" t="inlineStr">
        <is>
          <t>Масляный фильтр двигателя</t>
        </is>
      </c>
      <c r="C52" s="44" t="n">
        <v>75.788</v>
      </c>
      <c r="D52" s="44" t="n">
        <v>2</v>
      </c>
      <c r="E52" s="42">
        <f>E$25/INDEX($C$27:$C$32,$P52)*D52*C52/1000</f>
        <v>4.244128</v>
      </c>
      <c r="F52" s="42">
        <f>F$25/INDEX($C$27:$C$32,$P52)*D52*C52/1000</f>
        <v>4.244128</v>
      </c>
      <c r="G52" s="42">
        <f>G$25/INDEX($C$27:$C$32,$P52)*D52*C52/1000</f>
        <v>4.244128</v>
      </c>
      <c r="H52" s="42">
        <f>H$25/INDEX($C$27:$C$32,$P52)*D52*C52/1000</f>
        <v>4.244128</v>
      </c>
      <c r="I52" s="42">
        <f>I$25/INDEX($C$27:$C$32,$P52)*D52*C52/1000</f>
        <v>4.244128</v>
      </c>
      <c r="J52" s="42">
        <f>J$25/INDEX($C$27:$C$32,$P52)*D52*C52/1000</f>
        <v>4.244128</v>
      </c>
      <c r="K52" s="42">
        <f>K$25/INDEX($C$27:$C$32,$P52)*D52*C52/1000</f>
        <v>4.244128</v>
      </c>
      <c r="L52" s="42">
        <f>L$25/INDEX($C$27:$C$32,$P52)*D52*C52/1000</f>
        <v>4.244128</v>
      </c>
      <c r="M52" s="42">
        <f>M$25/INDEX($C$27:$C$32,$P52)*D52*C52/1000</f>
        <v>4.244128</v>
      </c>
      <c r="N52" s="42">
        <f>N$25/INDEX($C$27:$C$32,$P52)*D52*C52/1000</f>
        <v>4.244128</v>
      </c>
      <c r="P52" s="43" t="n">
        <v>1</v>
      </c>
    </row>
    <row r="53">
      <c r="B53" s="22" t="inlineStr">
        <is>
          <t>Охлаждающая жидкость</t>
        </is>
      </c>
      <c r="C53" s="44" t="n">
        <v>4.368</v>
      </c>
      <c r="D53" s="44" t="n">
        <v>3</v>
      </c>
      <c r="E53" s="42">
        <f>E$25/INDEX($C$27:$C$32,$P53)*D53*C53/1000</f>
        <v>0.366912</v>
      </c>
      <c r="F53" s="42">
        <f>F$25/INDEX($C$27:$C$32,$P53)*D53*C53/1000</f>
        <v>0.366912</v>
      </c>
      <c r="G53" s="42">
        <f>G$25/INDEX($C$27:$C$32,$P53)*D53*C53/1000</f>
        <v>0.366912</v>
      </c>
      <c r="H53" s="42">
        <f>H$25/INDEX($C$27:$C$32,$P53)*D53*C53/1000</f>
        <v>0.366912</v>
      </c>
      <c r="I53" s="42">
        <f>I$25/INDEX($C$27:$C$32,$P53)*D53*C53/1000</f>
        <v>0.366912</v>
      </c>
      <c r="J53" s="42">
        <f>J$25/INDEX($C$27:$C$32,$P53)*D53*C53/1000</f>
        <v>0.366912</v>
      </c>
      <c r="K53" s="42">
        <f>K$25/INDEX($C$27:$C$32,$P53)*D53*C53/1000</f>
        <v>0.366912</v>
      </c>
      <c r="L53" s="42">
        <f>L$25/INDEX($C$27:$C$32,$P53)*D53*C53/1000</f>
        <v>0.366912</v>
      </c>
      <c r="M53" s="42">
        <f>M$25/INDEX($C$27:$C$32,$P53)*D53*C53/1000</f>
        <v>0.366912</v>
      </c>
      <c r="N53" s="42">
        <f>N$25/INDEX($C$27:$C$32,$P53)*D53*C53/1000</f>
        <v>0.366912</v>
      </c>
      <c r="P53" s="43" t="n">
        <v>1</v>
      </c>
    </row>
    <row r="54">
      <c r="B54" s="22" t="inlineStr">
        <is>
          <t>Воздушный фильтр первичный</t>
        </is>
      </c>
      <c r="C54" s="44" t="n">
        <v>51.588</v>
      </c>
      <c r="D54" s="44" t="n">
        <v>3</v>
      </c>
      <c r="E54" s="42">
        <f>E$25/INDEX($C$27:$C$32,$P54)*D54*C54/1000</f>
        <v>4.333392</v>
      </c>
      <c r="F54" s="42">
        <f>F$25/INDEX($C$27:$C$32,$P54)*D54*C54/1000</f>
        <v>4.333392</v>
      </c>
      <c r="G54" s="42">
        <f>G$25/INDEX($C$27:$C$32,$P54)*D54*C54/1000</f>
        <v>4.333392</v>
      </c>
      <c r="H54" s="42">
        <f>H$25/INDEX($C$27:$C$32,$P54)*D54*C54/1000</f>
        <v>4.333392</v>
      </c>
      <c r="I54" s="42">
        <f>I$25/INDEX($C$27:$C$32,$P54)*D54*C54/1000</f>
        <v>4.333392</v>
      </c>
      <c r="J54" s="42">
        <f>J$25/INDEX($C$27:$C$32,$P54)*D54*C54/1000</f>
        <v>4.333392</v>
      </c>
      <c r="K54" s="42">
        <f>K$25/INDEX($C$27:$C$32,$P54)*D54*C54/1000</f>
        <v>4.333392</v>
      </c>
      <c r="L54" s="42">
        <f>L$25/INDEX($C$27:$C$32,$P54)*D54*C54/1000</f>
        <v>4.333392</v>
      </c>
      <c r="M54" s="42">
        <f>M$25/INDEX($C$27:$C$32,$P54)*D54*C54/1000</f>
        <v>4.333392</v>
      </c>
      <c r="N54" s="42">
        <f>N$25/INDEX($C$27:$C$32,$P54)*D54*C54/1000</f>
        <v>4.333392</v>
      </c>
      <c r="P54" s="43" t="n">
        <v>1</v>
      </c>
    </row>
    <row r="55">
      <c r="B55" s="22" t="inlineStr">
        <is>
          <t>Воздушный фильтр вторичный</t>
        </is>
      </c>
      <c r="C55" s="44" t="n">
        <v>37.65</v>
      </c>
      <c r="D55" s="44" t="n">
        <v>3</v>
      </c>
      <c r="E55" s="42">
        <f>E$25/INDEX($C$27:$C$32,$P55)*D55*C55/1000</f>
        <v>3.1626</v>
      </c>
      <c r="F55" s="42">
        <f>F$25/INDEX($C$27:$C$32,$P55)*D55*C55/1000</f>
        <v>3.1626</v>
      </c>
      <c r="G55" s="42">
        <f>G$25/INDEX($C$27:$C$32,$P55)*D55*C55/1000</f>
        <v>3.1626</v>
      </c>
      <c r="H55" s="42">
        <f>H$25/INDEX($C$27:$C$32,$P55)*D55*C55/1000</f>
        <v>3.1626</v>
      </c>
      <c r="I55" s="42">
        <f>I$25/INDEX($C$27:$C$32,$P55)*D55*C55/1000</f>
        <v>3.1626</v>
      </c>
      <c r="J55" s="42">
        <f>J$25/INDEX($C$27:$C$32,$P55)*D55*C55/1000</f>
        <v>3.1626</v>
      </c>
      <c r="K55" s="42">
        <f>K$25/INDEX($C$27:$C$32,$P55)*D55*C55/1000</f>
        <v>3.1626</v>
      </c>
      <c r="L55" s="42">
        <f>L$25/INDEX($C$27:$C$32,$P55)*D55*C55/1000</f>
        <v>3.1626</v>
      </c>
      <c r="M55" s="42">
        <f>M$25/INDEX($C$27:$C$32,$P55)*D55*C55/1000</f>
        <v>3.1626</v>
      </c>
      <c r="N55" s="42">
        <f>N$25/INDEX($C$27:$C$32,$P55)*D55*C55/1000</f>
        <v>3.1626</v>
      </c>
      <c r="P55" s="43" t="n">
        <v>1</v>
      </c>
    </row>
    <row r="56">
      <c r="B56" s="22" t="inlineStr">
        <is>
          <t>Фильтр системы охл. ДВС</t>
        </is>
      </c>
      <c r="C56" s="44" t="n">
        <v>27.113</v>
      </c>
      <c r="D56" s="44" t="n">
        <v>2</v>
      </c>
      <c r="E56" s="42">
        <f>E$25/INDEX($C$27:$C$32,$P56)*D56*C56/1000</f>
        <v>1.518328</v>
      </c>
      <c r="F56" s="42">
        <f>F$25/INDEX($C$27:$C$32,$P56)*D56*C56/1000</f>
        <v>1.518328</v>
      </c>
      <c r="G56" s="42">
        <f>G$25/INDEX($C$27:$C$32,$P56)*D56*C56/1000</f>
        <v>1.518328</v>
      </c>
      <c r="H56" s="42">
        <f>H$25/INDEX($C$27:$C$32,$P56)*D56*C56/1000</f>
        <v>1.518328</v>
      </c>
      <c r="I56" s="42">
        <f>I$25/INDEX($C$27:$C$32,$P56)*D56*C56/1000</f>
        <v>1.518328</v>
      </c>
      <c r="J56" s="42">
        <f>J$25/INDEX($C$27:$C$32,$P56)*D56*C56/1000</f>
        <v>1.518328</v>
      </c>
      <c r="K56" s="42">
        <f>K$25/INDEX($C$27:$C$32,$P56)*D56*C56/1000</f>
        <v>1.518328</v>
      </c>
      <c r="L56" s="42">
        <f>L$25/INDEX($C$27:$C$32,$P56)*D56*C56/1000</f>
        <v>1.518328</v>
      </c>
      <c r="M56" s="42">
        <f>M$25/INDEX($C$27:$C$32,$P56)*D56*C56/1000</f>
        <v>1.518328</v>
      </c>
      <c r="N56" s="42">
        <f>N$25/INDEX($C$27:$C$32,$P56)*D56*C56/1000</f>
        <v>1.518328</v>
      </c>
      <c r="P56" s="43" t="n">
        <v>1</v>
      </c>
    </row>
    <row r="57">
      <c r="B57" s="22" t="inlineStr">
        <is>
          <t>Топливный фильтр первичный</t>
        </is>
      </c>
      <c r="C57" s="44" t="n">
        <v>65.66200000000001</v>
      </c>
      <c r="D57" s="44" t="n">
        <v>1</v>
      </c>
      <c r="E57" s="42">
        <f>E$25/INDEX($C$27:$C$32,$P57)*D57*C57/1000</f>
        <v>1.838536</v>
      </c>
      <c r="F57" s="42">
        <f>F$25/INDEX($C$27:$C$32,$P57)*D57*C57/1000</f>
        <v>1.838536</v>
      </c>
      <c r="G57" s="42">
        <f>G$25/INDEX($C$27:$C$32,$P57)*D57*C57/1000</f>
        <v>1.838536</v>
      </c>
      <c r="H57" s="42">
        <f>H$25/INDEX($C$27:$C$32,$P57)*D57*C57/1000</f>
        <v>1.838536</v>
      </c>
      <c r="I57" s="42">
        <f>I$25/INDEX($C$27:$C$32,$P57)*D57*C57/1000</f>
        <v>1.838536</v>
      </c>
      <c r="J57" s="42">
        <f>J$25/INDEX($C$27:$C$32,$P57)*D57*C57/1000</f>
        <v>1.838536</v>
      </c>
      <c r="K57" s="42">
        <f>K$25/INDEX($C$27:$C$32,$P57)*D57*C57/1000</f>
        <v>1.838536</v>
      </c>
      <c r="L57" s="42">
        <f>L$25/INDEX($C$27:$C$32,$P57)*D57*C57/1000</f>
        <v>1.838536</v>
      </c>
      <c r="M57" s="42">
        <f>M$25/INDEX($C$27:$C$32,$P57)*D57*C57/1000</f>
        <v>1.838536</v>
      </c>
      <c r="N57" s="42">
        <f>N$25/INDEX($C$27:$C$32,$P57)*D57*C57/1000</f>
        <v>1.838536</v>
      </c>
      <c r="P57" s="43" t="n">
        <v>1</v>
      </c>
    </row>
    <row r="58">
      <c r="B58" s="22" t="inlineStr">
        <is>
          <t>Топливный фильтр вторичный</t>
        </is>
      </c>
      <c r="C58" s="44" t="n">
        <v>127.662</v>
      </c>
      <c r="D58" s="44" t="n">
        <v>1</v>
      </c>
      <c r="E58" s="42">
        <f>E$25/INDEX($C$27:$C$32,$P58)*D58*C58/1000</f>
        <v>3.574536</v>
      </c>
      <c r="F58" s="42">
        <f>F$25/INDEX($C$27:$C$32,$P58)*D58*C58/1000</f>
        <v>3.574536</v>
      </c>
      <c r="G58" s="42">
        <f>G$25/INDEX($C$27:$C$32,$P58)*D58*C58/1000</f>
        <v>3.574536</v>
      </c>
      <c r="H58" s="42">
        <f>H$25/INDEX($C$27:$C$32,$P58)*D58*C58/1000</f>
        <v>3.574536</v>
      </c>
      <c r="I58" s="42">
        <f>I$25/INDEX($C$27:$C$32,$P58)*D58*C58/1000</f>
        <v>3.574536</v>
      </c>
      <c r="J58" s="42">
        <f>J$25/INDEX($C$27:$C$32,$P58)*D58*C58/1000</f>
        <v>3.574536</v>
      </c>
      <c r="K58" s="42">
        <f>K$25/INDEX($C$27:$C$32,$P58)*D58*C58/1000</f>
        <v>3.574536</v>
      </c>
      <c r="L58" s="42">
        <f>L$25/INDEX($C$27:$C$32,$P58)*D58*C58/1000</f>
        <v>3.574536</v>
      </c>
      <c r="M58" s="42">
        <f>M$25/INDEX($C$27:$C$32,$P58)*D58*C58/1000</f>
        <v>3.574536</v>
      </c>
      <c r="N58" s="42">
        <f>N$25/INDEX($C$27:$C$32,$P58)*D58*C58/1000</f>
        <v>3.574536</v>
      </c>
      <c r="P58" s="43" t="n">
        <v>1</v>
      </c>
    </row>
    <row r="59">
      <c r="B59" s="22" t="inlineStr">
        <is>
          <t>Влагоотделитель</t>
        </is>
      </c>
      <c r="C59" s="44" t="n">
        <v>14.612</v>
      </c>
      <c r="D59" s="44" t="n">
        <v>2</v>
      </c>
      <c r="E59" s="42">
        <f>E$25/INDEX($C$27:$C$32,$P59)*D59*C59/1000</f>
        <v>0.818272</v>
      </c>
      <c r="F59" s="42">
        <f>F$25/INDEX($C$27:$C$32,$P59)*D59*C59/1000</f>
        <v>0.818272</v>
      </c>
      <c r="G59" s="42">
        <f>G$25/INDEX($C$27:$C$32,$P59)*D59*C59/1000</f>
        <v>0.818272</v>
      </c>
      <c r="H59" s="42">
        <f>H$25/INDEX($C$27:$C$32,$P59)*D59*C59/1000</f>
        <v>0.818272</v>
      </c>
      <c r="I59" s="42">
        <f>I$25/INDEX($C$27:$C$32,$P59)*D59*C59/1000</f>
        <v>0.818272</v>
      </c>
      <c r="J59" s="42">
        <f>J$25/INDEX($C$27:$C$32,$P59)*D59*C59/1000</f>
        <v>0.818272</v>
      </c>
      <c r="K59" s="42">
        <f>K$25/INDEX($C$27:$C$32,$P59)*D59*C59/1000</f>
        <v>0.818272</v>
      </c>
      <c r="L59" s="42">
        <f>L$25/INDEX($C$27:$C$32,$P59)*D59*C59/1000</f>
        <v>0.818272</v>
      </c>
      <c r="M59" s="42">
        <f>M$25/INDEX($C$27:$C$32,$P59)*D59*C59/1000</f>
        <v>0.818272</v>
      </c>
      <c r="N59" s="42">
        <f>N$25/INDEX($C$27:$C$32,$P59)*D59*C59/1000</f>
        <v>0.818272</v>
      </c>
      <c r="P59" s="43" t="n">
        <v>1</v>
      </c>
    </row>
    <row r="60">
      <c r="B60" s="22" t="inlineStr">
        <is>
          <t>Консистентная смазка</t>
        </is>
      </c>
      <c r="C60" s="44" t="n">
        <v>10.752</v>
      </c>
      <c r="D60" s="44" t="n">
        <v>2</v>
      </c>
      <c r="E60" s="42">
        <f>E$25/INDEX($C$27:$C$32,$P60)*D60*C60/1000</f>
        <v>0.6021120000000001</v>
      </c>
      <c r="F60" s="42">
        <f>F$25/INDEX($C$27:$C$32,$P60)*D60*C60/1000</f>
        <v>0.6021120000000001</v>
      </c>
      <c r="G60" s="42">
        <f>G$25/INDEX($C$27:$C$32,$P60)*D60*C60/1000</f>
        <v>0.6021120000000001</v>
      </c>
      <c r="H60" s="42">
        <f>H$25/INDEX($C$27:$C$32,$P60)*D60*C60/1000</f>
        <v>0.6021120000000001</v>
      </c>
      <c r="I60" s="42">
        <f>I$25/INDEX($C$27:$C$32,$P60)*D60*C60/1000</f>
        <v>0.6021120000000001</v>
      </c>
      <c r="J60" s="42">
        <f>J$25/INDEX($C$27:$C$32,$P60)*D60*C60/1000</f>
        <v>0.6021120000000001</v>
      </c>
      <c r="K60" s="42">
        <f>K$25/INDEX($C$27:$C$32,$P60)*D60*C60/1000</f>
        <v>0.6021120000000001</v>
      </c>
      <c r="L60" s="42">
        <f>L$25/INDEX($C$27:$C$32,$P60)*D60*C60/1000</f>
        <v>0.6021120000000001</v>
      </c>
      <c r="M60" s="42">
        <f>M$25/INDEX($C$27:$C$32,$P60)*D60*C60/1000</f>
        <v>0.6021120000000001</v>
      </c>
      <c r="N60" s="42">
        <f>N$25/INDEX($C$27:$C$32,$P60)*D60*C60/1000</f>
        <v>0.6021120000000001</v>
      </c>
      <c r="P60" s="43" t="n">
        <v>1</v>
      </c>
    </row>
    <row r="61">
      <c r="B61" s="22" t="inlineStr">
        <is>
          <t>Сапун гидробака</t>
        </is>
      </c>
      <c r="C61" s="44" t="n">
        <v>18.025</v>
      </c>
      <c r="D61" s="44" t="n">
        <v>2</v>
      </c>
      <c r="E61" s="42">
        <f>E$25/INDEX($C$27:$C$32,$P61)*D61*C61/1000</f>
        <v>0.5046999999999999</v>
      </c>
      <c r="F61" s="42">
        <f>F$25/INDEX($C$27:$C$32,$P61)*D61*C61/1000</f>
        <v>0.5046999999999999</v>
      </c>
      <c r="G61" s="42">
        <f>G$25/INDEX($C$27:$C$32,$P61)*D61*C61/1000</f>
        <v>0.5046999999999999</v>
      </c>
      <c r="H61" s="42">
        <f>H$25/INDEX($C$27:$C$32,$P61)*D61*C61/1000</f>
        <v>0.5046999999999999</v>
      </c>
      <c r="I61" s="42">
        <f>I$25/INDEX($C$27:$C$32,$P61)*D61*C61/1000</f>
        <v>0.5046999999999999</v>
      </c>
      <c r="J61" s="42">
        <f>J$25/INDEX($C$27:$C$32,$P61)*D61*C61/1000</f>
        <v>0.5046999999999999</v>
      </c>
      <c r="K61" s="42">
        <f>K$25/INDEX($C$27:$C$32,$P61)*D61*C61/1000</f>
        <v>0.5046999999999999</v>
      </c>
      <c r="L61" s="42">
        <f>L$25/INDEX($C$27:$C$32,$P61)*D61*C61/1000</f>
        <v>0.5046999999999999</v>
      </c>
      <c r="M61" s="42">
        <f>M$25/INDEX($C$27:$C$32,$P61)*D61*C61/1000</f>
        <v>0.5046999999999999</v>
      </c>
      <c r="N61" s="42">
        <f>N$25/INDEX($C$27:$C$32,$P61)*D61*C61/1000</f>
        <v>0.5046999999999999</v>
      </c>
      <c r="P61" s="43" t="n">
        <v>2</v>
      </c>
    </row>
    <row r="62">
      <c r="B62" s="22" t="inlineStr">
        <is>
          <t>Фильтра системы пылеподавления</t>
        </is>
      </c>
      <c r="C62" s="44" t="n">
        <v>58.9</v>
      </c>
      <c r="D62" s="44" t="n">
        <v>9</v>
      </c>
      <c r="E62" s="42">
        <f>E$25/INDEX($C$27:$C$32,$P62)*D62*C62/1000</f>
        <v>7.421399999999999</v>
      </c>
      <c r="F62" s="42">
        <f>F$25/INDEX($C$27:$C$32,$P62)*D62*C62/1000</f>
        <v>7.421399999999999</v>
      </c>
      <c r="G62" s="42">
        <f>G$25/INDEX($C$27:$C$32,$P62)*D62*C62/1000</f>
        <v>7.421399999999999</v>
      </c>
      <c r="H62" s="42">
        <f>H$25/INDEX($C$27:$C$32,$P62)*D62*C62/1000</f>
        <v>7.421399999999999</v>
      </c>
      <c r="I62" s="42">
        <f>I$25/INDEX($C$27:$C$32,$P62)*D62*C62/1000</f>
        <v>7.421399999999999</v>
      </c>
      <c r="J62" s="42">
        <f>J$25/INDEX($C$27:$C$32,$P62)*D62*C62/1000</f>
        <v>7.421399999999999</v>
      </c>
      <c r="K62" s="42">
        <f>K$25/INDEX($C$27:$C$32,$P62)*D62*C62/1000</f>
        <v>7.421399999999999</v>
      </c>
      <c r="L62" s="42">
        <f>L$25/INDEX($C$27:$C$32,$P62)*D62*C62/1000</f>
        <v>7.421399999999999</v>
      </c>
      <c r="M62" s="42">
        <f>M$25/INDEX($C$27:$C$32,$P62)*D62*C62/1000</f>
        <v>7.421399999999999</v>
      </c>
      <c r="N62" s="42">
        <f>N$25/INDEX($C$27:$C$32,$P62)*D62*C62/1000</f>
        <v>7.421399999999999</v>
      </c>
      <c r="P62" s="43" t="n">
        <v>2</v>
      </c>
    </row>
    <row r="63">
      <c r="B63" s="22" t="inlineStr">
        <is>
          <t>Воздушный фильтр подогревателя</t>
        </is>
      </c>
      <c r="C63" s="44" t="n">
        <v>60.512</v>
      </c>
      <c r="D63" s="44" t="n">
        <v>1</v>
      </c>
      <c r="E63" s="42">
        <f>E$25/INDEX($C$27:$C$32,$P63)*D63*C63/1000</f>
        <v>0.847168</v>
      </c>
      <c r="F63" s="42">
        <f>F$25/INDEX($C$27:$C$32,$P63)*D63*C63/1000</f>
        <v>0.847168</v>
      </c>
      <c r="G63" s="42">
        <f>G$25/INDEX($C$27:$C$32,$P63)*D63*C63/1000</f>
        <v>0.847168</v>
      </c>
      <c r="H63" s="42">
        <f>H$25/INDEX($C$27:$C$32,$P63)*D63*C63/1000</f>
        <v>0.847168</v>
      </c>
      <c r="I63" s="42">
        <f>I$25/INDEX($C$27:$C$32,$P63)*D63*C63/1000</f>
        <v>0.847168</v>
      </c>
      <c r="J63" s="42">
        <f>J$25/INDEX($C$27:$C$32,$P63)*D63*C63/1000</f>
        <v>0.847168</v>
      </c>
      <c r="K63" s="42">
        <f>K$25/INDEX($C$27:$C$32,$P63)*D63*C63/1000</f>
        <v>0.847168</v>
      </c>
      <c r="L63" s="42">
        <f>L$25/INDEX($C$27:$C$32,$P63)*D63*C63/1000</f>
        <v>0.847168</v>
      </c>
      <c r="M63" s="42">
        <f>M$25/INDEX($C$27:$C$32,$P63)*D63*C63/1000</f>
        <v>0.847168</v>
      </c>
      <c r="N63" s="42">
        <f>N$25/INDEX($C$27:$C$32,$P63)*D63*C63/1000</f>
        <v>0.847168</v>
      </c>
      <c r="P63" s="43" t="n">
        <v>2</v>
      </c>
    </row>
    <row r="64">
      <c r="B64" s="22" t="inlineStr">
        <is>
          <t>Топливный фильтр подогревателя</t>
        </is>
      </c>
      <c r="C64" s="44" t="n">
        <v>29.512</v>
      </c>
      <c r="D64" s="44" t="n">
        <v>1</v>
      </c>
      <c r="E64" s="42">
        <f>E$25/INDEX($C$27:$C$32,$P64)*D64*C64/1000</f>
        <v>0.413168</v>
      </c>
      <c r="F64" s="42">
        <f>F$25/INDEX($C$27:$C$32,$P64)*D64*C64/1000</f>
        <v>0.413168</v>
      </c>
      <c r="G64" s="42">
        <f>G$25/INDEX($C$27:$C$32,$P64)*D64*C64/1000</f>
        <v>0.413168</v>
      </c>
      <c r="H64" s="42">
        <f>H$25/INDEX($C$27:$C$32,$P64)*D64*C64/1000</f>
        <v>0.413168</v>
      </c>
      <c r="I64" s="42">
        <f>I$25/INDEX($C$27:$C$32,$P64)*D64*C64/1000</f>
        <v>0.413168</v>
      </c>
      <c r="J64" s="42">
        <f>J$25/INDEX($C$27:$C$32,$P64)*D64*C64/1000</f>
        <v>0.413168</v>
      </c>
      <c r="K64" s="42">
        <f>K$25/INDEX($C$27:$C$32,$P64)*D64*C64/1000</f>
        <v>0.413168</v>
      </c>
      <c r="L64" s="42">
        <f>L$25/INDEX($C$27:$C$32,$P64)*D64*C64/1000</f>
        <v>0.413168</v>
      </c>
      <c r="M64" s="42">
        <f>M$25/INDEX($C$27:$C$32,$P64)*D64*C64/1000</f>
        <v>0.413168</v>
      </c>
      <c r="N64" s="42">
        <f>N$25/INDEX($C$27:$C$32,$P64)*D64*C64/1000</f>
        <v>0.413168</v>
      </c>
      <c r="P64" s="43" t="n">
        <v>2</v>
      </c>
    </row>
    <row r="65">
      <c r="B65" s="22" t="inlineStr">
        <is>
          <t>Сапун топливного бака</t>
        </is>
      </c>
      <c r="C65" s="44" t="n">
        <v>81.538</v>
      </c>
      <c r="D65" s="44" t="n">
        <v>1</v>
      </c>
      <c r="E65" s="42">
        <f>E$25/INDEX($C$27:$C$32,$P65)*D65*C65/1000</f>
        <v>1.141532</v>
      </c>
      <c r="F65" s="42">
        <f>F$25/INDEX($C$27:$C$32,$P65)*D65*C65/1000</f>
        <v>1.141532</v>
      </c>
      <c r="G65" s="42">
        <f>G$25/INDEX($C$27:$C$32,$P65)*D65*C65/1000</f>
        <v>1.141532</v>
      </c>
      <c r="H65" s="42">
        <f>H$25/INDEX($C$27:$C$32,$P65)*D65*C65/1000</f>
        <v>1.141532</v>
      </c>
      <c r="I65" s="42">
        <f>I$25/INDEX($C$27:$C$32,$P65)*D65*C65/1000</f>
        <v>1.141532</v>
      </c>
      <c r="J65" s="42">
        <f>J$25/INDEX($C$27:$C$32,$P65)*D65*C65/1000</f>
        <v>1.141532</v>
      </c>
      <c r="K65" s="42">
        <f>K$25/INDEX($C$27:$C$32,$P65)*D65*C65/1000</f>
        <v>1.141532</v>
      </c>
      <c r="L65" s="42">
        <f>L$25/INDEX($C$27:$C$32,$P65)*D65*C65/1000</f>
        <v>1.141532</v>
      </c>
      <c r="M65" s="42">
        <f>M$25/INDEX($C$27:$C$32,$P65)*D65*C65/1000</f>
        <v>1.141532</v>
      </c>
      <c r="N65" s="42">
        <f>N$25/INDEX($C$27:$C$32,$P65)*D65*C65/1000</f>
        <v>1.141532</v>
      </c>
      <c r="P65" s="43" t="n">
        <v>2</v>
      </c>
    </row>
    <row r="66">
      <c r="B66" s="22" t="inlineStr">
        <is>
          <t>Масляные фильтра компрессора</t>
        </is>
      </c>
      <c r="C66" s="44" t="n">
        <v>68.09999999999999</v>
      </c>
      <c r="D66" s="44" t="n">
        <v>2</v>
      </c>
      <c r="E66" s="42">
        <f>E$25/INDEX($C$27:$C$32,$P66)*D66*C66/1000</f>
        <v>1.9067999999999998</v>
      </c>
      <c r="F66" s="42">
        <f>F$25/INDEX($C$27:$C$32,$P66)*D66*C66/1000</f>
        <v>1.9067999999999998</v>
      </c>
      <c r="G66" s="42">
        <f>G$25/INDEX($C$27:$C$32,$P66)*D66*C66/1000</f>
        <v>1.9067999999999998</v>
      </c>
      <c r="H66" s="42">
        <f>H$25/INDEX($C$27:$C$32,$P66)*D66*C66/1000</f>
        <v>1.9067999999999998</v>
      </c>
      <c r="I66" s="42">
        <f>I$25/INDEX($C$27:$C$32,$P66)*D66*C66/1000</f>
        <v>1.9067999999999998</v>
      </c>
      <c r="J66" s="42">
        <f>J$25/INDEX($C$27:$C$32,$P66)*D66*C66/1000</f>
        <v>1.9067999999999998</v>
      </c>
      <c r="K66" s="42">
        <f>K$25/INDEX($C$27:$C$32,$P66)*D66*C66/1000</f>
        <v>1.9067999999999998</v>
      </c>
      <c r="L66" s="42">
        <f>L$25/INDEX($C$27:$C$32,$P66)*D66*C66/1000</f>
        <v>1.9067999999999998</v>
      </c>
      <c r="M66" s="42">
        <f>M$25/INDEX($C$27:$C$32,$P66)*D66*C66/1000</f>
        <v>1.9067999999999998</v>
      </c>
      <c r="N66" s="42">
        <f>N$25/INDEX($C$27:$C$32,$P66)*D66*C66/1000</f>
        <v>1.9067999999999998</v>
      </c>
      <c r="P66" s="43" t="n">
        <v>2</v>
      </c>
    </row>
    <row r="67">
      <c r="B67" s="22" t="inlineStr">
        <is>
          <t>Консистентная смазка</t>
        </is>
      </c>
      <c r="C67" s="44" t="n">
        <v>10.752</v>
      </c>
      <c r="D67" s="44" t="n">
        <v>1</v>
      </c>
      <c r="E67" s="42">
        <f>E$25/INDEX($C$27:$C$32,$P67)*D67*C67/1000</f>
        <v>0.15052800000000002</v>
      </c>
      <c r="F67" s="42">
        <f>F$25/INDEX($C$27:$C$32,$P67)*D67*C67/1000</f>
        <v>0.15052800000000002</v>
      </c>
      <c r="G67" s="42">
        <f>G$25/INDEX($C$27:$C$32,$P67)*D67*C67/1000</f>
        <v>0.15052800000000002</v>
      </c>
      <c r="H67" s="42">
        <f>H$25/INDEX($C$27:$C$32,$P67)*D67*C67/1000</f>
        <v>0.15052800000000002</v>
      </c>
      <c r="I67" s="42">
        <f>I$25/INDEX($C$27:$C$32,$P67)*D67*C67/1000</f>
        <v>0.15052800000000002</v>
      </c>
      <c r="J67" s="42">
        <f>J$25/INDEX($C$27:$C$32,$P67)*D67*C67/1000</f>
        <v>0.15052800000000002</v>
      </c>
      <c r="K67" s="42">
        <f>K$25/INDEX($C$27:$C$32,$P67)*D67*C67/1000</f>
        <v>0.15052800000000002</v>
      </c>
      <c r="L67" s="42">
        <f>L$25/INDEX($C$27:$C$32,$P67)*D67*C67/1000</f>
        <v>0.15052800000000002</v>
      </c>
      <c r="M67" s="42">
        <f>M$25/INDEX($C$27:$C$32,$P67)*D67*C67/1000</f>
        <v>0.15052800000000002</v>
      </c>
      <c r="N67" s="42">
        <f>N$25/INDEX($C$27:$C$32,$P67)*D67*C67/1000</f>
        <v>0.15052800000000002</v>
      </c>
      <c r="P67" s="43" t="n">
        <v>2</v>
      </c>
    </row>
    <row r="68">
      <c r="B68" s="22" t="inlineStr">
        <is>
          <t>Масло для редуктора главного насос</t>
        </is>
      </c>
      <c r="C68" s="44" t="n">
        <v>12.706</v>
      </c>
      <c r="D68" s="44" t="n">
        <v>4.2</v>
      </c>
      <c r="E68" s="42">
        <f>E$25/INDEX($C$27:$C$32,$P68)*D68*C68/1000</f>
        <v>0.3735564</v>
      </c>
      <c r="F68" s="42">
        <f>F$25/INDEX($C$27:$C$32,$P68)*D68*C68/1000</f>
        <v>0.3735564</v>
      </c>
      <c r="G68" s="42">
        <f>G$25/INDEX($C$27:$C$32,$P68)*D68*C68/1000</f>
        <v>0.3735564</v>
      </c>
      <c r="H68" s="42">
        <f>H$25/INDEX($C$27:$C$32,$P68)*D68*C68/1000</f>
        <v>0.3735564</v>
      </c>
      <c r="I68" s="42">
        <f>I$25/INDEX($C$27:$C$32,$P68)*D68*C68/1000</f>
        <v>0.3735564</v>
      </c>
      <c r="J68" s="42">
        <f>J$25/INDEX($C$27:$C$32,$P68)*D68*C68/1000</f>
        <v>0.3735564</v>
      </c>
      <c r="K68" s="42">
        <f>K$25/INDEX($C$27:$C$32,$P68)*D68*C68/1000</f>
        <v>0.3735564</v>
      </c>
      <c r="L68" s="42">
        <f>L$25/INDEX($C$27:$C$32,$P68)*D68*C68/1000</f>
        <v>0.3735564</v>
      </c>
      <c r="M68" s="42">
        <f>M$25/INDEX($C$27:$C$32,$P68)*D68*C68/1000</f>
        <v>0.3735564</v>
      </c>
      <c r="N68" s="42">
        <f>N$25/INDEX($C$27:$C$32,$P68)*D68*C68/1000</f>
        <v>0.3735564</v>
      </c>
      <c r="P68" s="43" t="n">
        <v>3</v>
      </c>
    </row>
    <row r="69">
      <c r="B69" s="22" t="inlineStr">
        <is>
          <t>Масло для редуктора вращателя</t>
        </is>
      </c>
      <c r="C69" s="44" t="n">
        <v>12.706</v>
      </c>
      <c r="D69" s="44" t="n">
        <v>42</v>
      </c>
      <c r="E69" s="42">
        <f>E$25/INDEX($C$27:$C$32,$P69)*D69*C69/1000</f>
        <v>3.7355639999999997</v>
      </c>
      <c r="F69" s="42">
        <f>F$25/INDEX($C$27:$C$32,$P69)*D69*C69/1000</f>
        <v>3.7355639999999997</v>
      </c>
      <c r="G69" s="42">
        <f>G$25/INDEX($C$27:$C$32,$P69)*D69*C69/1000</f>
        <v>3.7355639999999997</v>
      </c>
      <c r="H69" s="42">
        <f>H$25/INDEX($C$27:$C$32,$P69)*D69*C69/1000</f>
        <v>3.7355639999999997</v>
      </c>
      <c r="I69" s="42">
        <f>I$25/INDEX($C$27:$C$32,$P69)*D69*C69/1000</f>
        <v>3.7355639999999997</v>
      </c>
      <c r="J69" s="42">
        <f>J$25/INDEX($C$27:$C$32,$P69)*D69*C69/1000</f>
        <v>3.7355639999999997</v>
      </c>
      <c r="K69" s="42">
        <f>K$25/INDEX($C$27:$C$32,$P69)*D69*C69/1000</f>
        <v>3.7355639999999997</v>
      </c>
      <c r="L69" s="42">
        <f>L$25/INDEX($C$27:$C$32,$P69)*D69*C69/1000</f>
        <v>3.7355639999999997</v>
      </c>
      <c r="M69" s="42">
        <f>M$25/INDEX($C$27:$C$32,$P69)*D69*C69/1000</f>
        <v>3.7355639999999997</v>
      </c>
      <c r="N69" s="42">
        <f>N$25/INDEX($C$27:$C$32,$P69)*D69*C69/1000</f>
        <v>3.7355639999999997</v>
      </c>
      <c r="P69" s="43" t="n">
        <v>3</v>
      </c>
    </row>
    <row r="70">
      <c r="B70" s="22" t="inlineStr">
        <is>
          <t>Масло для редуктора привода карусе</t>
        </is>
      </c>
      <c r="C70" s="44" t="n">
        <v>12.706</v>
      </c>
      <c r="D70" s="44" t="n">
        <v>1.4</v>
      </c>
      <c r="E70" s="42">
        <f>E$25/INDEX($C$27:$C$32,$P70)*D70*C70/1000</f>
        <v>0.12451879999999999</v>
      </c>
      <c r="F70" s="42">
        <f>F$25/INDEX($C$27:$C$32,$P70)*D70*C70/1000</f>
        <v>0.12451879999999999</v>
      </c>
      <c r="G70" s="42">
        <f>G$25/INDEX($C$27:$C$32,$P70)*D70*C70/1000</f>
        <v>0.12451879999999999</v>
      </c>
      <c r="H70" s="42">
        <f>H$25/INDEX($C$27:$C$32,$P70)*D70*C70/1000</f>
        <v>0.12451879999999999</v>
      </c>
      <c r="I70" s="42">
        <f>I$25/INDEX($C$27:$C$32,$P70)*D70*C70/1000</f>
        <v>0.12451879999999999</v>
      </c>
      <c r="J70" s="42">
        <f>J$25/INDEX($C$27:$C$32,$P70)*D70*C70/1000</f>
        <v>0.12451879999999999</v>
      </c>
      <c r="K70" s="42">
        <f>K$25/INDEX($C$27:$C$32,$P70)*D70*C70/1000</f>
        <v>0.12451879999999999</v>
      </c>
      <c r="L70" s="42">
        <f>L$25/INDEX($C$27:$C$32,$P70)*D70*C70/1000</f>
        <v>0.12451879999999999</v>
      </c>
      <c r="M70" s="42">
        <f>M$25/INDEX($C$27:$C$32,$P70)*D70*C70/1000</f>
        <v>0.12451879999999999</v>
      </c>
      <c r="N70" s="42">
        <f>N$25/INDEX($C$27:$C$32,$P70)*D70*C70/1000</f>
        <v>0.12451879999999999</v>
      </c>
      <c r="P70" s="43" t="n">
        <v>3</v>
      </c>
    </row>
    <row r="71">
      <c r="B71" s="22" t="inlineStr">
        <is>
          <t>Компрессорное масло</t>
        </is>
      </c>
      <c r="C71" s="44" t="n">
        <v>23.349</v>
      </c>
      <c r="D71" s="44" t="n">
        <v>123</v>
      </c>
      <c r="E71" s="42">
        <f>E$25/INDEX($C$27:$C$32,$P71)*D71*C71/1000</f>
        <v>20.103489</v>
      </c>
      <c r="F71" s="42">
        <f>F$25/INDEX($C$27:$C$32,$P71)*D71*C71/1000</f>
        <v>20.103489</v>
      </c>
      <c r="G71" s="42">
        <f>G$25/INDEX($C$27:$C$32,$P71)*D71*C71/1000</f>
        <v>20.103489</v>
      </c>
      <c r="H71" s="42">
        <f>H$25/INDEX($C$27:$C$32,$P71)*D71*C71/1000</f>
        <v>20.103489</v>
      </c>
      <c r="I71" s="42">
        <f>I$25/INDEX($C$27:$C$32,$P71)*D71*C71/1000</f>
        <v>20.103489</v>
      </c>
      <c r="J71" s="42">
        <f>J$25/INDEX($C$27:$C$32,$P71)*D71*C71/1000</f>
        <v>20.103489</v>
      </c>
      <c r="K71" s="42">
        <f>K$25/INDEX($C$27:$C$32,$P71)*D71*C71/1000</f>
        <v>20.103489</v>
      </c>
      <c r="L71" s="42">
        <f>L$25/INDEX($C$27:$C$32,$P71)*D71*C71/1000</f>
        <v>20.103489</v>
      </c>
      <c r="M71" s="42">
        <f>M$25/INDEX($C$27:$C$32,$P71)*D71*C71/1000</f>
        <v>20.103489</v>
      </c>
      <c r="N71" s="42">
        <f>N$25/INDEX($C$27:$C$32,$P71)*D71*C71/1000</f>
        <v>20.103489</v>
      </c>
      <c r="P71" s="43" t="n">
        <v>3</v>
      </c>
    </row>
    <row r="72">
      <c r="B72" s="22" t="inlineStr">
        <is>
          <t>Гидравлический фильтр</t>
        </is>
      </c>
      <c r="C72" s="44" t="n">
        <v>48.312</v>
      </c>
      <c r="D72" s="44" t="n">
        <v>2</v>
      </c>
      <c r="E72" s="42">
        <f>E$25/INDEX($C$27:$C$32,$P72)*D72*C72/1000</f>
        <v>0.676368</v>
      </c>
      <c r="F72" s="42">
        <f>F$25/INDEX($C$27:$C$32,$P72)*D72*C72/1000</f>
        <v>0.676368</v>
      </c>
      <c r="G72" s="42">
        <f>G$25/INDEX($C$27:$C$32,$P72)*D72*C72/1000</f>
        <v>0.676368</v>
      </c>
      <c r="H72" s="42">
        <f>H$25/INDEX($C$27:$C$32,$P72)*D72*C72/1000</f>
        <v>0.676368</v>
      </c>
      <c r="I72" s="42">
        <f>I$25/INDEX($C$27:$C$32,$P72)*D72*C72/1000</f>
        <v>0.676368</v>
      </c>
      <c r="J72" s="42">
        <f>J$25/INDEX($C$27:$C$32,$P72)*D72*C72/1000</f>
        <v>0.676368</v>
      </c>
      <c r="K72" s="42">
        <f>K$25/INDEX($C$27:$C$32,$P72)*D72*C72/1000</f>
        <v>0.676368</v>
      </c>
      <c r="L72" s="42">
        <f>L$25/INDEX($C$27:$C$32,$P72)*D72*C72/1000</f>
        <v>0.676368</v>
      </c>
      <c r="M72" s="42">
        <f>M$25/INDEX($C$27:$C$32,$P72)*D72*C72/1000</f>
        <v>0.676368</v>
      </c>
      <c r="N72" s="42">
        <f>N$25/INDEX($C$27:$C$32,$P72)*D72*C72/1000</f>
        <v>0.676368</v>
      </c>
      <c r="P72" s="43" t="n">
        <v>3</v>
      </c>
    </row>
    <row r="73">
      <c r="B73" s="22" t="inlineStr">
        <is>
          <t>Гидравлический фильтр (обратка)</t>
        </is>
      </c>
      <c r="C73" s="44" t="n">
        <v>156.975</v>
      </c>
      <c r="D73" s="44" t="n">
        <v>1</v>
      </c>
      <c r="E73" s="42">
        <f>E$25/INDEX($C$27:$C$32,$P73)*D73*C73/1000</f>
        <v>1.098825</v>
      </c>
      <c r="F73" s="42">
        <f>F$25/INDEX($C$27:$C$32,$P73)*D73*C73/1000</f>
        <v>1.098825</v>
      </c>
      <c r="G73" s="42">
        <f>G$25/INDEX($C$27:$C$32,$P73)*D73*C73/1000</f>
        <v>1.098825</v>
      </c>
      <c r="H73" s="42">
        <f>H$25/INDEX($C$27:$C$32,$P73)*D73*C73/1000</f>
        <v>1.098825</v>
      </c>
      <c r="I73" s="42">
        <f>I$25/INDEX($C$27:$C$32,$P73)*D73*C73/1000</f>
        <v>1.098825</v>
      </c>
      <c r="J73" s="42">
        <f>J$25/INDEX($C$27:$C$32,$P73)*D73*C73/1000</f>
        <v>1.098825</v>
      </c>
      <c r="K73" s="42">
        <f>K$25/INDEX($C$27:$C$32,$P73)*D73*C73/1000</f>
        <v>1.098825</v>
      </c>
      <c r="L73" s="42">
        <f>L$25/INDEX($C$27:$C$32,$P73)*D73*C73/1000</f>
        <v>1.098825</v>
      </c>
      <c r="M73" s="42">
        <f>M$25/INDEX($C$27:$C$32,$P73)*D73*C73/1000</f>
        <v>1.098825</v>
      </c>
      <c r="N73" s="42">
        <f>N$25/INDEX($C$27:$C$32,$P73)*D73*C73/1000</f>
        <v>1.098825</v>
      </c>
      <c r="P73" s="43" t="n">
        <v>3</v>
      </c>
    </row>
    <row r="74">
      <c r="B74" s="22" t="inlineStr">
        <is>
          <t>Фильтр кабины</t>
        </is>
      </c>
      <c r="C74" s="44" t="n">
        <v>59.175</v>
      </c>
      <c r="D74" s="44" t="n">
        <v>1</v>
      </c>
      <c r="E74" s="42">
        <f>E$25/INDEX($C$27:$C$32,$P74)*D74*C74/1000</f>
        <v>0.41422499999999995</v>
      </c>
      <c r="F74" s="42">
        <f>F$25/INDEX($C$27:$C$32,$P74)*D74*C74/1000</f>
        <v>0.41422499999999995</v>
      </c>
      <c r="G74" s="42">
        <f>G$25/INDEX($C$27:$C$32,$P74)*D74*C74/1000</f>
        <v>0.41422499999999995</v>
      </c>
      <c r="H74" s="42">
        <f>H$25/INDEX($C$27:$C$32,$P74)*D74*C74/1000</f>
        <v>0.41422499999999995</v>
      </c>
      <c r="I74" s="42">
        <f>I$25/INDEX($C$27:$C$32,$P74)*D74*C74/1000</f>
        <v>0.41422499999999995</v>
      </c>
      <c r="J74" s="42">
        <f>J$25/INDEX($C$27:$C$32,$P74)*D74*C74/1000</f>
        <v>0.41422499999999995</v>
      </c>
      <c r="K74" s="42">
        <f>K$25/INDEX($C$27:$C$32,$P74)*D74*C74/1000</f>
        <v>0.41422499999999995</v>
      </c>
      <c r="L74" s="42">
        <f>L$25/INDEX($C$27:$C$32,$P74)*D74*C74/1000</f>
        <v>0.41422499999999995</v>
      </c>
      <c r="M74" s="42">
        <f>M$25/INDEX($C$27:$C$32,$P74)*D74*C74/1000</f>
        <v>0.41422499999999995</v>
      </c>
      <c r="N74" s="42">
        <f>N$25/INDEX($C$27:$C$32,$P74)*D74*C74/1000</f>
        <v>0.41422499999999995</v>
      </c>
      <c r="P74" s="43" t="n">
        <v>3</v>
      </c>
    </row>
    <row r="75">
      <c r="B75" s="22" t="inlineStr">
        <is>
          <t>Фильтр кондиционера</t>
        </is>
      </c>
      <c r="C75" s="44" t="n">
        <v>33.663</v>
      </c>
      <c r="D75" s="44" t="n">
        <v>1</v>
      </c>
      <c r="E75" s="42">
        <f>E$25/INDEX($C$27:$C$32,$P75)*D75*C75/1000</f>
        <v>0.23564099999999996</v>
      </c>
      <c r="F75" s="42">
        <f>F$25/INDEX($C$27:$C$32,$P75)*D75*C75/1000</f>
        <v>0.23564099999999996</v>
      </c>
      <c r="G75" s="42">
        <f>G$25/INDEX($C$27:$C$32,$P75)*D75*C75/1000</f>
        <v>0.23564099999999996</v>
      </c>
      <c r="H75" s="42">
        <f>H$25/INDEX($C$27:$C$32,$P75)*D75*C75/1000</f>
        <v>0.23564099999999996</v>
      </c>
      <c r="I75" s="42">
        <f>I$25/INDEX($C$27:$C$32,$P75)*D75*C75/1000</f>
        <v>0.23564099999999996</v>
      </c>
      <c r="J75" s="42">
        <f>J$25/INDEX($C$27:$C$32,$P75)*D75*C75/1000</f>
        <v>0.23564099999999996</v>
      </c>
      <c r="K75" s="42">
        <f>K$25/INDEX($C$27:$C$32,$P75)*D75*C75/1000</f>
        <v>0.23564099999999996</v>
      </c>
      <c r="L75" s="42">
        <f>L$25/INDEX($C$27:$C$32,$P75)*D75*C75/1000</f>
        <v>0.23564099999999996</v>
      </c>
      <c r="M75" s="42">
        <f>M$25/INDEX($C$27:$C$32,$P75)*D75*C75/1000</f>
        <v>0.23564099999999996</v>
      </c>
      <c r="N75" s="42">
        <f>N$25/INDEX($C$27:$C$32,$P75)*D75*C75/1000</f>
        <v>0.23564099999999996</v>
      </c>
      <c r="P75" s="43" t="n">
        <v>3</v>
      </c>
    </row>
    <row r="76">
      <c r="B76" s="22" t="inlineStr">
        <is>
          <t>Фильтр вращателя</t>
        </is>
      </c>
      <c r="C76" s="44" t="n">
        <v>29.875</v>
      </c>
      <c r="D76" s="44" t="n">
        <v>1</v>
      </c>
      <c r="E76" s="42">
        <f>E$25/INDEX($C$27:$C$32,$P76)*D76*C76/1000</f>
        <v>0.209125</v>
      </c>
      <c r="F76" s="42">
        <f>F$25/INDEX($C$27:$C$32,$P76)*D76*C76/1000</f>
        <v>0.209125</v>
      </c>
      <c r="G76" s="42">
        <f>G$25/INDEX($C$27:$C$32,$P76)*D76*C76/1000</f>
        <v>0.209125</v>
      </c>
      <c r="H76" s="42">
        <f>H$25/INDEX($C$27:$C$32,$P76)*D76*C76/1000</f>
        <v>0.209125</v>
      </c>
      <c r="I76" s="42">
        <f>I$25/INDEX($C$27:$C$32,$P76)*D76*C76/1000</f>
        <v>0.209125</v>
      </c>
      <c r="J76" s="42">
        <f>J$25/INDEX($C$27:$C$32,$P76)*D76*C76/1000</f>
        <v>0.209125</v>
      </c>
      <c r="K76" s="42">
        <f>K$25/INDEX($C$27:$C$32,$P76)*D76*C76/1000</f>
        <v>0.209125</v>
      </c>
      <c r="L76" s="42">
        <f>L$25/INDEX($C$27:$C$32,$P76)*D76*C76/1000</f>
        <v>0.209125</v>
      </c>
      <c r="M76" s="42">
        <f>M$25/INDEX($C$27:$C$32,$P76)*D76*C76/1000</f>
        <v>0.209125</v>
      </c>
      <c r="N76" s="42">
        <f>N$25/INDEX($C$27:$C$32,$P76)*D76*C76/1000</f>
        <v>0.209125</v>
      </c>
      <c r="P76" s="43" t="n">
        <v>3</v>
      </c>
    </row>
    <row r="77">
      <c r="B77" s="22" t="inlineStr">
        <is>
          <t>Консистентная смазка</t>
        </is>
      </c>
      <c r="C77" s="44" t="n">
        <v>10.752</v>
      </c>
      <c r="D77" s="44" t="n">
        <v>0.1</v>
      </c>
      <c r="E77" s="42">
        <f>E$25/INDEX($C$27:$C$32,$P77)*D77*C77/1000</f>
        <v>0.007526400000000002</v>
      </c>
      <c r="F77" s="42">
        <f>F$25/INDEX($C$27:$C$32,$P77)*D77*C77/1000</f>
        <v>0.007526400000000002</v>
      </c>
      <c r="G77" s="42">
        <f>G$25/INDEX($C$27:$C$32,$P77)*D77*C77/1000</f>
        <v>0.007526400000000002</v>
      </c>
      <c r="H77" s="42">
        <f>H$25/INDEX($C$27:$C$32,$P77)*D77*C77/1000</f>
        <v>0.007526400000000002</v>
      </c>
      <c r="I77" s="42">
        <f>I$25/INDEX($C$27:$C$32,$P77)*D77*C77/1000</f>
        <v>0.007526400000000002</v>
      </c>
      <c r="J77" s="42">
        <f>J$25/INDEX($C$27:$C$32,$P77)*D77*C77/1000</f>
        <v>0.007526400000000002</v>
      </c>
      <c r="K77" s="42">
        <f>K$25/INDEX($C$27:$C$32,$P77)*D77*C77/1000</f>
        <v>0.007526400000000002</v>
      </c>
      <c r="L77" s="42">
        <f>L$25/INDEX($C$27:$C$32,$P77)*D77*C77/1000</f>
        <v>0.007526400000000002</v>
      </c>
      <c r="M77" s="42">
        <f>M$25/INDEX($C$27:$C$32,$P77)*D77*C77/1000</f>
        <v>0.007526400000000002</v>
      </c>
      <c r="N77" s="42">
        <f>N$25/INDEX($C$27:$C$32,$P77)*D77*C77/1000</f>
        <v>0.007526400000000002</v>
      </c>
      <c r="P77" s="43" t="n">
        <v>3</v>
      </c>
    </row>
    <row r="78">
      <c r="B78" s="22" t="inlineStr">
        <is>
          <t>Элемент сепаратора</t>
        </is>
      </c>
      <c r="C78" s="44" t="n">
        <v>561.462</v>
      </c>
      <c r="D78" s="44" t="n">
        <v>1</v>
      </c>
      <c r="E78" s="42">
        <f>E$25/INDEX($C$27:$C$32,$P78)*D78*C78/1000</f>
        <v>1.965117</v>
      </c>
      <c r="F78" s="42">
        <f>F$25/INDEX($C$27:$C$32,$P78)*D78*C78/1000</f>
        <v>1.965117</v>
      </c>
      <c r="G78" s="42">
        <f>G$25/INDEX($C$27:$C$32,$P78)*D78*C78/1000</f>
        <v>1.965117</v>
      </c>
      <c r="H78" s="42">
        <f>H$25/INDEX($C$27:$C$32,$P78)*D78*C78/1000</f>
        <v>1.965117</v>
      </c>
      <c r="I78" s="42">
        <f>I$25/INDEX($C$27:$C$32,$P78)*D78*C78/1000</f>
        <v>1.965117</v>
      </c>
      <c r="J78" s="42">
        <f>J$25/INDEX($C$27:$C$32,$P78)*D78*C78/1000</f>
        <v>1.965117</v>
      </c>
      <c r="K78" s="42">
        <f>K$25/INDEX($C$27:$C$32,$P78)*D78*C78/1000</f>
        <v>1.965117</v>
      </c>
      <c r="L78" s="42">
        <f>L$25/INDEX($C$27:$C$32,$P78)*D78*C78/1000</f>
        <v>1.965117</v>
      </c>
      <c r="M78" s="42">
        <f>M$25/INDEX($C$27:$C$32,$P78)*D78*C78/1000</f>
        <v>1.965117</v>
      </c>
      <c r="N78" s="42">
        <f>N$25/INDEX($C$27:$C$32,$P78)*D78*C78/1000</f>
        <v>1.965117</v>
      </c>
      <c r="P78" s="43" t="n">
        <v>4</v>
      </c>
    </row>
    <row r="79">
      <c r="B79" s="22" t="inlineStr">
        <is>
          <t>Масло редукторов хода</t>
        </is>
      </c>
      <c r="C79" s="44" t="n">
        <v>23.907</v>
      </c>
      <c r="D79" s="44" t="n">
        <v>7</v>
      </c>
      <c r="E79" s="42">
        <f>E$25/INDEX($C$27:$C$32,$P79)*D79*C79/1000</f>
        <v>0.5857215</v>
      </c>
      <c r="F79" s="42">
        <f>F$25/INDEX($C$27:$C$32,$P79)*D79*C79/1000</f>
        <v>0.5857215</v>
      </c>
      <c r="G79" s="42">
        <f>G$25/INDEX($C$27:$C$32,$P79)*D79*C79/1000</f>
        <v>0.5857215</v>
      </c>
      <c r="H79" s="42">
        <f>H$25/INDEX($C$27:$C$32,$P79)*D79*C79/1000</f>
        <v>0.5857215</v>
      </c>
      <c r="I79" s="42">
        <f>I$25/INDEX($C$27:$C$32,$P79)*D79*C79/1000</f>
        <v>0.5857215</v>
      </c>
      <c r="J79" s="42">
        <f>J$25/INDEX($C$27:$C$32,$P79)*D79*C79/1000</f>
        <v>0.5857215</v>
      </c>
      <c r="K79" s="42">
        <f>K$25/INDEX($C$27:$C$32,$P79)*D79*C79/1000</f>
        <v>0.5857215</v>
      </c>
      <c r="L79" s="42">
        <f>L$25/INDEX($C$27:$C$32,$P79)*D79*C79/1000</f>
        <v>0.5857215</v>
      </c>
      <c r="M79" s="42">
        <f>M$25/INDEX($C$27:$C$32,$P79)*D79*C79/1000</f>
        <v>0.5857215</v>
      </c>
      <c r="N79" s="42">
        <f>N$25/INDEX($C$27:$C$32,$P79)*D79*C79/1000</f>
        <v>0.5857215</v>
      </c>
      <c r="P79" s="43" t="n">
        <v>4</v>
      </c>
    </row>
    <row r="80">
      <c r="B80" s="22" t="inlineStr">
        <is>
          <t>Фильтр системы пылеподавления</t>
        </is>
      </c>
      <c r="C80" s="44" t="n">
        <v>19.45</v>
      </c>
      <c r="D80" s="44" t="n">
        <v>1</v>
      </c>
      <c r="E80" s="42">
        <f>E$25/INDEX($C$27:$C$32,$P80)*D80*C80/1000</f>
        <v>0.068075</v>
      </c>
      <c r="F80" s="42">
        <f>F$25/INDEX($C$27:$C$32,$P80)*D80*C80/1000</f>
        <v>0.068075</v>
      </c>
      <c r="G80" s="42">
        <f>G$25/INDEX($C$27:$C$32,$P80)*D80*C80/1000</f>
        <v>0.068075</v>
      </c>
      <c r="H80" s="42">
        <f>H$25/INDEX($C$27:$C$32,$P80)*D80*C80/1000</f>
        <v>0.068075</v>
      </c>
      <c r="I80" s="42">
        <f>I$25/INDEX($C$27:$C$32,$P80)*D80*C80/1000</f>
        <v>0.068075</v>
      </c>
      <c r="J80" s="42">
        <f>J$25/INDEX($C$27:$C$32,$P80)*D80*C80/1000</f>
        <v>0.068075</v>
      </c>
      <c r="K80" s="42">
        <f>K$25/INDEX($C$27:$C$32,$P80)*D80*C80/1000</f>
        <v>0.068075</v>
      </c>
      <c r="L80" s="42">
        <f>L$25/INDEX($C$27:$C$32,$P80)*D80*C80/1000</f>
        <v>0.068075</v>
      </c>
      <c r="M80" s="42">
        <f>M$25/INDEX($C$27:$C$32,$P80)*D80*C80/1000</f>
        <v>0.068075</v>
      </c>
      <c r="N80" s="42">
        <f>N$25/INDEX($C$27:$C$32,$P80)*D80*C80/1000</f>
        <v>0.068075</v>
      </c>
      <c r="P80" s="43" t="n">
        <v>4</v>
      </c>
    </row>
    <row r="81">
      <c r="B81" s="22" t="inlineStr">
        <is>
          <t>Уплотнение штанги</t>
        </is>
      </c>
      <c r="C81" s="44" t="n">
        <v>218.162</v>
      </c>
      <c r="D81" s="44" t="n">
        <v>1</v>
      </c>
      <c r="E81" s="42">
        <f>E$25/INDEX($C$27:$C$32,$P81)*D81*C81/1000</f>
        <v>0.763567</v>
      </c>
      <c r="F81" s="42">
        <f>F$25/INDEX($C$27:$C$32,$P81)*D81*C81/1000</f>
        <v>0.763567</v>
      </c>
      <c r="G81" s="42">
        <f>G$25/INDEX($C$27:$C$32,$P81)*D81*C81/1000</f>
        <v>0.763567</v>
      </c>
      <c r="H81" s="42">
        <f>H$25/INDEX($C$27:$C$32,$P81)*D81*C81/1000</f>
        <v>0.763567</v>
      </c>
      <c r="I81" s="42">
        <f>I$25/INDEX($C$27:$C$32,$P81)*D81*C81/1000</f>
        <v>0.763567</v>
      </c>
      <c r="J81" s="42">
        <f>J$25/INDEX($C$27:$C$32,$P81)*D81*C81/1000</f>
        <v>0.763567</v>
      </c>
      <c r="K81" s="42">
        <f>K$25/INDEX($C$27:$C$32,$P81)*D81*C81/1000</f>
        <v>0.763567</v>
      </c>
      <c r="L81" s="42">
        <f>L$25/INDEX($C$27:$C$32,$P81)*D81*C81/1000</f>
        <v>0.763567</v>
      </c>
      <c r="M81" s="42">
        <f>M$25/INDEX($C$27:$C$32,$P81)*D81*C81/1000</f>
        <v>0.763567</v>
      </c>
      <c r="N81" s="42">
        <f>N$25/INDEX($C$27:$C$32,$P81)*D81*C81/1000</f>
        <v>0.763567</v>
      </c>
      <c r="P81" s="43" t="n">
        <v>4</v>
      </c>
    </row>
    <row r="82">
      <c r="B82" s="22" t="inlineStr">
        <is>
          <t>Гидравлическое масло</t>
        </is>
      </c>
      <c r="C82" s="44" t="n">
        <v>30.236</v>
      </c>
      <c r="D82" s="44" t="n">
        <v>833</v>
      </c>
      <c r="E82" s="42">
        <f>E$25/INDEX($C$27:$C$32,$P82)*D82*C82/1000</f>
        <v>58.76870533333334</v>
      </c>
      <c r="F82" s="42">
        <f>F$25/INDEX($C$27:$C$32,$P82)*D82*C82/1000</f>
        <v>58.76870533333334</v>
      </c>
      <c r="G82" s="42">
        <f>G$25/INDEX($C$27:$C$32,$P82)*D82*C82/1000</f>
        <v>58.76870533333334</v>
      </c>
      <c r="H82" s="42">
        <f>H$25/INDEX($C$27:$C$32,$P82)*D82*C82/1000</f>
        <v>58.76870533333334</v>
      </c>
      <c r="I82" s="42">
        <f>I$25/INDEX($C$27:$C$32,$P82)*D82*C82/1000</f>
        <v>58.76870533333334</v>
      </c>
      <c r="J82" s="42">
        <f>J$25/INDEX($C$27:$C$32,$P82)*D82*C82/1000</f>
        <v>58.76870533333334</v>
      </c>
      <c r="K82" s="42">
        <f>K$25/INDEX($C$27:$C$32,$P82)*D82*C82/1000</f>
        <v>58.76870533333334</v>
      </c>
      <c r="L82" s="42">
        <f>L$25/INDEX($C$27:$C$32,$P82)*D82*C82/1000</f>
        <v>58.76870533333334</v>
      </c>
      <c r="M82" s="42">
        <f>M$25/INDEX($C$27:$C$32,$P82)*D82*C82/1000</f>
        <v>58.76870533333334</v>
      </c>
      <c r="N82" s="42">
        <f>N$25/INDEX($C$27:$C$32,$P82)*D82*C82/1000</f>
        <v>58.76870533333334</v>
      </c>
      <c r="P82" s="43" t="n">
        <v>5</v>
      </c>
    </row>
    <row r="83">
      <c r="B83" s="22" t="inlineStr">
        <is>
          <t>Охлаждающая жидкость</t>
        </is>
      </c>
      <c r="C83" s="44" t="n">
        <v>3.122</v>
      </c>
      <c r="D83" s="44" t="n">
        <v>190</v>
      </c>
      <c r="E83" s="42">
        <f>E$25/INDEX($C$27:$C$32,$P83)*D83*C83/1000</f>
        <v>0.830452</v>
      </c>
      <c r="F83" s="42">
        <f>F$25/INDEX($C$27:$C$32,$P83)*D83*C83/1000</f>
        <v>0.830452</v>
      </c>
      <c r="G83" s="42">
        <f>G$25/INDEX($C$27:$C$32,$P83)*D83*C83/1000</f>
        <v>0.830452</v>
      </c>
      <c r="H83" s="42">
        <f>H$25/INDEX($C$27:$C$32,$P83)*D83*C83/1000</f>
        <v>0.830452</v>
      </c>
      <c r="I83" s="42">
        <f>I$25/INDEX($C$27:$C$32,$P83)*D83*C83/1000</f>
        <v>0.830452</v>
      </c>
      <c r="J83" s="42">
        <f>J$25/INDEX($C$27:$C$32,$P83)*D83*C83/1000</f>
        <v>0.830452</v>
      </c>
      <c r="K83" s="42">
        <f>K$25/INDEX($C$27:$C$32,$P83)*D83*C83/1000</f>
        <v>0.830452</v>
      </c>
      <c r="L83" s="42">
        <f>L$25/INDEX($C$27:$C$32,$P83)*D83*C83/1000</f>
        <v>0.830452</v>
      </c>
      <c r="M83" s="42">
        <f>M$25/INDEX($C$27:$C$32,$P83)*D83*C83/1000</f>
        <v>0.830452</v>
      </c>
      <c r="N83" s="42">
        <f>N$25/INDEX($C$27:$C$32,$P83)*D83*C83/1000</f>
        <v>0.830452</v>
      </c>
      <c r="P83" s="43" t="n">
        <v>6</v>
      </c>
    </row>
    <row r="84">
      <c r="B84" s="22" t="inlineStr">
        <is>
          <t>Корректировка (прочее)</t>
        </is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</row>
    <row r="85">
      <c r="B85" s="39" t="inlineStr">
        <is>
          <t>ИТОГО ЗЧ ТО, тыс.вал/год</t>
        </is>
      </c>
      <c r="E85" s="42">
        <f>SUM(E51:E84)</f>
        <v>136.07378843333333</v>
      </c>
      <c r="F85" s="42">
        <f>SUM(F51:F84)</f>
        <v>136.07378843333333</v>
      </c>
      <c r="G85" s="42">
        <f>SUM(G51:G84)</f>
        <v>136.07378843333333</v>
      </c>
      <c r="H85" s="42">
        <f>SUM(H51:H84)</f>
        <v>136.07378843333333</v>
      </c>
      <c r="I85" s="42">
        <f>SUM(I51:I84)</f>
        <v>136.07378843333333</v>
      </c>
      <c r="J85" s="42">
        <f>SUM(J51:J84)</f>
        <v>136.07378843333333</v>
      </c>
      <c r="K85" s="42">
        <f>SUM(K51:K84)</f>
        <v>136.07378843333333</v>
      </c>
      <c r="L85" s="42">
        <f>SUM(L51:L84)</f>
        <v>136.07378843333333</v>
      </c>
      <c r="M85" s="42">
        <f>SUM(M51:M84)</f>
        <v>136.07378843333333</v>
      </c>
      <c r="N85" s="42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44" t="n">
        <v>98848.48</v>
      </c>
      <c r="D89" s="43" t="n">
        <v>15000</v>
      </c>
      <c r="E89" s="42">
        <f>(INT($E$25*1/$D89)-INT($E$25*(1-1)/$D89))*$C89/1000</f>
        <v>0.0</v>
      </c>
      <c r="F89" s="42">
        <f>(INT($E$25*2/$D89)-INT($E$25*(2-1)/$D89))*$C89/1000</f>
        <v>0.0</v>
      </c>
      <c r="G89" s="42">
        <f>(INT($E$25*3/$D89)-INT($E$25*(3-1)/$D89))*$C89/1000</f>
        <v>98.84848</v>
      </c>
      <c r="H89" s="42">
        <f>(INT($E$25*4/$D89)-INT($E$25*(4-1)/$D89))*$C89/1000</f>
        <v>0.0</v>
      </c>
      <c r="I89" s="42">
        <f>(INT($E$25*5/$D89)-INT($E$25*(5-1)/$D89))*$C89/1000</f>
        <v>98.84848</v>
      </c>
      <c r="J89" s="42">
        <f>(INT($E$25*6/$D89)-INT($E$25*(6-1)/$D89))*$C89/1000</f>
        <v>0.0</v>
      </c>
      <c r="K89" s="42">
        <f>(INT($E$25*7/$D89)-INT($E$25*(7-1)/$D89))*$C89/1000</f>
        <v>98.84848</v>
      </c>
      <c r="L89" s="42">
        <f>(INT($E$25*8/$D89)-INT($E$25*(8-1)/$D89))*$C89/1000</f>
        <v>0.0</v>
      </c>
      <c r="M89" s="42">
        <f>(INT($E$25*9/$D89)-INT($E$25*(9-1)/$D89))*$C89/1000</f>
        <v>98.84848</v>
      </c>
      <c r="N89" s="42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44" t="n">
        <v>32894</v>
      </c>
      <c r="D90" s="43" t="n">
        <v>16000</v>
      </c>
      <c r="E90" s="42">
        <f>(INT($E$25*1/$D90)-INT($E$25*(1-1)/$D90))*$C90/1000</f>
        <v>0.0</v>
      </c>
      <c r="F90" s="42">
        <f>(INT($E$25*2/$D90)-INT($E$25*(2-1)/$D90))*$C90/1000</f>
        <v>0.0</v>
      </c>
      <c r="G90" s="42">
        <f>(INT($E$25*3/$D90)-INT($E$25*(3-1)/$D90))*$C90/1000</f>
        <v>32.894</v>
      </c>
      <c r="H90" s="42">
        <f>(INT($E$25*4/$D90)-INT($E$25*(4-1)/$D90))*$C90/1000</f>
        <v>0.0</v>
      </c>
      <c r="I90" s="42">
        <f>(INT($E$25*5/$D90)-INT($E$25*(5-1)/$D90))*$C90/1000</f>
        <v>32.894</v>
      </c>
      <c r="J90" s="42">
        <f>(INT($E$25*6/$D90)-INT($E$25*(6-1)/$D90))*$C90/1000</f>
        <v>0.0</v>
      </c>
      <c r="K90" s="42">
        <f>(INT($E$25*7/$D90)-INT($E$25*(7-1)/$D90))*$C90/1000</f>
        <v>32.894</v>
      </c>
      <c r="L90" s="42">
        <f>(INT($E$25*8/$D90)-INT($E$25*(8-1)/$D90))*$C90/1000</f>
        <v>0.0</v>
      </c>
      <c r="M90" s="42">
        <f>(INT($E$25*9/$D90)-INT($E$25*(9-1)/$D90))*$C90/1000</f>
        <v>0.0</v>
      </c>
      <c r="N90" s="42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44" t="n">
        <v>46638</v>
      </c>
      <c r="D91" s="43" t="n">
        <v>13000</v>
      </c>
      <c r="E91" s="42">
        <f>(INT($E$25*1/$D91)-INT($E$25*(1-1)/$D91))*$C91/1000</f>
        <v>0.0</v>
      </c>
      <c r="F91" s="42">
        <f>(INT($E$25*2/$D91)-INT($E$25*(2-1)/$D91))*$C91/1000</f>
        <v>46.638</v>
      </c>
      <c r="G91" s="42">
        <f>(INT($E$25*3/$D91)-INT($E$25*(3-1)/$D91))*$C91/1000</f>
        <v>0.0</v>
      </c>
      <c r="H91" s="42">
        <f>(INT($E$25*4/$D91)-INT($E$25*(4-1)/$D91))*$C91/1000</f>
        <v>46.638</v>
      </c>
      <c r="I91" s="42">
        <f>(INT($E$25*5/$D91)-INT($E$25*(5-1)/$D91))*$C91/1000</f>
        <v>0.0</v>
      </c>
      <c r="J91" s="42">
        <f>(INT($E$25*6/$D91)-INT($E$25*(6-1)/$D91))*$C91/1000</f>
        <v>46.638</v>
      </c>
      <c r="K91" s="42">
        <f>(INT($E$25*7/$D91)-INT($E$25*(7-1)/$D91))*$C91/1000</f>
        <v>0.0</v>
      </c>
      <c r="L91" s="42">
        <f>(INT($E$25*8/$D91)-INT($E$25*(8-1)/$D91))*$C91/1000</f>
        <v>46.638</v>
      </c>
      <c r="M91" s="42">
        <f>(INT($E$25*9/$D91)-INT($E$25*(9-1)/$D91))*$C91/1000</f>
        <v>0.0</v>
      </c>
      <c r="N91" s="42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44" t="n">
        <v>4240.92</v>
      </c>
      <c r="D92" s="43" t="n">
        <v>7450</v>
      </c>
      <c r="E92" s="42">
        <f>(INT($E$25*1/$D92)-INT($E$25*(1-1)/$D92))*$C92/1000</f>
        <v>0.0</v>
      </c>
      <c r="F92" s="42">
        <f>(INT($E$25*2/$D92)-INT($E$25*(2-1)/$D92))*$C92/1000</f>
        <v>4.24092</v>
      </c>
      <c r="G92" s="42">
        <f>(INT($E$25*3/$D92)-INT($E$25*(3-1)/$D92))*$C92/1000</f>
        <v>4.24092</v>
      </c>
      <c r="H92" s="42">
        <f>(INT($E$25*4/$D92)-INT($E$25*(4-1)/$D92))*$C92/1000</f>
        <v>4.24092</v>
      </c>
      <c r="I92" s="42">
        <f>(INT($E$25*5/$D92)-INT($E$25*(5-1)/$D92))*$C92/1000</f>
        <v>4.24092</v>
      </c>
      <c r="J92" s="42">
        <f>(INT($E$25*6/$D92)-INT($E$25*(6-1)/$D92))*$C92/1000</f>
        <v>4.24092</v>
      </c>
      <c r="K92" s="42">
        <f>(INT($E$25*7/$D92)-INT($E$25*(7-1)/$D92))*$C92/1000</f>
        <v>4.24092</v>
      </c>
      <c r="L92" s="42">
        <f>(INT($E$25*8/$D92)-INT($E$25*(8-1)/$D92))*$C92/1000</f>
        <v>4.24092</v>
      </c>
      <c r="M92" s="42">
        <f>(INT($E$25*9/$D92)-INT($E$25*(9-1)/$D92))*$C92/1000</f>
        <v>4.24092</v>
      </c>
      <c r="N92" s="42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44" t="n">
        <v>4242.92</v>
      </c>
      <c r="D93" s="43" t="n">
        <v>7450</v>
      </c>
      <c r="E93" s="42">
        <f>(INT($E$25*1/$D93)-INT($E$25*(1-1)/$D93))*$C93/1000</f>
        <v>0.0</v>
      </c>
      <c r="F93" s="42">
        <f>(INT($E$25*2/$D93)-INT($E$25*(2-1)/$D93))*$C93/1000</f>
        <v>4.24292</v>
      </c>
      <c r="G93" s="42">
        <f>(INT($E$25*3/$D93)-INT($E$25*(3-1)/$D93))*$C93/1000</f>
        <v>4.24292</v>
      </c>
      <c r="H93" s="42">
        <f>(INT($E$25*4/$D93)-INT($E$25*(4-1)/$D93))*$C93/1000</f>
        <v>4.24292</v>
      </c>
      <c r="I93" s="42">
        <f>(INT($E$25*5/$D93)-INT($E$25*(5-1)/$D93))*$C93/1000</f>
        <v>4.24292</v>
      </c>
      <c r="J93" s="42">
        <f>(INT($E$25*6/$D93)-INT($E$25*(6-1)/$D93))*$C93/1000</f>
        <v>4.24292</v>
      </c>
      <c r="K93" s="42">
        <f>(INT($E$25*7/$D93)-INT($E$25*(7-1)/$D93))*$C93/1000</f>
        <v>4.24292</v>
      </c>
      <c r="L93" s="42">
        <f>(INT($E$25*8/$D93)-INT($E$25*(8-1)/$D93))*$C93/1000</f>
        <v>4.24292</v>
      </c>
      <c r="M93" s="42">
        <f>(INT($E$25*9/$D93)-INT($E$25*(9-1)/$D93))*$C93/1000</f>
        <v>4.24292</v>
      </c>
      <c r="N93" s="42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44" t="n">
        <v>3464.48</v>
      </c>
      <c r="D94" s="43" t="n">
        <v>6000</v>
      </c>
      <c r="E94" s="42">
        <f>(INT($E$25*1/$D94)-INT($E$25*(1-1)/$D94))*$C94/1000</f>
        <v>3.46448</v>
      </c>
      <c r="F94" s="42">
        <f>(INT($E$25*2/$D94)-INT($E$25*(2-1)/$D94))*$C94/1000</f>
        <v>3.46448</v>
      </c>
      <c r="G94" s="42">
        <f>(INT($E$25*3/$D94)-INT($E$25*(3-1)/$D94))*$C94/1000</f>
        <v>3.46448</v>
      </c>
      <c r="H94" s="42">
        <f>(INT($E$25*4/$D94)-INT($E$25*(4-1)/$D94))*$C94/1000</f>
        <v>3.46448</v>
      </c>
      <c r="I94" s="42">
        <f>(INT($E$25*5/$D94)-INT($E$25*(5-1)/$D94))*$C94/1000</f>
        <v>3.46448</v>
      </c>
      <c r="J94" s="42">
        <f>(INT($E$25*6/$D94)-INT($E$25*(6-1)/$D94))*$C94/1000</f>
        <v>6.92896</v>
      </c>
      <c r="K94" s="42">
        <f>(INT($E$25*7/$D94)-INT($E$25*(7-1)/$D94))*$C94/1000</f>
        <v>3.46448</v>
      </c>
      <c r="L94" s="42">
        <f>(INT($E$25*8/$D94)-INT($E$25*(8-1)/$D94))*$C94/1000</f>
        <v>3.46448</v>
      </c>
      <c r="M94" s="42">
        <f>(INT($E$25*9/$D94)-INT($E$25*(9-1)/$D94))*$C94/1000</f>
        <v>3.46448</v>
      </c>
      <c r="N94" s="42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44" t="n">
        <v>237.18</v>
      </c>
      <c r="D95" s="43" t="n">
        <v>6000</v>
      </c>
      <c r="E95" s="42">
        <f>(INT($E$25*1/$D95)-INT($E$25*(1-1)/$D95))*$C95/1000</f>
        <v>0.23718</v>
      </c>
      <c r="F95" s="42">
        <f>(INT($E$25*2/$D95)-INT($E$25*(2-1)/$D95))*$C95/1000</f>
        <v>0.23718</v>
      </c>
      <c r="G95" s="42">
        <f>(INT($E$25*3/$D95)-INT($E$25*(3-1)/$D95))*$C95/1000</f>
        <v>0.23718</v>
      </c>
      <c r="H95" s="42">
        <f>(INT($E$25*4/$D95)-INT($E$25*(4-1)/$D95))*$C95/1000</f>
        <v>0.23718</v>
      </c>
      <c r="I95" s="42">
        <f>(INT($E$25*5/$D95)-INT($E$25*(5-1)/$D95))*$C95/1000</f>
        <v>0.23718</v>
      </c>
      <c r="J95" s="42">
        <f>(INT($E$25*6/$D95)-INT($E$25*(6-1)/$D95))*$C95/1000</f>
        <v>0.47436</v>
      </c>
      <c r="K95" s="42">
        <f>(INT($E$25*7/$D95)-INT($E$25*(7-1)/$D95))*$C95/1000</f>
        <v>0.23718</v>
      </c>
      <c r="L95" s="42">
        <f>(INT($E$25*8/$D95)-INT($E$25*(8-1)/$D95))*$C95/1000</f>
        <v>0.23718</v>
      </c>
      <c r="M95" s="42">
        <f>(INT($E$25*9/$D95)-INT($E$25*(9-1)/$D95))*$C95/1000</f>
        <v>0.23718</v>
      </c>
      <c r="N95" s="42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44" t="n">
        <v>102.66</v>
      </c>
      <c r="D96" s="43" t="n">
        <v>4000</v>
      </c>
      <c r="E96" s="42">
        <f>(INT($E$25*1/$D96)-INT($E$25*(1-1)/$D96))*$C96/1000</f>
        <v>0.10266</v>
      </c>
      <c r="F96" s="42">
        <f>(INT($E$25*2/$D96)-INT($E$25*(2-1)/$D96))*$C96/1000</f>
        <v>0.20532</v>
      </c>
      <c r="G96" s="42">
        <f>(INT($E$25*3/$D96)-INT($E$25*(3-1)/$D96))*$C96/1000</f>
        <v>0.20532</v>
      </c>
      <c r="H96" s="42">
        <f>(INT($E$25*4/$D96)-INT($E$25*(4-1)/$D96))*$C96/1000</f>
        <v>0.20532</v>
      </c>
      <c r="I96" s="42">
        <f>(INT($E$25*5/$D96)-INT($E$25*(5-1)/$D96))*$C96/1000</f>
        <v>0.10266</v>
      </c>
      <c r="J96" s="42">
        <f>(INT($E$25*6/$D96)-INT($E$25*(6-1)/$D96))*$C96/1000</f>
        <v>0.20532</v>
      </c>
      <c r="K96" s="42">
        <f>(INT($E$25*7/$D96)-INT($E$25*(7-1)/$D96))*$C96/1000</f>
        <v>0.20532</v>
      </c>
      <c r="L96" s="42">
        <f>(INT($E$25*8/$D96)-INT($E$25*(8-1)/$D96))*$C96/1000</f>
        <v>0.20532</v>
      </c>
      <c r="M96" s="42">
        <f>(INT($E$25*9/$D96)-INT($E$25*(9-1)/$D96))*$C96/1000</f>
        <v>0.10266</v>
      </c>
      <c r="N96" s="42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44" t="n">
        <v>110.66</v>
      </c>
      <c r="D97" s="43" t="n">
        <v>4000</v>
      </c>
      <c r="E97" s="42">
        <f>(INT($E$25*1/$D97)-INT($E$25*(1-1)/$D97))*$C97/1000</f>
        <v>0.11066</v>
      </c>
      <c r="F97" s="42">
        <f>(INT($E$25*2/$D97)-INT($E$25*(2-1)/$D97))*$C97/1000</f>
        <v>0.22132</v>
      </c>
      <c r="G97" s="42">
        <f>(INT($E$25*3/$D97)-INT($E$25*(3-1)/$D97))*$C97/1000</f>
        <v>0.22132</v>
      </c>
      <c r="H97" s="42">
        <f>(INT($E$25*4/$D97)-INT($E$25*(4-1)/$D97))*$C97/1000</f>
        <v>0.22132</v>
      </c>
      <c r="I97" s="42">
        <f>(INT($E$25*5/$D97)-INT($E$25*(5-1)/$D97))*$C97/1000</f>
        <v>0.11066</v>
      </c>
      <c r="J97" s="42">
        <f>(INT($E$25*6/$D97)-INT($E$25*(6-1)/$D97))*$C97/1000</f>
        <v>0.22132</v>
      </c>
      <c r="K97" s="42">
        <f>(INT($E$25*7/$D97)-INT($E$25*(7-1)/$D97))*$C97/1000</f>
        <v>0.22132</v>
      </c>
      <c r="L97" s="42">
        <f>(INT($E$25*8/$D97)-INT($E$25*(8-1)/$D97))*$C97/1000</f>
        <v>0.22132</v>
      </c>
      <c r="M97" s="42">
        <f>(INT($E$25*9/$D97)-INT($E$25*(9-1)/$D97))*$C97/1000</f>
        <v>0.11066</v>
      </c>
      <c r="N97" s="42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44" t="n">
        <v>92.04000000000001</v>
      </c>
      <c r="D98" s="43" t="n">
        <v>5000</v>
      </c>
      <c r="E98" s="42">
        <f>(INT($E$25*1/$D98)-INT($E$25*(1-1)/$D98))*$C98/1000</f>
        <v>0.09204000000000001</v>
      </c>
      <c r="F98" s="42">
        <f>(INT($E$25*2/$D98)-INT($E$25*(2-1)/$D98))*$C98/1000</f>
        <v>0.09204000000000001</v>
      </c>
      <c r="G98" s="42">
        <f>(INT($E$25*3/$D98)-INT($E$25*(3-1)/$D98))*$C98/1000</f>
        <v>0.18408000000000002</v>
      </c>
      <c r="H98" s="42">
        <f>(INT($E$25*4/$D98)-INT($E$25*(4-1)/$D98))*$C98/1000</f>
        <v>0.09204000000000001</v>
      </c>
      <c r="I98" s="42">
        <f>(INT($E$25*5/$D98)-INT($E$25*(5-1)/$D98))*$C98/1000</f>
        <v>0.18408000000000002</v>
      </c>
      <c r="J98" s="42">
        <f>(INT($E$25*6/$D98)-INT($E$25*(6-1)/$D98))*$C98/1000</f>
        <v>0.09204000000000001</v>
      </c>
      <c r="K98" s="42">
        <f>(INT($E$25*7/$D98)-INT($E$25*(7-1)/$D98))*$C98/1000</f>
        <v>0.09204000000000001</v>
      </c>
      <c r="L98" s="42">
        <f>(INT($E$25*8/$D98)-INT($E$25*(8-1)/$D98))*$C98/1000</f>
        <v>0.18408000000000002</v>
      </c>
      <c r="M98" s="42">
        <f>(INT($E$25*9/$D98)-INT($E$25*(9-1)/$D98))*$C98/1000</f>
        <v>0.09204000000000001</v>
      </c>
      <c r="N98" s="42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44" t="n">
        <v>123.9</v>
      </c>
      <c r="D99" s="43" t="n">
        <v>4000</v>
      </c>
      <c r="E99" s="42">
        <f>(INT($E$25*1/$D99)-INT($E$25*(1-1)/$D99))*$C99/1000</f>
        <v>0.12390000000000001</v>
      </c>
      <c r="F99" s="42">
        <f>(INT($E$25*2/$D99)-INT($E$25*(2-1)/$D99))*$C99/1000</f>
        <v>0.24780000000000002</v>
      </c>
      <c r="G99" s="42">
        <f>(INT($E$25*3/$D99)-INT($E$25*(3-1)/$D99))*$C99/1000</f>
        <v>0.24780000000000002</v>
      </c>
      <c r="H99" s="42">
        <f>(INT($E$25*4/$D99)-INT($E$25*(4-1)/$D99))*$C99/1000</f>
        <v>0.24780000000000002</v>
      </c>
      <c r="I99" s="42">
        <f>(INT($E$25*5/$D99)-INT($E$25*(5-1)/$D99))*$C99/1000</f>
        <v>0.12390000000000001</v>
      </c>
      <c r="J99" s="42">
        <f>(INT($E$25*6/$D99)-INT($E$25*(6-1)/$D99))*$C99/1000</f>
        <v>0.24780000000000002</v>
      </c>
      <c r="K99" s="42">
        <f>(INT($E$25*7/$D99)-INT($E$25*(7-1)/$D99))*$C99/1000</f>
        <v>0.24780000000000002</v>
      </c>
      <c r="L99" s="42">
        <f>(INT($E$25*8/$D99)-INT($E$25*(8-1)/$D99))*$C99/1000</f>
        <v>0.24780000000000002</v>
      </c>
      <c r="M99" s="42">
        <f>(INT($E$25*9/$D99)-INT($E$25*(9-1)/$D99))*$C99/1000</f>
        <v>0.12390000000000001</v>
      </c>
      <c r="N99" s="42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44" t="n">
        <v>143.96</v>
      </c>
      <c r="D100" s="43" t="n">
        <v>12000</v>
      </c>
      <c r="E100" s="42">
        <f>(INT($E$25*1/$D100)-INT($E$25*(1-1)/$D100))*$C100/1000</f>
        <v>0.0</v>
      </c>
      <c r="F100" s="42">
        <f>(INT($E$25*2/$D100)-INT($E$25*(2-1)/$D100))*$C100/1000</f>
        <v>0.14396</v>
      </c>
      <c r="G100" s="42">
        <f>(INT($E$25*3/$D100)-INT($E$25*(3-1)/$D100))*$C100/1000</f>
        <v>0.0</v>
      </c>
      <c r="H100" s="42">
        <f>(INT($E$25*4/$D100)-INT($E$25*(4-1)/$D100))*$C100/1000</f>
        <v>0.14396</v>
      </c>
      <c r="I100" s="42">
        <f>(INT($E$25*5/$D100)-INT($E$25*(5-1)/$D100))*$C100/1000</f>
        <v>0.0</v>
      </c>
      <c r="J100" s="42">
        <f>(INT($E$25*6/$D100)-INT($E$25*(6-1)/$D100))*$C100/1000</f>
        <v>0.14396</v>
      </c>
      <c r="K100" s="42">
        <f>(INT($E$25*7/$D100)-INT($E$25*(7-1)/$D100))*$C100/1000</f>
        <v>0.14396</v>
      </c>
      <c r="L100" s="42">
        <f>(INT($E$25*8/$D100)-INT($E$25*(8-1)/$D100))*$C100/1000</f>
        <v>0.0</v>
      </c>
      <c r="M100" s="42">
        <f>(INT($E$25*9/$D100)-INT($E$25*(9-1)/$D100))*$C100/1000</f>
        <v>0.14396</v>
      </c>
      <c r="N100" s="42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44" t="n">
        <v>159.96</v>
      </c>
      <c r="D101" s="43" t="n">
        <v>7000</v>
      </c>
      <c r="E101" s="42">
        <f>(INT($E$25*1/$D101)-INT($E$25*(1-1)/$D101))*$C101/1000</f>
        <v>0.15996000000000002</v>
      </c>
      <c r="F101" s="42">
        <f>(INT($E$25*2/$D101)-INT($E$25*(2-1)/$D101))*$C101/1000</f>
        <v>0.15996000000000002</v>
      </c>
      <c r="G101" s="42">
        <f>(INT($E$25*3/$D101)-INT($E$25*(3-1)/$D101))*$C101/1000</f>
        <v>0.15996000000000002</v>
      </c>
      <c r="H101" s="42">
        <f>(INT($E$25*4/$D101)-INT($E$25*(4-1)/$D101))*$C101/1000</f>
        <v>0.15996000000000002</v>
      </c>
      <c r="I101" s="42">
        <f>(INT($E$25*5/$D101)-INT($E$25*(5-1)/$D101))*$C101/1000</f>
        <v>0.15996000000000002</v>
      </c>
      <c r="J101" s="42">
        <f>(INT($E$25*6/$D101)-INT($E$25*(6-1)/$D101))*$C101/1000</f>
        <v>0.15996000000000002</v>
      </c>
      <c r="K101" s="42">
        <f>(INT($E$25*7/$D101)-INT($E$25*(7-1)/$D101))*$C101/1000</f>
        <v>0.15996000000000002</v>
      </c>
      <c r="L101" s="42">
        <f>(INT($E$25*8/$D101)-INT($E$25*(8-1)/$D101))*$C101/1000</f>
        <v>0.15996000000000002</v>
      </c>
      <c r="M101" s="42">
        <f>(INT($E$25*9/$D101)-INT($E$25*(9-1)/$D101))*$C101/1000</f>
        <v>0.15996000000000002</v>
      </c>
      <c r="N101" s="42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44" t="n">
        <v>215.94</v>
      </c>
      <c r="D102" s="43" t="n">
        <v>7000</v>
      </c>
      <c r="E102" s="42">
        <f>(INT($E$25*1/$D102)-INT($E$25*(1-1)/$D102))*$C102/1000</f>
        <v>0.21594</v>
      </c>
      <c r="F102" s="42">
        <f>(INT($E$25*2/$D102)-INT($E$25*(2-1)/$D102))*$C102/1000</f>
        <v>0.21594</v>
      </c>
      <c r="G102" s="42">
        <f>(INT($E$25*3/$D102)-INT($E$25*(3-1)/$D102))*$C102/1000</f>
        <v>0.21594</v>
      </c>
      <c r="H102" s="42">
        <f>(INT($E$25*4/$D102)-INT($E$25*(4-1)/$D102))*$C102/1000</f>
        <v>0.21594</v>
      </c>
      <c r="I102" s="42">
        <f>(INT($E$25*5/$D102)-INT($E$25*(5-1)/$D102))*$C102/1000</f>
        <v>0.21594</v>
      </c>
      <c r="J102" s="42">
        <f>(INT($E$25*6/$D102)-INT($E$25*(6-1)/$D102))*$C102/1000</f>
        <v>0.21594</v>
      </c>
      <c r="K102" s="42">
        <f>(INT($E$25*7/$D102)-INT($E$25*(7-1)/$D102))*$C102/1000</f>
        <v>0.21594</v>
      </c>
      <c r="L102" s="42">
        <f>(INT($E$25*8/$D102)-INT($E$25*(8-1)/$D102))*$C102/1000</f>
        <v>0.21594</v>
      </c>
      <c r="M102" s="42">
        <f>(INT($E$25*9/$D102)-INT($E$25*(9-1)/$D102))*$C102/1000</f>
        <v>0.21594</v>
      </c>
      <c r="N102" s="42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44" t="n">
        <v>3415.51</v>
      </c>
      <c r="D103" s="43" t="n">
        <v>36000</v>
      </c>
      <c r="E103" s="42">
        <f>(INT($E$25*1/$D103)-INT($E$25*(1-1)/$D103))*$C103/1000</f>
        <v>0.0</v>
      </c>
      <c r="F103" s="42">
        <f>(INT($E$25*2/$D103)-INT($E$25*(2-1)/$D103))*$C103/1000</f>
        <v>0.0</v>
      </c>
      <c r="G103" s="42">
        <f>(INT($E$25*3/$D103)-INT($E$25*(3-1)/$D103))*$C103/1000</f>
        <v>0.0</v>
      </c>
      <c r="H103" s="42">
        <f>(INT($E$25*4/$D103)-INT($E$25*(4-1)/$D103))*$C103/1000</f>
        <v>0.0</v>
      </c>
      <c r="I103" s="42">
        <f>(INT($E$25*5/$D103)-INT($E$25*(5-1)/$D103))*$C103/1000</f>
        <v>0.0</v>
      </c>
      <c r="J103" s="42">
        <f>(INT($E$25*6/$D103)-INT($E$25*(6-1)/$D103))*$C103/1000</f>
        <v>3.4155100000000003</v>
      </c>
      <c r="K103" s="42">
        <f>(INT($E$25*7/$D103)-INT($E$25*(7-1)/$D103))*$C103/1000</f>
        <v>0.0</v>
      </c>
      <c r="L103" s="42">
        <f>(INT($E$25*8/$D103)-INT($E$25*(8-1)/$D103))*$C103/1000</f>
        <v>0.0</v>
      </c>
      <c r="M103" s="42">
        <f>(INT($E$25*9/$D103)-INT($E$25*(9-1)/$D103))*$C103/1000</f>
        <v>0.0</v>
      </c>
      <c r="N103" s="42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44" t="n">
        <v>12637.39</v>
      </c>
      <c r="D104" s="43" t="n">
        <v>65000</v>
      </c>
      <c r="E104" s="42">
        <f>(INT($E$25*1/$D104)-INT($E$25*(1-1)/$D104))*$C104/1000</f>
        <v>0.0</v>
      </c>
      <c r="F104" s="42">
        <f>(INT($E$25*2/$D104)-INT($E$25*(2-1)/$D104))*$C104/1000</f>
        <v>0.0</v>
      </c>
      <c r="G104" s="42">
        <f>(INT($E$25*3/$D104)-INT($E$25*(3-1)/$D104))*$C104/1000</f>
        <v>0.0</v>
      </c>
      <c r="H104" s="42">
        <f>(INT($E$25*4/$D104)-INT($E$25*(4-1)/$D104))*$C104/1000</f>
        <v>0.0</v>
      </c>
      <c r="I104" s="42">
        <f>(INT($E$25*5/$D104)-INT($E$25*(5-1)/$D104))*$C104/1000</f>
        <v>0.0</v>
      </c>
      <c r="J104" s="42">
        <f>(INT($E$25*6/$D104)-INT($E$25*(6-1)/$D104))*$C104/1000</f>
        <v>0.0</v>
      </c>
      <c r="K104" s="42">
        <f>(INT($E$25*7/$D104)-INT($E$25*(7-1)/$D104))*$C104/1000</f>
        <v>0.0</v>
      </c>
      <c r="L104" s="42">
        <f>(INT($E$25*8/$D104)-INT($E$25*(8-1)/$D104))*$C104/1000</f>
        <v>0.0</v>
      </c>
      <c r="M104" s="42">
        <f>(INT($E$25*9/$D104)-INT($E$25*(9-1)/$D104))*$C104/1000</f>
        <v>0.0</v>
      </c>
      <c r="N104" s="42">
        <f>(INT($E$25*10/$D104)-INT($E$25*(10-1)/$D104))*$C104/1000</f>
        <v>12.63739</v>
      </c>
    </row>
    <row r="105">
      <c r="B105" s="45" t="inlineStr">
        <is>
          <t>ИТОГО</t>
        </is>
      </c>
      <c r="E105" s="42">
        <f>SUM(E89:E104)</f>
        <v>4.506819999999999</v>
      </c>
      <c r="F105" s="42">
        <f>SUM(F89:F104)</f>
        <v>60.109840000000005</v>
      </c>
      <c r="G105" s="42">
        <f>SUM(G89:G104)</f>
        <v>145.1624</v>
      </c>
      <c r="H105" s="42">
        <f>SUM(H89:H104)</f>
        <v>60.109840000000005</v>
      </c>
      <c r="I105" s="42">
        <f>SUM(I89:I104)</f>
        <v>144.82518</v>
      </c>
      <c r="J105" s="42">
        <f>SUM(J89:J104)</f>
        <v>67.22701</v>
      </c>
      <c r="K105" s="42">
        <f>SUM(K89:K104)</f>
        <v>145.21432</v>
      </c>
      <c r="L105" s="42">
        <f>SUM(L89:L104)</f>
        <v>60.057919999999996</v>
      </c>
      <c r="M105" s="42">
        <f>SUM(M89:M104)</f>
        <v>111.9831</v>
      </c>
      <c r="N105" s="42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44" t="n">
        <v>56</v>
      </c>
      <c r="D109" s="43" t="n">
        <v>15000</v>
      </c>
      <c r="E109" s="42">
        <f>(INT($E$25*1/$D109)-INT($E$25*(1-1)/$D109))*$C109</f>
        <v>0.0</v>
      </c>
      <c r="F109" s="42">
        <f>(INT($E$25*2/$D109)-INT($E$25*(2-1)/$D109))*$C109</f>
        <v>0.0</v>
      </c>
      <c r="G109" s="42">
        <f>(INT($E$25*3/$D109)-INT($E$25*(3-1)/$D109))*$C109</f>
        <v>56.0</v>
      </c>
      <c r="H109" s="42">
        <f>(INT($E$25*4/$D109)-INT($E$25*(4-1)/$D109))*$C109</f>
        <v>0.0</v>
      </c>
      <c r="I109" s="42">
        <f>(INT($E$25*5/$D109)-INT($E$25*(5-1)/$D109))*$C109</f>
        <v>56.0</v>
      </c>
      <c r="J109" s="42">
        <f>(INT($E$25*6/$D109)-INT($E$25*(6-1)/$D109))*$C109</f>
        <v>0.0</v>
      </c>
      <c r="K109" s="42">
        <f>(INT($E$25*7/$D109)-INT($E$25*(7-1)/$D109))*$C109</f>
        <v>56.0</v>
      </c>
      <c r="L109" s="42">
        <f>(INT($E$25*8/$D109)-INT($E$25*(8-1)/$D109))*$C109</f>
        <v>0.0</v>
      </c>
      <c r="M109" s="42">
        <f>(INT($E$25*9/$D109)-INT($E$25*(9-1)/$D109))*$C109</f>
        <v>56.0</v>
      </c>
      <c r="N109" s="42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44" t="n">
        <v>4</v>
      </c>
      <c r="D110" s="43" t="n">
        <v>16000</v>
      </c>
      <c r="E110" s="42">
        <f>(INT($E$25*1/$D110)-INT($E$25*(1-1)/$D110))*$C110</f>
        <v>0.0</v>
      </c>
      <c r="F110" s="42">
        <f>(INT($E$25*2/$D110)-INT($E$25*(2-1)/$D110))*$C110</f>
        <v>0.0</v>
      </c>
      <c r="G110" s="42">
        <f>(INT($E$25*3/$D110)-INT($E$25*(3-1)/$D110))*$C110</f>
        <v>4.0</v>
      </c>
      <c r="H110" s="42">
        <f>(INT($E$25*4/$D110)-INT($E$25*(4-1)/$D110))*$C110</f>
        <v>0.0</v>
      </c>
      <c r="I110" s="42">
        <f>(INT($E$25*5/$D110)-INT($E$25*(5-1)/$D110))*$C110</f>
        <v>4.0</v>
      </c>
      <c r="J110" s="42">
        <f>(INT($E$25*6/$D110)-INT($E$25*(6-1)/$D110))*$C110</f>
        <v>0.0</v>
      </c>
      <c r="K110" s="42">
        <f>(INT($E$25*7/$D110)-INT($E$25*(7-1)/$D110))*$C110</f>
        <v>4.0</v>
      </c>
      <c r="L110" s="42">
        <f>(INT($E$25*8/$D110)-INT($E$25*(8-1)/$D110))*$C110</f>
        <v>0.0</v>
      </c>
      <c r="M110" s="42">
        <f>(INT($E$25*9/$D110)-INT($E$25*(9-1)/$D110))*$C110</f>
        <v>0.0</v>
      </c>
      <c r="N110" s="42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44" t="n">
        <v>8</v>
      </c>
      <c r="D111" s="43" t="n">
        <v>13000</v>
      </c>
      <c r="E111" s="42">
        <f>(INT($E$25*1/$D111)-INT($E$25*(1-1)/$D111))*$C111</f>
        <v>0.0</v>
      </c>
      <c r="F111" s="42">
        <f>(INT($E$25*2/$D111)-INT($E$25*(2-1)/$D111))*$C111</f>
        <v>8.0</v>
      </c>
      <c r="G111" s="42">
        <f>(INT($E$25*3/$D111)-INT($E$25*(3-1)/$D111))*$C111</f>
        <v>0.0</v>
      </c>
      <c r="H111" s="42">
        <f>(INT($E$25*4/$D111)-INT($E$25*(4-1)/$D111))*$C111</f>
        <v>8.0</v>
      </c>
      <c r="I111" s="42">
        <f>(INT($E$25*5/$D111)-INT($E$25*(5-1)/$D111))*$C111</f>
        <v>0.0</v>
      </c>
      <c r="J111" s="42">
        <f>(INT($E$25*6/$D111)-INT($E$25*(6-1)/$D111))*$C111</f>
        <v>8.0</v>
      </c>
      <c r="K111" s="42">
        <f>(INT($E$25*7/$D111)-INT($E$25*(7-1)/$D111))*$C111</f>
        <v>0.0</v>
      </c>
      <c r="L111" s="42">
        <f>(INT($E$25*8/$D111)-INT($E$25*(8-1)/$D111))*$C111</f>
        <v>8.0</v>
      </c>
      <c r="M111" s="42">
        <f>(INT($E$25*9/$D111)-INT($E$25*(9-1)/$D111))*$C111</f>
        <v>0.0</v>
      </c>
      <c r="N111" s="42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44" t="n">
        <v>36</v>
      </c>
      <c r="D112" s="43" t="n">
        <v>7450</v>
      </c>
      <c r="E112" s="42">
        <f>(INT($E$25*1/$D112)-INT($E$25*(1-1)/$D112))*$C112</f>
        <v>0.0</v>
      </c>
      <c r="F112" s="42">
        <f>(INT($E$25*2/$D112)-INT($E$25*(2-1)/$D112))*$C112</f>
        <v>36.0</v>
      </c>
      <c r="G112" s="42">
        <f>(INT($E$25*3/$D112)-INT($E$25*(3-1)/$D112))*$C112</f>
        <v>36.0</v>
      </c>
      <c r="H112" s="42">
        <f>(INT($E$25*4/$D112)-INT($E$25*(4-1)/$D112))*$C112</f>
        <v>36.0</v>
      </c>
      <c r="I112" s="42">
        <f>(INT($E$25*5/$D112)-INT($E$25*(5-1)/$D112))*$C112</f>
        <v>36.0</v>
      </c>
      <c r="J112" s="42">
        <f>(INT($E$25*6/$D112)-INT($E$25*(6-1)/$D112))*$C112</f>
        <v>36.0</v>
      </c>
      <c r="K112" s="42">
        <f>(INT($E$25*7/$D112)-INT($E$25*(7-1)/$D112))*$C112</f>
        <v>36.0</v>
      </c>
      <c r="L112" s="42">
        <f>(INT($E$25*8/$D112)-INT($E$25*(8-1)/$D112))*$C112</f>
        <v>36.0</v>
      </c>
      <c r="M112" s="42">
        <f>(INT($E$25*9/$D112)-INT($E$25*(9-1)/$D112))*$C112</f>
        <v>36.0</v>
      </c>
      <c r="N112" s="42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44" t="n">
        <v>72</v>
      </c>
      <c r="D113" s="43" t="n">
        <v>7450</v>
      </c>
      <c r="E113" s="42">
        <f>(INT($E$25*1/$D113)-INT($E$25*(1-1)/$D113))*$C113</f>
        <v>0.0</v>
      </c>
      <c r="F113" s="42">
        <f>(INT($E$25*2/$D113)-INT($E$25*(2-1)/$D113))*$C113</f>
        <v>72.0</v>
      </c>
      <c r="G113" s="42">
        <f>(INT($E$25*3/$D113)-INT($E$25*(3-1)/$D113))*$C113</f>
        <v>72.0</v>
      </c>
      <c r="H113" s="42">
        <f>(INT($E$25*4/$D113)-INT($E$25*(4-1)/$D113))*$C113</f>
        <v>72.0</v>
      </c>
      <c r="I113" s="42">
        <f>(INT($E$25*5/$D113)-INT($E$25*(5-1)/$D113))*$C113</f>
        <v>72.0</v>
      </c>
      <c r="J113" s="42">
        <f>(INT($E$25*6/$D113)-INT($E$25*(6-1)/$D113))*$C113</f>
        <v>72.0</v>
      </c>
      <c r="K113" s="42">
        <f>(INT($E$25*7/$D113)-INT($E$25*(7-1)/$D113))*$C113</f>
        <v>72.0</v>
      </c>
      <c r="L113" s="42">
        <f>(INT($E$25*8/$D113)-INT($E$25*(8-1)/$D113))*$C113</f>
        <v>72.0</v>
      </c>
      <c r="M113" s="42">
        <f>(INT($E$25*9/$D113)-INT($E$25*(9-1)/$D113))*$C113</f>
        <v>72.0</v>
      </c>
      <c r="N113" s="42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44" t="n">
        <v>28</v>
      </c>
      <c r="D114" s="43" t="n">
        <v>6000</v>
      </c>
      <c r="E114" s="42">
        <f>(INT($E$25*1/$D114)-INT($E$25*(1-1)/$D114))*$C114</f>
        <v>28.0</v>
      </c>
      <c r="F114" s="42">
        <f>(INT($E$25*2/$D114)-INT($E$25*(2-1)/$D114))*$C114</f>
        <v>28.0</v>
      </c>
      <c r="G114" s="42">
        <f>(INT($E$25*3/$D114)-INT($E$25*(3-1)/$D114))*$C114</f>
        <v>28.0</v>
      </c>
      <c r="H114" s="42">
        <f>(INT($E$25*4/$D114)-INT($E$25*(4-1)/$D114))*$C114</f>
        <v>28.0</v>
      </c>
      <c r="I114" s="42">
        <f>(INT($E$25*5/$D114)-INT($E$25*(5-1)/$D114))*$C114</f>
        <v>28.0</v>
      </c>
      <c r="J114" s="42">
        <f>(INT($E$25*6/$D114)-INT($E$25*(6-1)/$D114))*$C114</f>
        <v>56.0</v>
      </c>
      <c r="K114" s="42">
        <f>(INT($E$25*7/$D114)-INT($E$25*(7-1)/$D114))*$C114</f>
        <v>28.0</v>
      </c>
      <c r="L114" s="42">
        <f>(INT($E$25*8/$D114)-INT($E$25*(8-1)/$D114))*$C114</f>
        <v>28.0</v>
      </c>
      <c r="M114" s="42">
        <f>(INT($E$25*9/$D114)-INT($E$25*(9-1)/$D114))*$C114</f>
        <v>28.0</v>
      </c>
      <c r="N114" s="42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44" t="n">
        <v>3.5</v>
      </c>
      <c r="D115" s="43" t="n">
        <v>6000</v>
      </c>
      <c r="E115" s="42">
        <f>(INT($E$25*1/$D115)-INT($E$25*(1-1)/$D115))*$C115</f>
        <v>3.5</v>
      </c>
      <c r="F115" s="42">
        <f>(INT($E$25*2/$D115)-INT($E$25*(2-1)/$D115))*$C115</f>
        <v>3.5</v>
      </c>
      <c r="G115" s="42">
        <f>(INT($E$25*3/$D115)-INT($E$25*(3-1)/$D115))*$C115</f>
        <v>3.5</v>
      </c>
      <c r="H115" s="42">
        <f>(INT($E$25*4/$D115)-INT($E$25*(4-1)/$D115))*$C115</f>
        <v>3.5</v>
      </c>
      <c r="I115" s="42">
        <f>(INT($E$25*5/$D115)-INT($E$25*(5-1)/$D115))*$C115</f>
        <v>3.5</v>
      </c>
      <c r="J115" s="42">
        <f>(INT($E$25*6/$D115)-INT($E$25*(6-1)/$D115))*$C115</f>
        <v>7.0</v>
      </c>
      <c r="K115" s="42">
        <f>(INT($E$25*7/$D115)-INT($E$25*(7-1)/$D115))*$C115</f>
        <v>3.5</v>
      </c>
      <c r="L115" s="42">
        <f>(INT($E$25*8/$D115)-INT($E$25*(8-1)/$D115))*$C115</f>
        <v>3.5</v>
      </c>
      <c r="M115" s="42">
        <f>(INT($E$25*9/$D115)-INT($E$25*(9-1)/$D115))*$C115</f>
        <v>3.5</v>
      </c>
      <c r="N115" s="42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44" t="n">
        <v>3.5</v>
      </c>
      <c r="D116" s="43" t="n">
        <v>4000</v>
      </c>
      <c r="E116" s="42">
        <f>(INT($E$25*1/$D116)-INT($E$25*(1-1)/$D116))*$C116</f>
        <v>3.5</v>
      </c>
      <c r="F116" s="42">
        <f>(INT($E$25*2/$D116)-INT($E$25*(2-1)/$D116))*$C116</f>
        <v>7.0</v>
      </c>
      <c r="G116" s="42">
        <f>(INT($E$25*3/$D116)-INT($E$25*(3-1)/$D116))*$C116</f>
        <v>7.0</v>
      </c>
      <c r="H116" s="42">
        <f>(INT($E$25*4/$D116)-INT($E$25*(4-1)/$D116))*$C116</f>
        <v>7.0</v>
      </c>
      <c r="I116" s="42">
        <f>(INT($E$25*5/$D116)-INT($E$25*(5-1)/$D116))*$C116</f>
        <v>3.5</v>
      </c>
      <c r="J116" s="42">
        <f>(INT($E$25*6/$D116)-INT($E$25*(6-1)/$D116))*$C116</f>
        <v>7.0</v>
      </c>
      <c r="K116" s="42">
        <f>(INT($E$25*7/$D116)-INT($E$25*(7-1)/$D116))*$C116</f>
        <v>7.0</v>
      </c>
      <c r="L116" s="42">
        <f>(INT($E$25*8/$D116)-INT($E$25*(8-1)/$D116))*$C116</f>
        <v>7.0</v>
      </c>
      <c r="M116" s="42">
        <f>(INT($E$25*9/$D116)-INT($E$25*(9-1)/$D116))*$C116</f>
        <v>3.5</v>
      </c>
      <c r="N116" s="42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44" t="n">
        <v>3.5</v>
      </c>
      <c r="D117" s="43" t="n">
        <v>4000</v>
      </c>
      <c r="E117" s="42">
        <f>(INT($E$25*1/$D117)-INT($E$25*(1-1)/$D117))*$C117</f>
        <v>3.5</v>
      </c>
      <c r="F117" s="42">
        <f>(INT($E$25*2/$D117)-INT($E$25*(2-1)/$D117))*$C117</f>
        <v>7.0</v>
      </c>
      <c r="G117" s="42">
        <f>(INT($E$25*3/$D117)-INT($E$25*(3-1)/$D117))*$C117</f>
        <v>7.0</v>
      </c>
      <c r="H117" s="42">
        <f>(INT($E$25*4/$D117)-INT($E$25*(4-1)/$D117))*$C117</f>
        <v>7.0</v>
      </c>
      <c r="I117" s="42">
        <f>(INT($E$25*5/$D117)-INT($E$25*(5-1)/$D117))*$C117</f>
        <v>3.5</v>
      </c>
      <c r="J117" s="42">
        <f>(INT($E$25*6/$D117)-INT($E$25*(6-1)/$D117))*$C117</f>
        <v>7.0</v>
      </c>
      <c r="K117" s="42">
        <f>(INT($E$25*7/$D117)-INT($E$25*(7-1)/$D117))*$C117</f>
        <v>7.0</v>
      </c>
      <c r="L117" s="42">
        <f>(INT($E$25*8/$D117)-INT($E$25*(8-1)/$D117))*$C117</f>
        <v>7.0</v>
      </c>
      <c r="M117" s="42">
        <f>(INT($E$25*9/$D117)-INT($E$25*(9-1)/$D117))*$C117</f>
        <v>3.5</v>
      </c>
      <c r="N117" s="42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44" t="n">
        <v>4</v>
      </c>
      <c r="D118" s="43" t="n">
        <v>5000</v>
      </c>
      <c r="E118" s="42">
        <f>(INT($E$25*1/$D118)-INT($E$25*(1-1)/$D118))*$C118</f>
        <v>4.0</v>
      </c>
      <c r="F118" s="42">
        <f>(INT($E$25*2/$D118)-INT($E$25*(2-1)/$D118))*$C118</f>
        <v>4.0</v>
      </c>
      <c r="G118" s="42">
        <f>(INT($E$25*3/$D118)-INT($E$25*(3-1)/$D118))*$C118</f>
        <v>8.0</v>
      </c>
      <c r="H118" s="42">
        <f>(INT($E$25*4/$D118)-INT($E$25*(4-1)/$D118))*$C118</f>
        <v>4.0</v>
      </c>
      <c r="I118" s="42">
        <f>(INT($E$25*5/$D118)-INT($E$25*(5-1)/$D118))*$C118</f>
        <v>8.0</v>
      </c>
      <c r="J118" s="42">
        <f>(INT($E$25*6/$D118)-INT($E$25*(6-1)/$D118))*$C118</f>
        <v>4.0</v>
      </c>
      <c r="K118" s="42">
        <f>(INT($E$25*7/$D118)-INT($E$25*(7-1)/$D118))*$C118</f>
        <v>4.0</v>
      </c>
      <c r="L118" s="42">
        <f>(INT($E$25*8/$D118)-INT($E$25*(8-1)/$D118))*$C118</f>
        <v>8.0</v>
      </c>
      <c r="M118" s="42">
        <f>(INT($E$25*9/$D118)-INT($E$25*(9-1)/$D118))*$C118</f>
        <v>4.0</v>
      </c>
      <c r="N118" s="42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44" t="n">
        <v>0.9</v>
      </c>
      <c r="D119" s="43" t="n">
        <v>4000</v>
      </c>
      <c r="E119" s="42">
        <f>(INT($E$25*1/$D119)-INT($E$25*(1-1)/$D119))*$C119</f>
        <v>0.9</v>
      </c>
      <c r="F119" s="42">
        <f>(INT($E$25*2/$D119)-INT($E$25*(2-1)/$D119))*$C119</f>
        <v>1.8</v>
      </c>
      <c r="G119" s="42">
        <f>(INT($E$25*3/$D119)-INT($E$25*(3-1)/$D119))*$C119</f>
        <v>1.8</v>
      </c>
      <c r="H119" s="42">
        <f>(INT($E$25*4/$D119)-INT($E$25*(4-1)/$D119))*$C119</f>
        <v>1.8</v>
      </c>
      <c r="I119" s="42">
        <f>(INT($E$25*5/$D119)-INT($E$25*(5-1)/$D119))*$C119</f>
        <v>0.9</v>
      </c>
      <c r="J119" s="42">
        <f>(INT($E$25*6/$D119)-INT($E$25*(6-1)/$D119))*$C119</f>
        <v>1.8</v>
      </c>
      <c r="K119" s="42">
        <f>(INT($E$25*7/$D119)-INT($E$25*(7-1)/$D119))*$C119</f>
        <v>1.8</v>
      </c>
      <c r="L119" s="42">
        <f>(INT($E$25*8/$D119)-INT($E$25*(8-1)/$D119))*$C119</f>
        <v>1.8</v>
      </c>
      <c r="M119" s="42">
        <f>(INT($E$25*9/$D119)-INT($E$25*(9-1)/$D119))*$C119</f>
        <v>0.9</v>
      </c>
      <c r="N119" s="42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44" t="n">
        <v>2</v>
      </c>
      <c r="D120" s="43" t="n">
        <v>12000</v>
      </c>
      <c r="E120" s="42">
        <f>(INT($E$25*1/$D120)-INT($E$25*(1-1)/$D120))*$C120</f>
        <v>0.0</v>
      </c>
      <c r="F120" s="42">
        <f>(INT($E$25*2/$D120)-INT($E$25*(2-1)/$D120))*$C120</f>
        <v>2.0</v>
      </c>
      <c r="G120" s="42">
        <f>(INT($E$25*3/$D120)-INT($E$25*(3-1)/$D120))*$C120</f>
        <v>0.0</v>
      </c>
      <c r="H120" s="42">
        <f>(INT($E$25*4/$D120)-INT($E$25*(4-1)/$D120))*$C120</f>
        <v>2.0</v>
      </c>
      <c r="I120" s="42">
        <f>(INT($E$25*5/$D120)-INT($E$25*(5-1)/$D120))*$C120</f>
        <v>0.0</v>
      </c>
      <c r="J120" s="42">
        <f>(INT($E$25*6/$D120)-INT($E$25*(6-1)/$D120))*$C120</f>
        <v>2.0</v>
      </c>
      <c r="K120" s="42">
        <f>(INT($E$25*7/$D120)-INT($E$25*(7-1)/$D120))*$C120</f>
        <v>2.0</v>
      </c>
      <c r="L120" s="42">
        <f>(INT($E$25*8/$D120)-INT($E$25*(8-1)/$D120))*$C120</f>
        <v>0.0</v>
      </c>
      <c r="M120" s="42">
        <f>(INT($E$25*9/$D120)-INT($E$25*(9-1)/$D120))*$C120</f>
        <v>2.0</v>
      </c>
      <c r="N120" s="42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44" t="n">
        <v>2</v>
      </c>
      <c r="D121" s="43" t="n">
        <v>7000</v>
      </c>
      <c r="E121" s="42">
        <f>(INT($E$25*1/$D121)-INT($E$25*(1-1)/$D121))*$C121</f>
        <v>2.0</v>
      </c>
      <c r="F121" s="42">
        <f>(INT($E$25*2/$D121)-INT($E$25*(2-1)/$D121))*$C121</f>
        <v>2.0</v>
      </c>
      <c r="G121" s="42">
        <f>(INT($E$25*3/$D121)-INT($E$25*(3-1)/$D121))*$C121</f>
        <v>2.0</v>
      </c>
      <c r="H121" s="42">
        <f>(INT($E$25*4/$D121)-INT($E$25*(4-1)/$D121))*$C121</f>
        <v>2.0</v>
      </c>
      <c r="I121" s="42">
        <f>(INT($E$25*5/$D121)-INT($E$25*(5-1)/$D121))*$C121</f>
        <v>2.0</v>
      </c>
      <c r="J121" s="42">
        <f>(INT($E$25*6/$D121)-INT($E$25*(6-1)/$D121))*$C121</f>
        <v>2.0</v>
      </c>
      <c r="K121" s="42">
        <f>(INT($E$25*7/$D121)-INT($E$25*(7-1)/$D121))*$C121</f>
        <v>2.0</v>
      </c>
      <c r="L121" s="42">
        <f>(INT($E$25*8/$D121)-INT($E$25*(8-1)/$D121))*$C121</f>
        <v>2.0</v>
      </c>
      <c r="M121" s="42">
        <f>(INT($E$25*9/$D121)-INT($E$25*(9-1)/$D121))*$C121</f>
        <v>2.0</v>
      </c>
      <c r="N121" s="42">
        <f>(INT($E$25*10/$D121)-INT($E$25*(10-1)/$D121))*$C121</f>
        <v>2.0</v>
      </c>
    </row>
    <row r="122">
      <c r="B122" s="22" t="inlineStr">
        <is>
          <t>Чистка радиаторов</t>
        </is>
      </c>
      <c r="C122" s="44" t="n">
        <v>3</v>
      </c>
      <c r="D122" s="43" t="n">
        <v>7000</v>
      </c>
      <c r="E122" s="42">
        <f>(INT($E$25*1/$D122)-INT($E$25*(1-1)/$D122))*$C122</f>
        <v>3.0</v>
      </c>
      <c r="F122" s="42">
        <f>(INT($E$25*2/$D122)-INT($E$25*(2-1)/$D122))*$C122</f>
        <v>3.0</v>
      </c>
      <c r="G122" s="42">
        <f>(INT($E$25*3/$D122)-INT($E$25*(3-1)/$D122))*$C122</f>
        <v>3.0</v>
      </c>
      <c r="H122" s="42">
        <f>(INT($E$25*4/$D122)-INT($E$25*(4-1)/$D122))*$C122</f>
        <v>3.0</v>
      </c>
      <c r="I122" s="42">
        <f>(INT($E$25*5/$D122)-INT($E$25*(5-1)/$D122))*$C122</f>
        <v>3.0</v>
      </c>
      <c r="J122" s="42">
        <f>(INT($E$25*6/$D122)-INT($E$25*(6-1)/$D122))*$C122</f>
        <v>3.0</v>
      </c>
      <c r="K122" s="42">
        <f>(INT($E$25*7/$D122)-INT($E$25*(7-1)/$D122))*$C122</f>
        <v>3.0</v>
      </c>
      <c r="L122" s="42">
        <f>(INT($E$25*8/$D122)-INT($E$25*(8-1)/$D122))*$C122</f>
        <v>3.0</v>
      </c>
      <c r="M122" s="42">
        <f>(INT($E$25*9/$D122)-INT($E$25*(9-1)/$D122))*$C122</f>
        <v>3.0</v>
      </c>
      <c r="N122" s="42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44" t="n">
        <v>50</v>
      </c>
      <c r="D123" s="43" t="n">
        <v>36000</v>
      </c>
      <c r="E123" s="42">
        <f>(INT($E$25*1/$D123)-INT($E$25*(1-1)/$D123))*$C123</f>
        <v>0.0</v>
      </c>
      <c r="F123" s="42">
        <f>(INT($E$25*2/$D123)-INT($E$25*(2-1)/$D123))*$C123</f>
        <v>0.0</v>
      </c>
      <c r="G123" s="42">
        <f>(INT($E$25*3/$D123)-INT($E$25*(3-1)/$D123))*$C123</f>
        <v>0.0</v>
      </c>
      <c r="H123" s="42">
        <f>(INT($E$25*4/$D123)-INT($E$25*(4-1)/$D123))*$C123</f>
        <v>0.0</v>
      </c>
      <c r="I123" s="42">
        <f>(INT($E$25*5/$D123)-INT($E$25*(5-1)/$D123))*$C123</f>
        <v>0.0</v>
      </c>
      <c r="J123" s="42">
        <f>(INT($E$25*6/$D123)-INT($E$25*(6-1)/$D123))*$C123</f>
        <v>50.0</v>
      </c>
      <c r="K123" s="42">
        <f>(INT($E$25*7/$D123)-INT($E$25*(7-1)/$D123))*$C123</f>
        <v>0.0</v>
      </c>
      <c r="L123" s="42">
        <f>(INT($E$25*8/$D123)-INT($E$25*(8-1)/$D123))*$C123</f>
        <v>0.0</v>
      </c>
      <c r="M123" s="42">
        <f>(INT($E$25*9/$D123)-INT($E$25*(9-1)/$D123))*$C123</f>
        <v>0.0</v>
      </c>
      <c r="N123" s="42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44" t="n">
        <v>185</v>
      </c>
      <c r="D124" s="43" t="n">
        <v>65000</v>
      </c>
      <c r="E124" s="42">
        <f>(INT($E$25*1/$D124)-INT($E$25*(1-1)/$D124))*$C124</f>
        <v>0.0</v>
      </c>
      <c r="F124" s="42">
        <f>(INT($E$25*2/$D124)-INT($E$25*(2-1)/$D124))*$C124</f>
        <v>0.0</v>
      </c>
      <c r="G124" s="42">
        <f>(INT($E$25*3/$D124)-INT($E$25*(3-1)/$D124))*$C124</f>
        <v>0.0</v>
      </c>
      <c r="H124" s="42">
        <f>(INT($E$25*4/$D124)-INT($E$25*(4-1)/$D124))*$C124</f>
        <v>0.0</v>
      </c>
      <c r="I124" s="42">
        <f>(INT($E$25*5/$D124)-INT($E$25*(5-1)/$D124))*$C124</f>
        <v>0.0</v>
      </c>
      <c r="J124" s="42">
        <f>(INT($E$25*6/$D124)-INT($E$25*(6-1)/$D124))*$C124</f>
        <v>0.0</v>
      </c>
      <c r="K124" s="42">
        <f>(INT($E$25*7/$D124)-INT($E$25*(7-1)/$D124))*$C124</f>
        <v>0.0</v>
      </c>
      <c r="L124" s="42">
        <f>(INT($E$25*8/$D124)-INT($E$25*(8-1)/$D124))*$C124</f>
        <v>0.0</v>
      </c>
      <c r="M124" s="42">
        <f>(INT($E$25*9/$D124)-INT($E$25*(9-1)/$D124))*$C124</f>
        <v>0.0</v>
      </c>
      <c r="N124" s="42">
        <f>(INT($E$25*10/$D124)-INT($E$25*(10-1)/$D124))*$C124</f>
        <v>185.0</v>
      </c>
    </row>
    <row r="125">
      <c r="B125" s="45" t="inlineStr">
        <is>
          <t>ИТОГО</t>
        </is>
      </c>
      <c r="E125" s="42">
        <f>SUM(E109:E124)</f>
        <v>48.4</v>
      </c>
      <c r="F125" s="42">
        <f>SUM(F109:F124)</f>
        <v>174.3</v>
      </c>
      <c r="G125" s="42">
        <f>SUM(G109:G124)</f>
        <v>228.3</v>
      </c>
      <c r="H125" s="42">
        <f>SUM(H109:H124)</f>
        <v>174.3</v>
      </c>
      <c r="I125" s="42">
        <f>SUM(I109:I124)</f>
        <v>220.4</v>
      </c>
      <c r="J125" s="42">
        <f>SUM(J109:J124)</f>
        <v>255.8</v>
      </c>
      <c r="K125" s="42">
        <f>SUM(K109:K124)</f>
        <v>226.3</v>
      </c>
      <c r="L125" s="42">
        <f>SUM(L109:L124)</f>
        <v>176.3</v>
      </c>
      <c r="M125" s="42">
        <f>SUM(M109:M124)</f>
        <v>214.4</v>
      </c>
      <c r="N125" s="42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44" t="n">
        <v>37124</v>
      </c>
      <c r="D129" s="43" t="n">
        <v>12000</v>
      </c>
      <c r="E129" s="42">
        <f>(INT($E$25*1/$D129)-INT($E$25*(1-1)/$D129))*$C129/1000</f>
        <v>0.0</v>
      </c>
      <c r="F129" s="42">
        <f>(INT($E$25*2/$D129)-INT($E$25*(2-1)/$D129))*$C129/1000</f>
        <v>37.124</v>
      </c>
      <c r="G129" s="42">
        <f>(INT($E$25*3/$D129)-INT($E$25*(3-1)/$D129))*$C129/1000</f>
        <v>0.0</v>
      </c>
      <c r="H129" s="42">
        <f>(INT($E$25*4/$D129)-INT($E$25*(4-1)/$D129))*$C129/1000</f>
        <v>37.124</v>
      </c>
      <c r="I129" s="42">
        <f>(INT($E$25*5/$D129)-INT($E$25*(5-1)/$D129))*$C129/1000</f>
        <v>0.0</v>
      </c>
      <c r="J129" s="42">
        <f>(INT($E$25*6/$D129)-INT($E$25*(6-1)/$D129))*$C129/1000</f>
        <v>37.124</v>
      </c>
      <c r="K129" s="42">
        <f>(INT($E$25*7/$D129)-INT($E$25*(7-1)/$D129))*$C129/1000</f>
        <v>37.124</v>
      </c>
      <c r="L129" s="42">
        <f>(INT($E$25*8/$D129)-INT($E$25*(8-1)/$D129))*$C129/1000</f>
        <v>0.0</v>
      </c>
      <c r="M129" s="42">
        <f>(INT($E$25*9/$D129)-INT($E$25*(9-1)/$D129))*$C129/1000</f>
        <v>37.124</v>
      </c>
      <c r="N129" s="42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44" t="n">
        <v>1226.17</v>
      </c>
      <c r="D130" s="43" t="n">
        <v>11000</v>
      </c>
      <c r="E130" s="42">
        <f>(INT($E$25*1/$D130)-INT($E$25*(1-1)/$D130))*$C130/1000</f>
        <v>0.0</v>
      </c>
      <c r="F130" s="42">
        <f>(INT($E$25*2/$D130)-INT($E$25*(2-1)/$D130))*$C130/1000</f>
        <v>1.22617</v>
      </c>
      <c r="G130" s="42">
        <f>(INT($E$25*3/$D130)-INT($E$25*(3-1)/$D130))*$C130/1000</f>
        <v>0.0</v>
      </c>
      <c r="H130" s="42">
        <f>(INT($E$25*4/$D130)-INT($E$25*(4-1)/$D130))*$C130/1000</f>
        <v>1.22617</v>
      </c>
      <c r="I130" s="42">
        <f>(INT($E$25*5/$D130)-INT($E$25*(5-1)/$D130))*$C130/1000</f>
        <v>1.22617</v>
      </c>
      <c r="J130" s="42">
        <f>(INT($E$25*6/$D130)-INT($E$25*(6-1)/$D130))*$C130/1000</f>
        <v>0.0</v>
      </c>
      <c r="K130" s="42">
        <f>(INT($E$25*7/$D130)-INT($E$25*(7-1)/$D130))*$C130/1000</f>
        <v>1.22617</v>
      </c>
      <c r="L130" s="42">
        <f>(INT($E$25*8/$D130)-INT($E$25*(8-1)/$D130))*$C130/1000</f>
        <v>1.22617</v>
      </c>
      <c r="M130" s="42">
        <f>(INT($E$25*9/$D130)-INT($E$25*(9-1)/$D130))*$C130/1000</f>
        <v>0.0</v>
      </c>
      <c r="N130" s="42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44" t="n">
        <v>18096.84</v>
      </c>
      <c r="D131" s="43" t="n">
        <v>12000</v>
      </c>
      <c r="E131" s="42">
        <f>(INT($E$25*1/$D131)-INT($E$25*(1-1)/$D131))*$C131/1000</f>
        <v>0.0</v>
      </c>
      <c r="F131" s="42">
        <f>(INT($E$25*2/$D131)-INT($E$25*(2-1)/$D131))*$C131/1000</f>
        <v>18.09684</v>
      </c>
      <c r="G131" s="42">
        <f>(INT($E$25*3/$D131)-INT($E$25*(3-1)/$D131))*$C131/1000</f>
        <v>0.0</v>
      </c>
      <c r="H131" s="42">
        <f>(INT($E$25*4/$D131)-INT($E$25*(4-1)/$D131))*$C131/1000</f>
        <v>18.09684</v>
      </c>
      <c r="I131" s="42">
        <f>(INT($E$25*5/$D131)-INT($E$25*(5-1)/$D131))*$C131/1000</f>
        <v>0.0</v>
      </c>
      <c r="J131" s="42">
        <f>(INT($E$25*6/$D131)-INT($E$25*(6-1)/$D131))*$C131/1000</f>
        <v>18.09684</v>
      </c>
      <c r="K131" s="42">
        <f>(INT($E$25*7/$D131)-INT($E$25*(7-1)/$D131))*$C131/1000</f>
        <v>18.09684</v>
      </c>
      <c r="L131" s="42">
        <f>(INT($E$25*8/$D131)-INT($E$25*(8-1)/$D131))*$C131/1000</f>
        <v>0.0</v>
      </c>
      <c r="M131" s="42">
        <f>(INT($E$25*9/$D131)-INT($E$25*(9-1)/$D131))*$C131/1000</f>
        <v>18.09684</v>
      </c>
      <c r="N131" s="42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44" t="n">
        <v>6929.74</v>
      </c>
      <c r="D132" s="43" t="n">
        <v>8000</v>
      </c>
      <c r="E132" s="42">
        <f>(INT($E$25*1/$D132)-INT($E$25*(1-1)/$D132))*$C132/1000</f>
        <v>0.0</v>
      </c>
      <c r="F132" s="42">
        <f>(INT($E$25*2/$D132)-INT($E$25*(2-1)/$D132))*$C132/1000</f>
        <v>6.92974</v>
      </c>
      <c r="G132" s="42">
        <f>(INT($E$25*3/$D132)-INT($E$25*(3-1)/$D132))*$C132/1000</f>
        <v>6.92974</v>
      </c>
      <c r="H132" s="42">
        <f>(INT($E$25*4/$D132)-INT($E$25*(4-1)/$D132))*$C132/1000</f>
        <v>6.92974</v>
      </c>
      <c r="I132" s="42">
        <f>(INT($E$25*5/$D132)-INT($E$25*(5-1)/$D132))*$C132/1000</f>
        <v>6.92974</v>
      </c>
      <c r="J132" s="42">
        <f>(INT($E$25*6/$D132)-INT($E$25*(6-1)/$D132))*$C132/1000</f>
        <v>6.92974</v>
      </c>
      <c r="K132" s="42">
        <f>(INT($E$25*7/$D132)-INT($E$25*(7-1)/$D132))*$C132/1000</f>
        <v>6.92974</v>
      </c>
      <c r="L132" s="42">
        <f>(INT($E$25*8/$D132)-INT($E$25*(8-1)/$D132))*$C132/1000</f>
        <v>6.92974</v>
      </c>
      <c r="M132" s="42">
        <f>(INT($E$25*9/$D132)-INT($E$25*(9-1)/$D132))*$C132/1000</f>
        <v>0.0</v>
      </c>
      <c r="N132" s="42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44" t="n">
        <v>19766.43</v>
      </c>
      <c r="D133" s="43" t="n">
        <v>25000</v>
      </c>
      <c r="E133" s="42">
        <f>(INT($E$25*1/$D133)-INT($E$25*(1-1)/$D133))*$C133/1000</f>
        <v>0.0</v>
      </c>
      <c r="F133" s="42">
        <f>(INT($E$25*2/$D133)-INT($E$25*(2-1)/$D133))*$C133/1000</f>
        <v>0.0</v>
      </c>
      <c r="G133" s="42">
        <f>(INT($E$25*3/$D133)-INT($E$25*(3-1)/$D133))*$C133/1000</f>
        <v>0.0</v>
      </c>
      <c r="H133" s="42">
        <f>(INT($E$25*4/$D133)-INT($E$25*(4-1)/$D133))*$C133/1000</f>
        <v>19.76643</v>
      </c>
      <c r="I133" s="42">
        <f>(INT($E$25*5/$D133)-INT($E$25*(5-1)/$D133))*$C133/1000</f>
        <v>0.0</v>
      </c>
      <c r="J133" s="42">
        <f>(INT($E$25*6/$D133)-INT($E$25*(6-1)/$D133))*$C133/1000</f>
        <v>0.0</v>
      </c>
      <c r="K133" s="42">
        <f>(INT($E$25*7/$D133)-INT($E$25*(7-1)/$D133))*$C133/1000</f>
        <v>0.0</v>
      </c>
      <c r="L133" s="42">
        <f>(INT($E$25*8/$D133)-INT($E$25*(8-1)/$D133))*$C133/1000</f>
        <v>19.76643</v>
      </c>
      <c r="M133" s="42">
        <f>(INT($E$25*9/$D133)-INT($E$25*(9-1)/$D133))*$C133/1000</f>
        <v>0.0</v>
      </c>
      <c r="N133" s="42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44" t="n">
        <v>556.4400000000001</v>
      </c>
      <c r="D134" s="43" t="n">
        <v>22000</v>
      </c>
      <c r="E134" s="42">
        <f>(INT($E$25*1/$D134)-INT($E$25*(1-1)/$D134))*$C134/1000</f>
        <v>0.0</v>
      </c>
      <c r="F134" s="42">
        <f>(INT($E$25*2/$D134)-INT($E$25*(2-1)/$D134))*$C134/1000</f>
        <v>0.0</v>
      </c>
      <c r="G134" s="42">
        <f>(INT($E$25*3/$D134)-INT($E$25*(3-1)/$D134))*$C134/1000</f>
        <v>0.0</v>
      </c>
      <c r="H134" s="42">
        <f>(INT($E$25*4/$D134)-INT($E$25*(4-1)/$D134))*$C134/1000</f>
        <v>0.55644</v>
      </c>
      <c r="I134" s="42">
        <f>(INT($E$25*5/$D134)-INT($E$25*(5-1)/$D134))*$C134/1000</f>
        <v>0.0</v>
      </c>
      <c r="J134" s="42">
        <f>(INT($E$25*6/$D134)-INT($E$25*(6-1)/$D134))*$C134/1000</f>
        <v>0.0</v>
      </c>
      <c r="K134" s="42">
        <f>(INT($E$25*7/$D134)-INT($E$25*(7-1)/$D134))*$C134/1000</f>
        <v>0.55644</v>
      </c>
      <c r="L134" s="42">
        <f>(INT($E$25*8/$D134)-INT($E$25*(8-1)/$D134))*$C134/1000</f>
        <v>0.0</v>
      </c>
      <c r="M134" s="42">
        <f>(INT($E$25*9/$D134)-INT($E$25*(9-1)/$D134))*$C134/1000</f>
        <v>0.0</v>
      </c>
      <c r="N134" s="42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44" t="n">
        <v>12656.36</v>
      </c>
      <c r="D135" s="43" t="n">
        <v>15000</v>
      </c>
      <c r="E135" s="42">
        <f>(INT($E$25*1/$D135)-INT($E$25*(1-1)/$D135))*$C135/1000</f>
        <v>0.0</v>
      </c>
      <c r="F135" s="42">
        <f>(INT($E$25*2/$D135)-INT($E$25*(2-1)/$D135))*$C135/1000</f>
        <v>0.0</v>
      </c>
      <c r="G135" s="42">
        <f>(INT($E$25*3/$D135)-INT($E$25*(3-1)/$D135))*$C135/1000</f>
        <v>12.656360000000001</v>
      </c>
      <c r="H135" s="42">
        <f>(INT($E$25*4/$D135)-INT($E$25*(4-1)/$D135))*$C135/1000</f>
        <v>0.0</v>
      </c>
      <c r="I135" s="42">
        <f>(INT($E$25*5/$D135)-INT($E$25*(5-1)/$D135))*$C135/1000</f>
        <v>12.656360000000001</v>
      </c>
      <c r="J135" s="42">
        <f>(INT($E$25*6/$D135)-INT($E$25*(6-1)/$D135))*$C135/1000</f>
        <v>0.0</v>
      </c>
      <c r="K135" s="42">
        <f>(INT($E$25*7/$D135)-INT($E$25*(7-1)/$D135))*$C135/1000</f>
        <v>12.656360000000001</v>
      </c>
      <c r="L135" s="42">
        <f>(INT($E$25*8/$D135)-INT($E$25*(8-1)/$D135))*$C135/1000</f>
        <v>0.0</v>
      </c>
      <c r="M135" s="42">
        <f>(INT($E$25*9/$D135)-INT($E$25*(9-1)/$D135))*$C135/1000</f>
        <v>12.656360000000001</v>
      </c>
      <c r="N135" s="42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44" t="n">
        <v>14284.3</v>
      </c>
      <c r="D136" s="43" t="n">
        <v>12500</v>
      </c>
      <c r="E136" s="42">
        <f>(INT($E$25*1/$D136)-INT($E$25*(1-1)/$D136))*$C136/1000</f>
        <v>0.0</v>
      </c>
      <c r="F136" s="42">
        <f>(INT($E$25*2/$D136)-INT($E$25*(2-1)/$D136))*$C136/1000</f>
        <v>14.2843</v>
      </c>
      <c r="G136" s="42">
        <f>(INT($E$25*3/$D136)-INT($E$25*(3-1)/$D136))*$C136/1000</f>
        <v>0.0</v>
      </c>
      <c r="H136" s="42">
        <f>(INT($E$25*4/$D136)-INT($E$25*(4-1)/$D136))*$C136/1000</f>
        <v>14.2843</v>
      </c>
      <c r="I136" s="42">
        <f>(INT($E$25*5/$D136)-INT($E$25*(5-1)/$D136))*$C136/1000</f>
        <v>0.0</v>
      </c>
      <c r="J136" s="42">
        <f>(INT($E$25*6/$D136)-INT($E$25*(6-1)/$D136))*$C136/1000</f>
        <v>14.2843</v>
      </c>
      <c r="K136" s="42">
        <f>(INT($E$25*7/$D136)-INT($E$25*(7-1)/$D136))*$C136/1000</f>
        <v>0.0</v>
      </c>
      <c r="L136" s="42">
        <f>(INT($E$25*8/$D136)-INT($E$25*(8-1)/$D136))*$C136/1000</f>
        <v>14.2843</v>
      </c>
      <c r="M136" s="42">
        <f>(INT($E$25*9/$D136)-INT($E$25*(9-1)/$D136))*$C136/1000</f>
        <v>14.2843</v>
      </c>
      <c r="N136" s="42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44" t="n">
        <v>1440.96</v>
      </c>
      <c r="D137" s="43" t="n">
        <v>18000</v>
      </c>
      <c r="E137" s="42">
        <f>(INT($E$25*1/$D137)-INT($E$25*(1-1)/$D137))*$C137/1000</f>
        <v>0.0</v>
      </c>
      <c r="F137" s="42">
        <f>(INT($E$25*2/$D137)-INT($E$25*(2-1)/$D137))*$C137/1000</f>
        <v>0.0</v>
      </c>
      <c r="G137" s="42">
        <f>(INT($E$25*3/$D137)-INT($E$25*(3-1)/$D137))*$C137/1000</f>
        <v>1.44096</v>
      </c>
      <c r="H137" s="42">
        <f>(INT($E$25*4/$D137)-INT($E$25*(4-1)/$D137))*$C137/1000</f>
        <v>0.0</v>
      </c>
      <c r="I137" s="42">
        <f>(INT($E$25*5/$D137)-INT($E$25*(5-1)/$D137))*$C137/1000</f>
        <v>0.0</v>
      </c>
      <c r="J137" s="42">
        <f>(INT($E$25*6/$D137)-INT($E$25*(6-1)/$D137))*$C137/1000</f>
        <v>1.44096</v>
      </c>
      <c r="K137" s="42">
        <f>(INT($E$25*7/$D137)-INT($E$25*(7-1)/$D137))*$C137/1000</f>
        <v>0.0</v>
      </c>
      <c r="L137" s="42">
        <f>(INT($E$25*8/$D137)-INT($E$25*(8-1)/$D137))*$C137/1000</f>
        <v>1.44096</v>
      </c>
      <c r="M137" s="42">
        <f>(INT($E$25*9/$D137)-INT($E$25*(9-1)/$D137))*$C137/1000</f>
        <v>0.0</v>
      </c>
      <c r="N137" s="42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44" t="n">
        <v>11889.72</v>
      </c>
      <c r="D138" s="43" t="n">
        <v>25000</v>
      </c>
      <c r="E138" s="42">
        <f>(INT($E$25*1/$D138)-INT($E$25*(1-1)/$D138))*$C138/1000</f>
        <v>0.0</v>
      </c>
      <c r="F138" s="42">
        <f>(INT($E$25*2/$D138)-INT($E$25*(2-1)/$D138))*$C138/1000</f>
        <v>0.0</v>
      </c>
      <c r="G138" s="42">
        <f>(INT($E$25*3/$D138)-INT($E$25*(3-1)/$D138))*$C138/1000</f>
        <v>0.0</v>
      </c>
      <c r="H138" s="42">
        <f>(INT($E$25*4/$D138)-INT($E$25*(4-1)/$D138))*$C138/1000</f>
        <v>11.889719999999999</v>
      </c>
      <c r="I138" s="42">
        <f>(INT($E$25*5/$D138)-INT($E$25*(5-1)/$D138))*$C138/1000</f>
        <v>0.0</v>
      </c>
      <c r="J138" s="42">
        <f>(INT($E$25*6/$D138)-INT($E$25*(6-1)/$D138))*$C138/1000</f>
        <v>0.0</v>
      </c>
      <c r="K138" s="42">
        <f>(INT($E$25*7/$D138)-INT($E$25*(7-1)/$D138))*$C138/1000</f>
        <v>0.0</v>
      </c>
      <c r="L138" s="42">
        <f>(INT($E$25*8/$D138)-INT($E$25*(8-1)/$D138))*$C138/1000</f>
        <v>11.889719999999999</v>
      </c>
      <c r="M138" s="42">
        <f>(INT($E$25*9/$D138)-INT($E$25*(9-1)/$D138))*$C138/1000</f>
        <v>0.0</v>
      </c>
      <c r="N138" s="42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44" t="n">
        <v>8918.02</v>
      </c>
      <c r="D139" s="43" t="n">
        <v>15100</v>
      </c>
      <c r="E139" s="42">
        <f>(INT($E$25*1/$D139)-INT($E$25*(1-1)/$D139))*$C139/1000</f>
        <v>0.0</v>
      </c>
      <c r="F139" s="42">
        <f>(INT($E$25*2/$D139)-INT($E$25*(2-1)/$D139))*$C139/1000</f>
        <v>0.0</v>
      </c>
      <c r="G139" s="42">
        <f>(INT($E$25*3/$D139)-INT($E$25*(3-1)/$D139))*$C139/1000</f>
        <v>8.91802</v>
      </c>
      <c r="H139" s="42">
        <f>(INT($E$25*4/$D139)-INT($E$25*(4-1)/$D139))*$C139/1000</f>
        <v>0.0</v>
      </c>
      <c r="I139" s="42">
        <f>(INT($E$25*5/$D139)-INT($E$25*(5-1)/$D139))*$C139/1000</f>
        <v>8.91802</v>
      </c>
      <c r="J139" s="42">
        <f>(INT($E$25*6/$D139)-INT($E$25*(6-1)/$D139))*$C139/1000</f>
        <v>0.0</v>
      </c>
      <c r="K139" s="42">
        <f>(INT($E$25*7/$D139)-INT($E$25*(7-1)/$D139))*$C139/1000</f>
        <v>8.91802</v>
      </c>
      <c r="L139" s="42">
        <f>(INT($E$25*8/$D139)-INT($E$25*(8-1)/$D139))*$C139/1000</f>
        <v>0.0</v>
      </c>
      <c r="M139" s="42">
        <f>(INT($E$25*9/$D139)-INT($E$25*(9-1)/$D139))*$C139/1000</f>
        <v>8.91802</v>
      </c>
      <c r="N139" s="42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44" t="n">
        <v>15102.84</v>
      </c>
      <c r="D140" s="43" t="n">
        <v>15100</v>
      </c>
      <c r="E140" s="42">
        <f>(INT($E$25*1/$D140)-INT($E$25*(1-1)/$D140))*$C140/1000</f>
        <v>0.0</v>
      </c>
      <c r="F140" s="42">
        <f>(INT($E$25*2/$D140)-INT($E$25*(2-1)/$D140))*$C140/1000</f>
        <v>0.0</v>
      </c>
      <c r="G140" s="42">
        <f>(INT($E$25*3/$D140)-INT($E$25*(3-1)/$D140))*$C140/1000</f>
        <v>15.10284</v>
      </c>
      <c r="H140" s="42">
        <f>(INT($E$25*4/$D140)-INT($E$25*(4-1)/$D140))*$C140/1000</f>
        <v>0.0</v>
      </c>
      <c r="I140" s="42">
        <f>(INT($E$25*5/$D140)-INT($E$25*(5-1)/$D140))*$C140/1000</f>
        <v>15.10284</v>
      </c>
      <c r="J140" s="42">
        <f>(INT($E$25*6/$D140)-INT($E$25*(6-1)/$D140))*$C140/1000</f>
        <v>0.0</v>
      </c>
      <c r="K140" s="42">
        <f>(INT($E$25*7/$D140)-INT($E$25*(7-1)/$D140))*$C140/1000</f>
        <v>15.10284</v>
      </c>
      <c r="L140" s="42">
        <f>(INT($E$25*8/$D140)-INT($E$25*(8-1)/$D140))*$C140/1000</f>
        <v>0.0</v>
      </c>
      <c r="M140" s="42">
        <f>(INT($E$25*9/$D140)-INT($E$25*(9-1)/$D140))*$C140/1000</f>
        <v>15.10284</v>
      </c>
      <c r="N140" s="42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44" t="n">
        <v>10422.27</v>
      </c>
      <c r="D141" s="43" t="n">
        <v>10100</v>
      </c>
      <c r="E141" s="42">
        <f>(INT($E$25*1/$D141)-INT($E$25*(1-1)/$D141))*$C141/1000</f>
        <v>0.0</v>
      </c>
      <c r="F141" s="42">
        <f>(INT($E$25*2/$D141)-INT($E$25*(2-1)/$D141))*$C141/1000</f>
        <v>10.422270000000001</v>
      </c>
      <c r="G141" s="42">
        <f>(INT($E$25*3/$D141)-INT($E$25*(3-1)/$D141))*$C141/1000</f>
        <v>10.422270000000001</v>
      </c>
      <c r="H141" s="42">
        <f>(INT($E$25*4/$D141)-INT($E$25*(4-1)/$D141))*$C141/1000</f>
        <v>0.0</v>
      </c>
      <c r="I141" s="42">
        <f>(INT($E$25*5/$D141)-INT($E$25*(5-1)/$D141))*$C141/1000</f>
        <v>10.422270000000001</v>
      </c>
      <c r="J141" s="42">
        <f>(INT($E$25*6/$D141)-INT($E$25*(6-1)/$D141))*$C141/1000</f>
        <v>10.422270000000001</v>
      </c>
      <c r="K141" s="42">
        <f>(INT($E$25*7/$D141)-INT($E$25*(7-1)/$D141))*$C141/1000</f>
        <v>0.0</v>
      </c>
      <c r="L141" s="42">
        <f>(INT($E$25*8/$D141)-INT($E$25*(8-1)/$D141))*$C141/1000</f>
        <v>10.422270000000001</v>
      </c>
      <c r="M141" s="42">
        <f>(INT($E$25*9/$D141)-INT($E$25*(9-1)/$D141))*$C141/1000</f>
        <v>10.422270000000001</v>
      </c>
      <c r="N141" s="42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44" t="n">
        <v>32219.39</v>
      </c>
      <c r="D142" s="43" t="n">
        <v>15000</v>
      </c>
      <c r="E142" s="42">
        <f>(INT($E$25*1/$D142)-INT($E$25*(1-1)/$D142))*$C142/1000</f>
        <v>0.0</v>
      </c>
      <c r="F142" s="42">
        <f>(INT($E$25*2/$D142)-INT($E$25*(2-1)/$D142))*$C142/1000</f>
        <v>0.0</v>
      </c>
      <c r="G142" s="42">
        <f>(INT($E$25*3/$D142)-INT($E$25*(3-1)/$D142))*$C142/1000</f>
        <v>32.21939</v>
      </c>
      <c r="H142" s="42">
        <f>(INT($E$25*4/$D142)-INT($E$25*(4-1)/$D142))*$C142/1000</f>
        <v>0.0</v>
      </c>
      <c r="I142" s="42">
        <f>(INT($E$25*5/$D142)-INT($E$25*(5-1)/$D142))*$C142/1000</f>
        <v>32.21939</v>
      </c>
      <c r="J142" s="42">
        <f>(INT($E$25*6/$D142)-INT($E$25*(6-1)/$D142))*$C142/1000</f>
        <v>0.0</v>
      </c>
      <c r="K142" s="42">
        <f>(INT($E$25*7/$D142)-INT($E$25*(7-1)/$D142))*$C142/1000</f>
        <v>32.21939</v>
      </c>
      <c r="L142" s="42">
        <f>(INT($E$25*8/$D142)-INT($E$25*(8-1)/$D142))*$C142/1000</f>
        <v>0.0</v>
      </c>
      <c r="M142" s="42">
        <f>(INT($E$25*9/$D142)-INT($E$25*(9-1)/$D142))*$C142/1000</f>
        <v>32.21939</v>
      </c>
      <c r="N142" s="42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44" t="n">
        <v>1720.05</v>
      </c>
      <c r="D143" s="43" t="n">
        <v>15000</v>
      </c>
      <c r="E143" s="42">
        <f>(INT($E$25*1/$D143)-INT($E$25*(1-1)/$D143))*$C143/1000</f>
        <v>0.0</v>
      </c>
      <c r="F143" s="42">
        <f>(INT($E$25*2/$D143)-INT($E$25*(2-1)/$D143))*$C143/1000</f>
        <v>0.0</v>
      </c>
      <c r="G143" s="42">
        <f>(INT($E$25*3/$D143)-INT($E$25*(3-1)/$D143))*$C143/1000</f>
        <v>1.7200499999999999</v>
      </c>
      <c r="H143" s="42">
        <f>(INT($E$25*4/$D143)-INT($E$25*(4-1)/$D143))*$C143/1000</f>
        <v>0.0</v>
      </c>
      <c r="I143" s="42">
        <f>(INT($E$25*5/$D143)-INT($E$25*(5-1)/$D143))*$C143/1000</f>
        <v>1.7200499999999999</v>
      </c>
      <c r="J143" s="42">
        <f>(INT($E$25*6/$D143)-INT($E$25*(6-1)/$D143))*$C143/1000</f>
        <v>0.0</v>
      </c>
      <c r="K143" s="42">
        <f>(INT($E$25*7/$D143)-INT($E$25*(7-1)/$D143))*$C143/1000</f>
        <v>1.7200499999999999</v>
      </c>
      <c r="L143" s="42">
        <f>(INT($E$25*8/$D143)-INT($E$25*(8-1)/$D143))*$C143/1000</f>
        <v>0.0</v>
      </c>
      <c r="M143" s="42">
        <f>(INT($E$25*9/$D143)-INT($E$25*(9-1)/$D143))*$C143/1000</f>
        <v>1.7200499999999999</v>
      </c>
      <c r="N143" s="42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44" t="n">
        <v>2773.01</v>
      </c>
      <c r="D144" s="43" t="n">
        <v>8000</v>
      </c>
      <c r="E144" s="42">
        <f>(INT($E$25*1/$D144)-INT($E$25*(1-1)/$D144))*$C144/1000</f>
        <v>0.0</v>
      </c>
      <c r="F144" s="42">
        <f>(INT($E$25*2/$D144)-INT($E$25*(2-1)/$D144))*$C144/1000</f>
        <v>2.77301</v>
      </c>
      <c r="G144" s="42">
        <f>(INT($E$25*3/$D144)-INT($E$25*(3-1)/$D144))*$C144/1000</f>
        <v>2.77301</v>
      </c>
      <c r="H144" s="42">
        <f>(INT($E$25*4/$D144)-INT($E$25*(4-1)/$D144))*$C144/1000</f>
        <v>2.77301</v>
      </c>
      <c r="I144" s="42">
        <f>(INT($E$25*5/$D144)-INT($E$25*(5-1)/$D144))*$C144/1000</f>
        <v>2.77301</v>
      </c>
      <c r="J144" s="42">
        <f>(INT($E$25*6/$D144)-INT($E$25*(6-1)/$D144))*$C144/1000</f>
        <v>2.77301</v>
      </c>
      <c r="K144" s="42">
        <f>(INT($E$25*7/$D144)-INT($E$25*(7-1)/$D144))*$C144/1000</f>
        <v>2.77301</v>
      </c>
      <c r="L144" s="42">
        <f>(INT($E$25*8/$D144)-INT($E$25*(8-1)/$D144))*$C144/1000</f>
        <v>2.77301</v>
      </c>
      <c r="M144" s="42">
        <f>(INT($E$25*9/$D144)-INT($E$25*(9-1)/$D144))*$C144/1000</f>
        <v>0.0</v>
      </c>
      <c r="N144" s="42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44" t="n">
        <v>41350.19</v>
      </c>
      <c r="D145" s="43" t="n">
        <v>14900</v>
      </c>
      <c r="E145" s="42">
        <f>(INT($E$25*1/$D145)-INT($E$25*(1-1)/$D145))*$C145/1000</f>
        <v>0.0</v>
      </c>
      <c r="F145" s="42">
        <f>(INT($E$25*2/$D145)-INT($E$25*(2-1)/$D145))*$C145/1000</f>
        <v>0.0</v>
      </c>
      <c r="G145" s="42">
        <f>(INT($E$25*3/$D145)-INT($E$25*(3-1)/$D145))*$C145/1000</f>
        <v>41.350190000000005</v>
      </c>
      <c r="H145" s="42">
        <f>(INT($E$25*4/$D145)-INT($E$25*(4-1)/$D145))*$C145/1000</f>
        <v>0.0</v>
      </c>
      <c r="I145" s="42">
        <f>(INT($E$25*5/$D145)-INT($E$25*(5-1)/$D145))*$C145/1000</f>
        <v>41.350190000000005</v>
      </c>
      <c r="J145" s="42">
        <f>(INT($E$25*6/$D145)-INT($E$25*(6-1)/$D145))*$C145/1000</f>
        <v>0.0</v>
      </c>
      <c r="K145" s="42">
        <f>(INT($E$25*7/$D145)-INT($E$25*(7-1)/$D145))*$C145/1000</f>
        <v>41.350190000000005</v>
      </c>
      <c r="L145" s="42">
        <f>(INT($E$25*8/$D145)-INT($E$25*(8-1)/$D145))*$C145/1000</f>
        <v>0.0</v>
      </c>
      <c r="M145" s="42">
        <f>(INT($E$25*9/$D145)-INT($E$25*(9-1)/$D145))*$C145/1000</f>
        <v>41.350190000000005</v>
      </c>
      <c r="N145" s="42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44" t="n">
        <v>29233.73</v>
      </c>
      <c r="D146" s="43" t="n">
        <v>14900</v>
      </c>
      <c r="E146" s="42">
        <f>(INT($E$25*1/$D146)-INT($E$25*(1-1)/$D146))*$C146/1000</f>
        <v>0.0</v>
      </c>
      <c r="F146" s="42">
        <f>(INT($E$25*2/$D146)-INT($E$25*(2-1)/$D146))*$C146/1000</f>
        <v>0.0</v>
      </c>
      <c r="G146" s="42">
        <f>(INT($E$25*3/$D146)-INT($E$25*(3-1)/$D146))*$C146/1000</f>
        <v>29.23373</v>
      </c>
      <c r="H146" s="42">
        <f>(INT($E$25*4/$D146)-INT($E$25*(4-1)/$D146))*$C146/1000</f>
        <v>0.0</v>
      </c>
      <c r="I146" s="42">
        <f>(INT($E$25*5/$D146)-INT($E$25*(5-1)/$D146))*$C146/1000</f>
        <v>29.23373</v>
      </c>
      <c r="J146" s="42">
        <f>(INT($E$25*6/$D146)-INT($E$25*(6-1)/$D146))*$C146/1000</f>
        <v>0.0</v>
      </c>
      <c r="K146" s="42">
        <f>(INT($E$25*7/$D146)-INT($E$25*(7-1)/$D146))*$C146/1000</f>
        <v>29.23373</v>
      </c>
      <c r="L146" s="42">
        <f>(INT($E$25*8/$D146)-INT($E$25*(8-1)/$D146))*$C146/1000</f>
        <v>0.0</v>
      </c>
      <c r="M146" s="42">
        <f>(INT($E$25*9/$D146)-INT($E$25*(9-1)/$D146))*$C146/1000</f>
        <v>29.23373</v>
      </c>
      <c r="N146" s="42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44" t="n">
        <v>17877.9</v>
      </c>
      <c r="D147" s="43" t="n">
        <v>10400</v>
      </c>
      <c r="E147" s="42">
        <f>(INT($E$25*1/$D147)-INT($E$25*(1-1)/$D147))*$C147/1000</f>
        <v>0.0</v>
      </c>
      <c r="F147" s="42">
        <f>(INT($E$25*2/$D147)-INT($E$25*(2-1)/$D147))*$C147/1000</f>
        <v>17.8779</v>
      </c>
      <c r="G147" s="42">
        <f>(INT($E$25*3/$D147)-INT($E$25*(3-1)/$D147))*$C147/1000</f>
        <v>17.8779</v>
      </c>
      <c r="H147" s="42">
        <f>(INT($E$25*4/$D147)-INT($E$25*(4-1)/$D147))*$C147/1000</f>
        <v>0.0</v>
      </c>
      <c r="I147" s="42">
        <f>(INT($E$25*5/$D147)-INT($E$25*(5-1)/$D147))*$C147/1000</f>
        <v>17.8779</v>
      </c>
      <c r="J147" s="42">
        <f>(INT($E$25*6/$D147)-INT($E$25*(6-1)/$D147))*$C147/1000</f>
        <v>17.8779</v>
      </c>
      <c r="K147" s="42">
        <f>(INT($E$25*7/$D147)-INT($E$25*(7-1)/$D147))*$C147/1000</f>
        <v>0.0</v>
      </c>
      <c r="L147" s="42">
        <f>(INT($E$25*8/$D147)-INT($E$25*(8-1)/$D147))*$C147/1000</f>
        <v>17.8779</v>
      </c>
      <c r="M147" s="42">
        <f>(INT($E$25*9/$D147)-INT($E$25*(9-1)/$D147))*$C147/1000</f>
        <v>17.8779</v>
      </c>
      <c r="N147" s="42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44" t="n">
        <v>4406.44</v>
      </c>
      <c r="D148" s="43" t="n">
        <v>12000</v>
      </c>
      <c r="E148" s="42">
        <f>(INT($E$25*1/$D148)-INT($E$25*(1-1)/$D148))*$C148/1000</f>
        <v>0.0</v>
      </c>
      <c r="F148" s="42">
        <f>(INT($E$25*2/$D148)-INT($E$25*(2-1)/$D148))*$C148/1000</f>
        <v>4.40644</v>
      </c>
      <c r="G148" s="42">
        <f>(INT($E$25*3/$D148)-INT($E$25*(3-1)/$D148))*$C148/1000</f>
        <v>0.0</v>
      </c>
      <c r="H148" s="42">
        <f>(INT($E$25*4/$D148)-INT($E$25*(4-1)/$D148))*$C148/1000</f>
        <v>4.40644</v>
      </c>
      <c r="I148" s="42">
        <f>(INT($E$25*5/$D148)-INT($E$25*(5-1)/$D148))*$C148/1000</f>
        <v>0.0</v>
      </c>
      <c r="J148" s="42">
        <f>(INT($E$25*6/$D148)-INT($E$25*(6-1)/$D148))*$C148/1000</f>
        <v>4.40644</v>
      </c>
      <c r="K148" s="42">
        <f>(INT($E$25*7/$D148)-INT($E$25*(7-1)/$D148))*$C148/1000</f>
        <v>4.40644</v>
      </c>
      <c r="L148" s="42">
        <f>(INT($E$25*8/$D148)-INT($E$25*(8-1)/$D148))*$C148/1000</f>
        <v>0.0</v>
      </c>
      <c r="M148" s="42">
        <f>(INT($E$25*9/$D148)-INT($E$25*(9-1)/$D148))*$C148/1000</f>
        <v>4.40644</v>
      </c>
      <c r="N148" s="42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44" t="n">
        <v>359.34</v>
      </c>
      <c r="D149" s="43" t="n">
        <v>8000</v>
      </c>
      <c r="E149" s="42">
        <f>(INT($E$25*1/$D149)-INT($E$25*(1-1)/$D149))*$C149/1000</f>
        <v>0.0</v>
      </c>
      <c r="F149" s="42">
        <f>(INT($E$25*2/$D149)-INT($E$25*(2-1)/$D149))*$C149/1000</f>
        <v>0.35934</v>
      </c>
      <c r="G149" s="42">
        <f>(INT($E$25*3/$D149)-INT($E$25*(3-1)/$D149))*$C149/1000</f>
        <v>0.35934</v>
      </c>
      <c r="H149" s="42">
        <f>(INT($E$25*4/$D149)-INT($E$25*(4-1)/$D149))*$C149/1000</f>
        <v>0.35934</v>
      </c>
      <c r="I149" s="42">
        <f>(INT($E$25*5/$D149)-INT($E$25*(5-1)/$D149))*$C149/1000</f>
        <v>0.35934</v>
      </c>
      <c r="J149" s="42">
        <f>(INT($E$25*6/$D149)-INT($E$25*(6-1)/$D149))*$C149/1000</f>
        <v>0.35934</v>
      </c>
      <c r="K149" s="42">
        <f>(INT($E$25*7/$D149)-INT($E$25*(7-1)/$D149))*$C149/1000</f>
        <v>0.35934</v>
      </c>
      <c r="L149" s="42">
        <f>(INT($E$25*8/$D149)-INT($E$25*(8-1)/$D149))*$C149/1000</f>
        <v>0.35934</v>
      </c>
      <c r="M149" s="42">
        <f>(INT($E$25*9/$D149)-INT($E$25*(9-1)/$D149))*$C149/1000</f>
        <v>0.0</v>
      </c>
      <c r="N149" s="42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44" t="n">
        <v>1855.63</v>
      </c>
      <c r="D150" s="43" t="n">
        <v>8000</v>
      </c>
      <c r="E150" s="42">
        <f>(INT($E$25*1/$D150)-INT($E$25*(1-1)/$D150))*$C150/1000</f>
        <v>0.0</v>
      </c>
      <c r="F150" s="42">
        <f>(INT($E$25*2/$D150)-INT($E$25*(2-1)/$D150))*$C150/1000</f>
        <v>1.8556300000000001</v>
      </c>
      <c r="G150" s="42">
        <f>(INT($E$25*3/$D150)-INT($E$25*(3-1)/$D150))*$C150/1000</f>
        <v>1.8556300000000001</v>
      </c>
      <c r="H150" s="42">
        <f>(INT($E$25*4/$D150)-INT($E$25*(4-1)/$D150))*$C150/1000</f>
        <v>1.8556300000000001</v>
      </c>
      <c r="I150" s="42">
        <f>(INT($E$25*5/$D150)-INT($E$25*(5-1)/$D150))*$C150/1000</f>
        <v>1.8556300000000001</v>
      </c>
      <c r="J150" s="42">
        <f>(INT($E$25*6/$D150)-INT($E$25*(6-1)/$D150))*$C150/1000</f>
        <v>1.8556300000000001</v>
      </c>
      <c r="K150" s="42">
        <f>(INT($E$25*7/$D150)-INT($E$25*(7-1)/$D150))*$C150/1000</f>
        <v>1.8556300000000001</v>
      </c>
      <c r="L150" s="42">
        <f>(INT($E$25*8/$D150)-INT($E$25*(8-1)/$D150))*$C150/1000</f>
        <v>1.8556300000000001</v>
      </c>
      <c r="M150" s="42">
        <f>(INT($E$25*9/$D150)-INT($E$25*(9-1)/$D150))*$C150/1000</f>
        <v>0.0</v>
      </c>
      <c r="N150" s="42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44" t="n">
        <v>1750.07</v>
      </c>
      <c r="D151" s="43" t="n">
        <v>10400</v>
      </c>
      <c r="E151" s="42">
        <f>(INT($E$25*1/$D151)-INT($E$25*(1-1)/$D151))*$C151/1000</f>
        <v>0.0</v>
      </c>
      <c r="F151" s="42">
        <f>(INT($E$25*2/$D151)-INT($E$25*(2-1)/$D151))*$C151/1000</f>
        <v>1.75007</v>
      </c>
      <c r="G151" s="42">
        <f>(INT($E$25*3/$D151)-INT($E$25*(3-1)/$D151))*$C151/1000</f>
        <v>1.75007</v>
      </c>
      <c r="H151" s="42">
        <f>(INT($E$25*4/$D151)-INT($E$25*(4-1)/$D151))*$C151/1000</f>
        <v>0.0</v>
      </c>
      <c r="I151" s="42">
        <f>(INT($E$25*5/$D151)-INT($E$25*(5-1)/$D151))*$C151/1000</f>
        <v>1.75007</v>
      </c>
      <c r="J151" s="42">
        <f>(INT($E$25*6/$D151)-INT($E$25*(6-1)/$D151))*$C151/1000</f>
        <v>1.75007</v>
      </c>
      <c r="K151" s="42">
        <f>(INT($E$25*7/$D151)-INT($E$25*(7-1)/$D151))*$C151/1000</f>
        <v>0.0</v>
      </c>
      <c r="L151" s="42">
        <f>(INT($E$25*8/$D151)-INT($E$25*(8-1)/$D151))*$C151/1000</f>
        <v>1.75007</v>
      </c>
      <c r="M151" s="42">
        <f>(INT($E$25*9/$D151)-INT($E$25*(9-1)/$D151))*$C151/1000</f>
        <v>1.75007</v>
      </c>
      <c r="N151" s="42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44" t="n">
        <v>1208.21</v>
      </c>
      <c r="D152" s="43" t="n">
        <v>8000</v>
      </c>
      <c r="E152" s="42">
        <f>(INT($E$25*1/$D152)-INT($E$25*(1-1)/$D152))*$C152/1000</f>
        <v>0.0</v>
      </c>
      <c r="F152" s="42">
        <f>(INT($E$25*2/$D152)-INT($E$25*(2-1)/$D152))*$C152/1000</f>
        <v>1.20821</v>
      </c>
      <c r="G152" s="42">
        <f>(INT($E$25*3/$D152)-INT($E$25*(3-1)/$D152))*$C152/1000</f>
        <v>1.20821</v>
      </c>
      <c r="H152" s="42">
        <f>(INT($E$25*4/$D152)-INT($E$25*(4-1)/$D152))*$C152/1000</f>
        <v>1.20821</v>
      </c>
      <c r="I152" s="42">
        <f>(INT($E$25*5/$D152)-INT($E$25*(5-1)/$D152))*$C152/1000</f>
        <v>1.20821</v>
      </c>
      <c r="J152" s="42">
        <f>(INT($E$25*6/$D152)-INT($E$25*(6-1)/$D152))*$C152/1000</f>
        <v>1.20821</v>
      </c>
      <c r="K152" s="42">
        <f>(INT($E$25*7/$D152)-INT($E$25*(7-1)/$D152))*$C152/1000</f>
        <v>1.20821</v>
      </c>
      <c r="L152" s="42">
        <f>(INT($E$25*8/$D152)-INT($E$25*(8-1)/$D152))*$C152/1000</f>
        <v>1.20821</v>
      </c>
      <c r="M152" s="42">
        <f>(INT($E$25*9/$D152)-INT($E$25*(9-1)/$D152))*$C152/1000</f>
        <v>0.0</v>
      </c>
      <c r="N152" s="42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44" t="n">
        <v>10570.4</v>
      </c>
      <c r="D153" s="43" t="n">
        <v>18000</v>
      </c>
      <c r="E153" s="42">
        <f>(INT($E$25*1/$D153)-INT($E$25*(1-1)/$D153))*$C153/1000</f>
        <v>0.0</v>
      </c>
      <c r="F153" s="42">
        <f>(INT($E$25*2/$D153)-INT($E$25*(2-1)/$D153))*$C153/1000</f>
        <v>0.0</v>
      </c>
      <c r="G153" s="42">
        <f>(INT($E$25*3/$D153)-INT($E$25*(3-1)/$D153))*$C153/1000</f>
        <v>10.5704</v>
      </c>
      <c r="H153" s="42">
        <f>(INT($E$25*4/$D153)-INT($E$25*(4-1)/$D153))*$C153/1000</f>
        <v>0.0</v>
      </c>
      <c r="I153" s="42">
        <f>(INT($E$25*5/$D153)-INT($E$25*(5-1)/$D153))*$C153/1000</f>
        <v>0.0</v>
      </c>
      <c r="J153" s="42">
        <f>(INT($E$25*6/$D153)-INT($E$25*(6-1)/$D153))*$C153/1000</f>
        <v>10.5704</v>
      </c>
      <c r="K153" s="42">
        <f>(INT($E$25*7/$D153)-INT($E$25*(7-1)/$D153))*$C153/1000</f>
        <v>0.0</v>
      </c>
      <c r="L153" s="42">
        <f>(INT($E$25*8/$D153)-INT($E$25*(8-1)/$D153))*$C153/1000</f>
        <v>10.5704</v>
      </c>
      <c r="M153" s="42">
        <f>(INT($E$25*9/$D153)-INT($E$25*(9-1)/$D153))*$C153/1000</f>
        <v>0.0</v>
      </c>
      <c r="N153" s="42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44" t="n">
        <v>149339.64</v>
      </c>
      <c r="D154" s="43" t="n">
        <v>30000</v>
      </c>
      <c r="E154" s="42">
        <f>(INT($E$25*1/$D154)-INT($E$25*(1-1)/$D154))*$C154/1000</f>
        <v>0.0</v>
      </c>
      <c r="F154" s="42">
        <f>(INT($E$25*2/$D154)-INT($E$25*(2-1)/$D154))*$C154/1000</f>
        <v>0.0</v>
      </c>
      <c r="G154" s="42">
        <f>(INT($E$25*3/$D154)-INT($E$25*(3-1)/$D154))*$C154/1000</f>
        <v>0.0</v>
      </c>
      <c r="H154" s="42">
        <f>(INT($E$25*4/$D154)-INT($E$25*(4-1)/$D154))*$C154/1000</f>
        <v>0.0</v>
      </c>
      <c r="I154" s="42">
        <f>(INT($E$25*5/$D154)-INT($E$25*(5-1)/$D154))*$C154/1000</f>
        <v>149.33964</v>
      </c>
      <c r="J154" s="42">
        <f>(INT($E$25*6/$D154)-INT($E$25*(6-1)/$D154))*$C154/1000</f>
        <v>0.0</v>
      </c>
      <c r="K154" s="42">
        <f>(INT($E$25*7/$D154)-INT($E$25*(7-1)/$D154))*$C154/1000</f>
        <v>0.0</v>
      </c>
      <c r="L154" s="42">
        <f>(INT($E$25*8/$D154)-INT($E$25*(8-1)/$D154))*$C154/1000</f>
        <v>0.0</v>
      </c>
      <c r="M154" s="42">
        <f>(INT($E$25*9/$D154)-INT($E$25*(9-1)/$D154))*$C154/1000</f>
        <v>149.33964</v>
      </c>
      <c r="N154" s="42">
        <f>(INT($E$25*10/$D154)-INT($E$25*(10-1)/$D154))*$C154/1000</f>
        <v>0.0</v>
      </c>
    </row>
    <row r="155">
      <c r="B155" s="22" t="inlineStr">
        <is>
          <t>COUPLING (муфта)</t>
        </is>
      </c>
      <c r="C155" s="44" t="n">
        <v>10830.34</v>
      </c>
      <c r="D155" s="43" t="n">
        <v>20000</v>
      </c>
      <c r="E155" s="42">
        <f>(INT($E$25*1/$D155)-INT($E$25*(1-1)/$D155))*$C155/1000</f>
        <v>0.0</v>
      </c>
      <c r="F155" s="42">
        <f>(INT($E$25*2/$D155)-INT($E$25*(2-1)/$D155))*$C155/1000</f>
        <v>0.0</v>
      </c>
      <c r="G155" s="42">
        <f>(INT($E$25*3/$D155)-INT($E$25*(3-1)/$D155))*$C155/1000</f>
        <v>10.83034</v>
      </c>
      <c r="H155" s="42">
        <f>(INT($E$25*4/$D155)-INT($E$25*(4-1)/$D155))*$C155/1000</f>
        <v>0.0</v>
      </c>
      <c r="I155" s="42">
        <f>(INT($E$25*5/$D155)-INT($E$25*(5-1)/$D155))*$C155/1000</f>
        <v>0.0</v>
      </c>
      <c r="J155" s="42">
        <f>(INT($E$25*6/$D155)-INT($E$25*(6-1)/$D155))*$C155/1000</f>
        <v>10.83034</v>
      </c>
      <c r="K155" s="42">
        <f>(INT($E$25*7/$D155)-INT($E$25*(7-1)/$D155))*$C155/1000</f>
        <v>0.0</v>
      </c>
      <c r="L155" s="42">
        <f>(INT($E$25*8/$D155)-INT($E$25*(8-1)/$D155))*$C155/1000</f>
        <v>0.0</v>
      </c>
      <c r="M155" s="42">
        <f>(INT($E$25*9/$D155)-INT($E$25*(9-1)/$D155))*$C155/1000</f>
        <v>10.83034</v>
      </c>
      <c r="N155" s="42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44" t="n">
        <v>1593.95</v>
      </c>
      <c r="D156" s="43" t="n">
        <v>10000</v>
      </c>
      <c r="E156" s="42">
        <f>(INT($E$25*1/$D156)-INT($E$25*(1-1)/$D156))*$C156/1000</f>
        <v>0.0</v>
      </c>
      <c r="F156" s="42">
        <f>(INT($E$25*2/$D156)-INT($E$25*(2-1)/$D156))*$C156/1000</f>
        <v>1.59395</v>
      </c>
      <c r="G156" s="42">
        <f>(INT($E$25*3/$D156)-INT($E$25*(3-1)/$D156))*$C156/1000</f>
        <v>1.59395</v>
      </c>
      <c r="H156" s="42">
        <f>(INT($E$25*4/$D156)-INT($E$25*(4-1)/$D156))*$C156/1000</f>
        <v>0.0</v>
      </c>
      <c r="I156" s="42">
        <f>(INT($E$25*5/$D156)-INT($E$25*(5-1)/$D156))*$C156/1000</f>
        <v>1.59395</v>
      </c>
      <c r="J156" s="42">
        <f>(INT($E$25*6/$D156)-INT($E$25*(6-1)/$D156))*$C156/1000</f>
        <v>1.59395</v>
      </c>
      <c r="K156" s="42">
        <f>(INT($E$25*7/$D156)-INT($E$25*(7-1)/$D156))*$C156/1000</f>
        <v>0.0</v>
      </c>
      <c r="L156" s="42">
        <f>(INT($E$25*8/$D156)-INT($E$25*(8-1)/$D156))*$C156/1000</f>
        <v>1.59395</v>
      </c>
      <c r="M156" s="42">
        <f>(INT($E$25*9/$D156)-INT($E$25*(9-1)/$D156))*$C156/1000</f>
        <v>1.59395</v>
      </c>
      <c r="N156" s="42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44" t="n">
        <v>4616.49</v>
      </c>
      <c r="D157" s="43" t="n">
        <v>20000</v>
      </c>
      <c r="E157" s="42">
        <f>(INT($E$25*1/$D157)-INT($E$25*(1-1)/$D157))*$C157/1000</f>
        <v>0.0</v>
      </c>
      <c r="F157" s="42">
        <f>(INT($E$25*2/$D157)-INT($E$25*(2-1)/$D157))*$C157/1000</f>
        <v>0.0</v>
      </c>
      <c r="G157" s="42">
        <f>(INT($E$25*3/$D157)-INT($E$25*(3-1)/$D157))*$C157/1000</f>
        <v>4.61649</v>
      </c>
      <c r="H157" s="42">
        <f>(INT($E$25*4/$D157)-INT($E$25*(4-1)/$D157))*$C157/1000</f>
        <v>0.0</v>
      </c>
      <c r="I157" s="42">
        <f>(INT($E$25*5/$D157)-INT($E$25*(5-1)/$D157))*$C157/1000</f>
        <v>0.0</v>
      </c>
      <c r="J157" s="42">
        <f>(INT($E$25*6/$D157)-INT($E$25*(6-1)/$D157))*$C157/1000</f>
        <v>4.61649</v>
      </c>
      <c r="K157" s="42">
        <f>(INT($E$25*7/$D157)-INT($E$25*(7-1)/$D157))*$C157/1000</f>
        <v>0.0</v>
      </c>
      <c r="L157" s="42">
        <f>(INT($E$25*8/$D157)-INT($E$25*(8-1)/$D157))*$C157/1000</f>
        <v>0.0</v>
      </c>
      <c r="M157" s="42">
        <f>(INT($E$25*9/$D157)-INT($E$25*(9-1)/$D157))*$C157/1000</f>
        <v>4.61649</v>
      </c>
      <c r="N157" s="42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44" t="n">
        <v>238.88</v>
      </c>
      <c r="D158" s="43" t="n">
        <v>22000</v>
      </c>
      <c r="E158" s="42">
        <f>(INT($E$25*1/$D158)-INT($E$25*(1-1)/$D158))*$C158/1000</f>
        <v>0.0</v>
      </c>
      <c r="F158" s="42">
        <f>(INT($E$25*2/$D158)-INT($E$25*(2-1)/$D158))*$C158/1000</f>
        <v>0.0</v>
      </c>
      <c r="G158" s="42">
        <f>(INT($E$25*3/$D158)-INT($E$25*(3-1)/$D158))*$C158/1000</f>
        <v>0.0</v>
      </c>
      <c r="H158" s="42">
        <f>(INT($E$25*4/$D158)-INT($E$25*(4-1)/$D158))*$C158/1000</f>
        <v>0.23888</v>
      </c>
      <c r="I158" s="42">
        <f>(INT($E$25*5/$D158)-INT($E$25*(5-1)/$D158))*$C158/1000</f>
        <v>0.0</v>
      </c>
      <c r="J158" s="42">
        <f>(INT($E$25*6/$D158)-INT($E$25*(6-1)/$D158))*$C158/1000</f>
        <v>0.0</v>
      </c>
      <c r="K158" s="42">
        <f>(INT($E$25*7/$D158)-INT($E$25*(7-1)/$D158))*$C158/1000</f>
        <v>0.23888</v>
      </c>
      <c r="L158" s="42">
        <f>(INT($E$25*8/$D158)-INT($E$25*(8-1)/$D158))*$C158/1000</f>
        <v>0.0</v>
      </c>
      <c r="M158" s="42">
        <f>(INT($E$25*9/$D158)-INT($E$25*(9-1)/$D158))*$C158/1000</f>
        <v>0.0</v>
      </c>
      <c r="N158" s="42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44" t="n">
        <v>620.8200000000001</v>
      </c>
      <c r="D159" s="43" t="n">
        <v>20000</v>
      </c>
      <c r="E159" s="42">
        <f>(INT($E$25*1/$D159)-INT($E$25*(1-1)/$D159))*$C159/1000</f>
        <v>0.0</v>
      </c>
      <c r="F159" s="42">
        <f>(INT($E$25*2/$D159)-INT($E$25*(2-1)/$D159))*$C159/1000</f>
        <v>0.0</v>
      </c>
      <c r="G159" s="42">
        <f>(INT($E$25*3/$D159)-INT($E$25*(3-1)/$D159))*$C159/1000</f>
        <v>0.62082</v>
      </c>
      <c r="H159" s="42">
        <f>(INT($E$25*4/$D159)-INT($E$25*(4-1)/$D159))*$C159/1000</f>
        <v>0.0</v>
      </c>
      <c r="I159" s="42">
        <f>(INT($E$25*5/$D159)-INT($E$25*(5-1)/$D159))*$C159/1000</f>
        <v>0.0</v>
      </c>
      <c r="J159" s="42">
        <f>(INT($E$25*6/$D159)-INT($E$25*(6-1)/$D159))*$C159/1000</f>
        <v>0.62082</v>
      </c>
      <c r="K159" s="42">
        <f>(INT($E$25*7/$D159)-INT($E$25*(7-1)/$D159))*$C159/1000</f>
        <v>0.0</v>
      </c>
      <c r="L159" s="42">
        <f>(INT($E$25*8/$D159)-INT($E$25*(8-1)/$D159))*$C159/1000</f>
        <v>0.0</v>
      </c>
      <c r="M159" s="42">
        <f>(INT($E$25*9/$D159)-INT($E$25*(9-1)/$D159))*$C159/1000</f>
        <v>0.62082</v>
      </c>
      <c r="N159" s="42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44" t="n">
        <v>16243.37</v>
      </c>
      <c r="D160" s="43" t="n">
        <v>13000</v>
      </c>
      <c r="E160" s="42">
        <f>(INT($E$25*1/$D160)-INT($E$25*(1-1)/$D160))*$C160/1000</f>
        <v>0.0</v>
      </c>
      <c r="F160" s="42">
        <f>(INT($E$25*2/$D160)-INT($E$25*(2-1)/$D160))*$C160/1000</f>
        <v>16.243370000000002</v>
      </c>
      <c r="G160" s="42">
        <f>(INT($E$25*3/$D160)-INT($E$25*(3-1)/$D160))*$C160/1000</f>
        <v>0.0</v>
      </c>
      <c r="H160" s="42">
        <f>(INT($E$25*4/$D160)-INT($E$25*(4-1)/$D160))*$C160/1000</f>
        <v>16.243370000000002</v>
      </c>
      <c r="I160" s="42">
        <f>(INT($E$25*5/$D160)-INT($E$25*(5-1)/$D160))*$C160/1000</f>
        <v>0.0</v>
      </c>
      <c r="J160" s="42">
        <f>(INT($E$25*6/$D160)-INT($E$25*(6-1)/$D160))*$C160/1000</f>
        <v>16.243370000000002</v>
      </c>
      <c r="K160" s="42">
        <f>(INT($E$25*7/$D160)-INT($E$25*(7-1)/$D160))*$C160/1000</f>
        <v>0.0</v>
      </c>
      <c r="L160" s="42">
        <f>(INT($E$25*8/$D160)-INT($E$25*(8-1)/$D160))*$C160/1000</f>
        <v>16.243370000000002</v>
      </c>
      <c r="M160" s="42">
        <f>(INT($E$25*9/$D160)-INT($E$25*(9-1)/$D160))*$C160/1000</f>
        <v>0.0</v>
      </c>
      <c r="N160" s="42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44" t="n">
        <v>176926.4</v>
      </c>
      <c r="D161" s="43" t="n">
        <v>30000</v>
      </c>
      <c r="E161" s="42">
        <f>(INT($E$25*1/$D161)-INT($E$25*(1-1)/$D161))*$C161/1000</f>
        <v>0.0</v>
      </c>
      <c r="F161" s="42">
        <f>(INT($E$25*2/$D161)-INT($E$25*(2-1)/$D161))*$C161/1000</f>
        <v>0.0</v>
      </c>
      <c r="G161" s="42">
        <f>(INT($E$25*3/$D161)-INT($E$25*(3-1)/$D161))*$C161/1000</f>
        <v>0.0</v>
      </c>
      <c r="H161" s="42">
        <f>(INT($E$25*4/$D161)-INT($E$25*(4-1)/$D161))*$C161/1000</f>
        <v>0.0</v>
      </c>
      <c r="I161" s="42">
        <f>(INT($E$25*5/$D161)-INT($E$25*(5-1)/$D161))*$C161/1000</f>
        <v>176.9264</v>
      </c>
      <c r="J161" s="42">
        <f>(INT($E$25*6/$D161)-INT($E$25*(6-1)/$D161))*$C161/1000</f>
        <v>0.0</v>
      </c>
      <c r="K161" s="42">
        <f>(INT($E$25*7/$D161)-INT($E$25*(7-1)/$D161))*$C161/1000</f>
        <v>0.0</v>
      </c>
      <c r="L161" s="42">
        <f>(INT($E$25*8/$D161)-INT($E$25*(8-1)/$D161))*$C161/1000</f>
        <v>0.0</v>
      </c>
      <c r="M161" s="42">
        <f>(INT($E$25*9/$D161)-INT($E$25*(9-1)/$D161))*$C161/1000</f>
        <v>176.9264</v>
      </c>
      <c r="N161" s="42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44" t="n">
        <v>2480.1</v>
      </c>
      <c r="D162" s="43" t="n">
        <v>11000</v>
      </c>
      <c r="E162" s="42">
        <f>(INT($E$25*1/$D162)-INT($E$25*(1-1)/$D162))*$C162/1000</f>
        <v>0.0</v>
      </c>
      <c r="F162" s="42">
        <f>(INT($E$25*2/$D162)-INT($E$25*(2-1)/$D162))*$C162/1000</f>
        <v>2.4800999999999997</v>
      </c>
      <c r="G162" s="42">
        <f>(INT($E$25*3/$D162)-INT($E$25*(3-1)/$D162))*$C162/1000</f>
        <v>0.0</v>
      </c>
      <c r="H162" s="42">
        <f>(INT($E$25*4/$D162)-INT($E$25*(4-1)/$D162))*$C162/1000</f>
        <v>2.4800999999999997</v>
      </c>
      <c r="I162" s="42">
        <f>(INT($E$25*5/$D162)-INT($E$25*(5-1)/$D162))*$C162/1000</f>
        <v>2.4800999999999997</v>
      </c>
      <c r="J162" s="42">
        <f>(INT($E$25*6/$D162)-INT($E$25*(6-1)/$D162))*$C162/1000</f>
        <v>0.0</v>
      </c>
      <c r="K162" s="42">
        <f>(INT($E$25*7/$D162)-INT($E$25*(7-1)/$D162))*$C162/1000</f>
        <v>2.4800999999999997</v>
      </c>
      <c r="L162" s="42">
        <f>(INT($E$25*8/$D162)-INT($E$25*(8-1)/$D162))*$C162/1000</f>
        <v>2.4800999999999997</v>
      </c>
      <c r="M162" s="42">
        <f>(INT($E$25*9/$D162)-INT($E$25*(9-1)/$D162))*$C162/1000</f>
        <v>0.0</v>
      </c>
      <c r="N162" s="42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44" t="n">
        <v>2068.08</v>
      </c>
      <c r="D163" s="43" t="n">
        <v>11000</v>
      </c>
      <c r="E163" s="42">
        <f>(INT($E$25*1/$D163)-INT($E$25*(1-1)/$D163))*$C163/1000</f>
        <v>0.0</v>
      </c>
      <c r="F163" s="42">
        <f>(INT($E$25*2/$D163)-INT($E$25*(2-1)/$D163))*$C163/1000</f>
        <v>2.06808</v>
      </c>
      <c r="G163" s="42">
        <f>(INT($E$25*3/$D163)-INT($E$25*(3-1)/$D163))*$C163/1000</f>
        <v>0.0</v>
      </c>
      <c r="H163" s="42">
        <f>(INT($E$25*4/$D163)-INT($E$25*(4-1)/$D163))*$C163/1000</f>
        <v>2.06808</v>
      </c>
      <c r="I163" s="42">
        <f>(INT($E$25*5/$D163)-INT($E$25*(5-1)/$D163))*$C163/1000</f>
        <v>2.06808</v>
      </c>
      <c r="J163" s="42">
        <f>(INT($E$25*6/$D163)-INT($E$25*(6-1)/$D163))*$C163/1000</f>
        <v>0.0</v>
      </c>
      <c r="K163" s="42">
        <f>(INT($E$25*7/$D163)-INT($E$25*(7-1)/$D163))*$C163/1000</f>
        <v>2.06808</v>
      </c>
      <c r="L163" s="42">
        <f>(INT($E$25*8/$D163)-INT($E$25*(8-1)/$D163))*$C163/1000</f>
        <v>2.06808</v>
      </c>
      <c r="M163" s="42">
        <f>(INT($E$25*9/$D163)-INT($E$25*(9-1)/$D163))*$C163/1000</f>
        <v>0.0</v>
      </c>
      <c r="N163" s="42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44" t="n">
        <v>14077.02</v>
      </c>
      <c r="D164" s="43" t="n">
        <v>11900</v>
      </c>
      <c r="E164" s="42">
        <f>(INT($E$25*1/$D164)-INT($E$25*(1-1)/$D164))*$C164/1000</f>
        <v>0.0</v>
      </c>
      <c r="F164" s="42">
        <f>(INT($E$25*2/$D164)-INT($E$25*(2-1)/$D164))*$C164/1000</f>
        <v>14.077020000000001</v>
      </c>
      <c r="G164" s="42">
        <f>(INT($E$25*3/$D164)-INT($E$25*(3-1)/$D164))*$C164/1000</f>
        <v>0.0</v>
      </c>
      <c r="H164" s="42">
        <f>(INT($E$25*4/$D164)-INT($E$25*(4-1)/$D164))*$C164/1000</f>
        <v>14.077020000000001</v>
      </c>
      <c r="I164" s="42">
        <f>(INT($E$25*5/$D164)-INT($E$25*(5-1)/$D164))*$C164/1000</f>
        <v>0.0</v>
      </c>
      <c r="J164" s="42">
        <f>(INT($E$25*6/$D164)-INT($E$25*(6-1)/$D164))*$C164/1000</f>
        <v>14.077020000000001</v>
      </c>
      <c r="K164" s="42">
        <f>(INT($E$25*7/$D164)-INT($E$25*(7-1)/$D164))*$C164/1000</f>
        <v>14.077020000000001</v>
      </c>
      <c r="L164" s="42">
        <f>(INT($E$25*8/$D164)-INT($E$25*(8-1)/$D164))*$C164/1000</f>
        <v>0.0</v>
      </c>
      <c r="M164" s="42">
        <f>(INT($E$25*9/$D164)-INT($E$25*(9-1)/$D164))*$C164/1000</f>
        <v>14.077020000000001</v>
      </c>
      <c r="N164" s="42">
        <f>(INT($E$25*10/$D164)-INT($E$25*(10-1)/$D164))*$C164/1000</f>
        <v>0.0</v>
      </c>
    </row>
    <row r="165">
      <c r="B165" s="22" t="inlineStr">
        <is>
          <t>DRIVE SHAFT (кардан)</t>
        </is>
      </c>
      <c r="C165" s="44" t="n">
        <v>1626.09</v>
      </c>
      <c r="D165" s="43" t="n">
        <v>15000</v>
      </c>
      <c r="E165" s="42">
        <f>(INT($E$25*1/$D165)-INT($E$25*(1-1)/$D165))*$C165/1000</f>
        <v>0.0</v>
      </c>
      <c r="F165" s="42">
        <f>(INT($E$25*2/$D165)-INT($E$25*(2-1)/$D165))*$C165/1000</f>
        <v>0.0</v>
      </c>
      <c r="G165" s="42">
        <f>(INT($E$25*3/$D165)-INT($E$25*(3-1)/$D165))*$C165/1000</f>
        <v>1.6260899999999998</v>
      </c>
      <c r="H165" s="42">
        <f>(INT($E$25*4/$D165)-INT($E$25*(4-1)/$D165))*$C165/1000</f>
        <v>0.0</v>
      </c>
      <c r="I165" s="42">
        <f>(INT($E$25*5/$D165)-INT($E$25*(5-1)/$D165))*$C165/1000</f>
        <v>1.6260899999999998</v>
      </c>
      <c r="J165" s="42">
        <f>(INT($E$25*6/$D165)-INT($E$25*(6-1)/$D165))*$C165/1000</f>
        <v>0.0</v>
      </c>
      <c r="K165" s="42">
        <f>(INT($E$25*7/$D165)-INT($E$25*(7-1)/$D165))*$C165/1000</f>
        <v>1.6260899999999998</v>
      </c>
      <c r="L165" s="42">
        <f>(INT($E$25*8/$D165)-INT($E$25*(8-1)/$D165))*$C165/1000</f>
        <v>0.0</v>
      </c>
      <c r="M165" s="42">
        <f>(INT($E$25*9/$D165)-INT($E$25*(9-1)/$D165))*$C165/1000</f>
        <v>1.6260899999999998</v>
      </c>
      <c r="N165" s="42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44" t="n">
        <v>83945.98</v>
      </c>
      <c r="D166" s="43" t="n">
        <v>18000</v>
      </c>
      <c r="E166" s="42">
        <f>(INT($E$25*1/$D166)-INT($E$25*(1-1)/$D166))*$C166/1000</f>
        <v>0.0</v>
      </c>
      <c r="F166" s="42">
        <f>(INT($E$25*2/$D166)-INT($E$25*(2-1)/$D166))*$C166/1000</f>
        <v>0.0</v>
      </c>
      <c r="G166" s="42">
        <f>(INT($E$25*3/$D166)-INT($E$25*(3-1)/$D166))*$C166/1000</f>
        <v>83.94597999999999</v>
      </c>
      <c r="H166" s="42">
        <f>(INT($E$25*4/$D166)-INT($E$25*(4-1)/$D166))*$C166/1000</f>
        <v>0.0</v>
      </c>
      <c r="I166" s="42">
        <f>(INT($E$25*5/$D166)-INT($E$25*(5-1)/$D166))*$C166/1000</f>
        <v>0.0</v>
      </c>
      <c r="J166" s="42">
        <f>(INT($E$25*6/$D166)-INT($E$25*(6-1)/$D166))*$C166/1000</f>
        <v>83.94597999999999</v>
      </c>
      <c r="K166" s="42">
        <f>(INT($E$25*7/$D166)-INT($E$25*(7-1)/$D166))*$C166/1000</f>
        <v>0.0</v>
      </c>
      <c r="L166" s="42">
        <f>(INT($E$25*8/$D166)-INT($E$25*(8-1)/$D166))*$C166/1000</f>
        <v>83.94597999999999</v>
      </c>
      <c r="M166" s="42">
        <f>(INT($E$25*9/$D166)-INT($E$25*(9-1)/$D166))*$C166/1000</f>
        <v>0.0</v>
      </c>
      <c r="N166" s="42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44" t="n">
        <v>4856.64</v>
      </c>
      <c r="D167" s="43" t="n">
        <v>14000</v>
      </c>
      <c r="E167" s="42">
        <f>(INT($E$25*1/$D167)-INT($E$25*(1-1)/$D167))*$C167/1000</f>
        <v>0.0</v>
      </c>
      <c r="F167" s="42">
        <f>(INT($E$25*2/$D167)-INT($E$25*(2-1)/$D167))*$C167/1000</f>
        <v>4.8566400000000005</v>
      </c>
      <c r="G167" s="42">
        <f>(INT($E$25*3/$D167)-INT($E$25*(3-1)/$D167))*$C167/1000</f>
        <v>0.0</v>
      </c>
      <c r="H167" s="42">
        <f>(INT($E$25*4/$D167)-INT($E$25*(4-1)/$D167))*$C167/1000</f>
        <v>4.8566400000000005</v>
      </c>
      <c r="I167" s="42">
        <f>(INT($E$25*5/$D167)-INT($E$25*(5-1)/$D167))*$C167/1000</f>
        <v>0.0</v>
      </c>
      <c r="J167" s="42">
        <f>(INT($E$25*6/$D167)-INT($E$25*(6-1)/$D167))*$C167/1000</f>
        <v>4.8566400000000005</v>
      </c>
      <c r="K167" s="42">
        <f>(INT($E$25*7/$D167)-INT($E$25*(7-1)/$D167))*$C167/1000</f>
        <v>0.0</v>
      </c>
      <c r="L167" s="42">
        <f>(INT($E$25*8/$D167)-INT($E$25*(8-1)/$D167))*$C167/1000</f>
        <v>4.8566400000000005</v>
      </c>
      <c r="M167" s="42">
        <f>(INT($E$25*9/$D167)-INT($E$25*(9-1)/$D167))*$C167/1000</f>
        <v>0.0</v>
      </c>
      <c r="N167" s="42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44" t="n">
        <v>10503.76</v>
      </c>
      <c r="D168" s="43" t="n">
        <v>12000</v>
      </c>
      <c r="E168" s="42">
        <f>(INT($E$25*1/$D168)-INT($E$25*(1-1)/$D168))*$C168/1000</f>
        <v>0.0</v>
      </c>
      <c r="F168" s="42">
        <f>(INT($E$25*2/$D168)-INT($E$25*(2-1)/$D168))*$C168/1000</f>
        <v>10.50376</v>
      </c>
      <c r="G168" s="42">
        <f>(INT($E$25*3/$D168)-INT($E$25*(3-1)/$D168))*$C168/1000</f>
        <v>0.0</v>
      </c>
      <c r="H168" s="42">
        <f>(INT($E$25*4/$D168)-INT($E$25*(4-1)/$D168))*$C168/1000</f>
        <v>10.50376</v>
      </c>
      <c r="I168" s="42">
        <f>(INT($E$25*5/$D168)-INT($E$25*(5-1)/$D168))*$C168/1000</f>
        <v>0.0</v>
      </c>
      <c r="J168" s="42">
        <f>(INT($E$25*6/$D168)-INT($E$25*(6-1)/$D168))*$C168/1000</f>
        <v>10.50376</v>
      </c>
      <c r="K168" s="42">
        <f>(INT($E$25*7/$D168)-INT($E$25*(7-1)/$D168))*$C168/1000</f>
        <v>10.50376</v>
      </c>
      <c r="L168" s="42">
        <f>(INT($E$25*8/$D168)-INT($E$25*(8-1)/$D168))*$C168/1000</f>
        <v>0.0</v>
      </c>
      <c r="M168" s="42">
        <f>(INT($E$25*9/$D168)-INT($E$25*(9-1)/$D168))*$C168/1000</f>
        <v>10.50376</v>
      </c>
      <c r="N168" s="42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44" t="n">
        <v>33088.43</v>
      </c>
      <c r="D169" s="43" t="n">
        <v>21000</v>
      </c>
      <c r="E169" s="42">
        <f>(INT($E$25*1/$D169)-INT($E$25*(1-1)/$D169))*$C169/1000</f>
        <v>0.0</v>
      </c>
      <c r="F169" s="42">
        <f>(INT($E$25*2/$D169)-INT($E$25*(2-1)/$D169))*$C169/1000</f>
        <v>0.0</v>
      </c>
      <c r="G169" s="42">
        <f>(INT($E$25*3/$D169)-INT($E$25*(3-1)/$D169))*$C169/1000</f>
        <v>33.08843</v>
      </c>
      <c r="H169" s="42">
        <f>(INT($E$25*4/$D169)-INT($E$25*(4-1)/$D169))*$C169/1000</f>
        <v>0.0</v>
      </c>
      <c r="I169" s="42">
        <f>(INT($E$25*5/$D169)-INT($E$25*(5-1)/$D169))*$C169/1000</f>
        <v>0.0</v>
      </c>
      <c r="J169" s="42">
        <f>(INT($E$25*6/$D169)-INT($E$25*(6-1)/$D169))*$C169/1000</f>
        <v>33.08843</v>
      </c>
      <c r="K169" s="42">
        <f>(INT($E$25*7/$D169)-INT($E$25*(7-1)/$D169))*$C169/1000</f>
        <v>0.0</v>
      </c>
      <c r="L169" s="42">
        <f>(INT($E$25*8/$D169)-INT($E$25*(8-1)/$D169))*$C169/1000</f>
        <v>0.0</v>
      </c>
      <c r="M169" s="42">
        <f>(INT($E$25*9/$D169)-INT($E$25*(9-1)/$D169))*$C169/1000</f>
        <v>33.08843</v>
      </c>
      <c r="N169" s="42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44" t="n">
        <v>798.38</v>
      </c>
      <c r="D170" s="43" t="n">
        <v>14000</v>
      </c>
      <c r="E170" s="42">
        <f>(INT($E$25*1/$D170)-INT($E$25*(1-1)/$D170))*$C170/1000</f>
        <v>0.0</v>
      </c>
      <c r="F170" s="42">
        <f>(INT($E$25*2/$D170)-INT($E$25*(2-1)/$D170))*$C170/1000</f>
        <v>0.79838</v>
      </c>
      <c r="G170" s="42">
        <f>(INT($E$25*3/$D170)-INT($E$25*(3-1)/$D170))*$C170/1000</f>
        <v>0.0</v>
      </c>
      <c r="H170" s="42">
        <f>(INT($E$25*4/$D170)-INT($E$25*(4-1)/$D170))*$C170/1000</f>
        <v>0.79838</v>
      </c>
      <c r="I170" s="42">
        <f>(INT($E$25*5/$D170)-INT($E$25*(5-1)/$D170))*$C170/1000</f>
        <v>0.0</v>
      </c>
      <c r="J170" s="42">
        <f>(INT($E$25*6/$D170)-INT($E$25*(6-1)/$D170))*$C170/1000</f>
        <v>0.79838</v>
      </c>
      <c r="K170" s="42">
        <f>(INT($E$25*7/$D170)-INT($E$25*(7-1)/$D170))*$C170/1000</f>
        <v>0.0</v>
      </c>
      <c r="L170" s="42">
        <f>(INT($E$25*8/$D170)-INT($E$25*(8-1)/$D170))*$C170/1000</f>
        <v>0.79838</v>
      </c>
      <c r="M170" s="42">
        <f>(INT($E$25*9/$D170)-INT($E$25*(9-1)/$D170))*$C170/1000</f>
        <v>0.0</v>
      </c>
      <c r="N170" s="42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44" t="n">
        <v>2803.81</v>
      </c>
      <c r="D171" s="43" t="n">
        <v>6000</v>
      </c>
      <c r="E171" s="42">
        <f>(INT($E$25*1/$D171)-INT($E$25*(1-1)/$D171))*$C171/1000</f>
        <v>2.80381</v>
      </c>
      <c r="F171" s="42">
        <f>(INT($E$25*2/$D171)-INT($E$25*(2-1)/$D171))*$C171/1000</f>
        <v>2.80381</v>
      </c>
      <c r="G171" s="42">
        <f>(INT($E$25*3/$D171)-INT($E$25*(3-1)/$D171))*$C171/1000</f>
        <v>2.80381</v>
      </c>
      <c r="H171" s="42">
        <f>(INT($E$25*4/$D171)-INT($E$25*(4-1)/$D171))*$C171/1000</f>
        <v>2.80381</v>
      </c>
      <c r="I171" s="42">
        <f>(INT($E$25*5/$D171)-INT($E$25*(5-1)/$D171))*$C171/1000</f>
        <v>2.80381</v>
      </c>
      <c r="J171" s="42">
        <f>(INT($E$25*6/$D171)-INT($E$25*(6-1)/$D171))*$C171/1000</f>
        <v>5.60762</v>
      </c>
      <c r="K171" s="42">
        <f>(INT($E$25*7/$D171)-INT($E$25*(7-1)/$D171))*$C171/1000</f>
        <v>2.80381</v>
      </c>
      <c r="L171" s="42">
        <f>(INT($E$25*8/$D171)-INT($E$25*(8-1)/$D171))*$C171/1000</f>
        <v>2.80381</v>
      </c>
      <c r="M171" s="42">
        <f>(INT($E$25*9/$D171)-INT($E$25*(9-1)/$D171))*$C171/1000</f>
        <v>2.80381</v>
      </c>
      <c r="N171" s="42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44" t="n">
        <v>2803.81</v>
      </c>
      <c r="D172" s="43" t="n">
        <v>6000</v>
      </c>
      <c r="E172" s="42">
        <f>(INT($E$25*1/$D172)-INT($E$25*(1-1)/$D172))*$C172/1000</f>
        <v>2.80381</v>
      </c>
      <c r="F172" s="42">
        <f>(INT($E$25*2/$D172)-INT($E$25*(2-1)/$D172))*$C172/1000</f>
        <v>2.80381</v>
      </c>
      <c r="G172" s="42">
        <f>(INT($E$25*3/$D172)-INT($E$25*(3-1)/$D172))*$C172/1000</f>
        <v>2.80381</v>
      </c>
      <c r="H172" s="42">
        <f>(INT($E$25*4/$D172)-INT($E$25*(4-1)/$D172))*$C172/1000</f>
        <v>2.80381</v>
      </c>
      <c r="I172" s="42">
        <f>(INT($E$25*5/$D172)-INT($E$25*(5-1)/$D172))*$C172/1000</f>
        <v>2.80381</v>
      </c>
      <c r="J172" s="42">
        <f>(INT($E$25*6/$D172)-INT($E$25*(6-1)/$D172))*$C172/1000</f>
        <v>5.60762</v>
      </c>
      <c r="K172" s="42">
        <f>(INT($E$25*7/$D172)-INT($E$25*(7-1)/$D172))*$C172/1000</f>
        <v>2.80381</v>
      </c>
      <c r="L172" s="42">
        <f>(INT($E$25*8/$D172)-INT($E$25*(8-1)/$D172))*$C172/1000</f>
        <v>2.80381</v>
      </c>
      <c r="M172" s="42">
        <f>(INT($E$25*9/$D172)-INT($E$25*(9-1)/$D172))*$C172/1000</f>
        <v>2.80381</v>
      </c>
      <c r="N172" s="42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44" t="n">
        <v>11684.45</v>
      </c>
      <c r="D173" s="43" t="n">
        <v>12000</v>
      </c>
      <c r="E173" s="42">
        <f>(INT($E$25*1/$D173)-INT($E$25*(1-1)/$D173))*$C173/1000</f>
        <v>0.0</v>
      </c>
      <c r="F173" s="42">
        <f>(INT($E$25*2/$D173)-INT($E$25*(2-1)/$D173))*$C173/1000</f>
        <v>11.68445</v>
      </c>
      <c r="G173" s="42">
        <f>(INT($E$25*3/$D173)-INT($E$25*(3-1)/$D173))*$C173/1000</f>
        <v>0.0</v>
      </c>
      <c r="H173" s="42">
        <f>(INT($E$25*4/$D173)-INT($E$25*(4-1)/$D173))*$C173/1000</f>
        <v>11.68445</v>
      </c>
      <c r="I173" s="42">
        <f>(INT($E$25*5/$D173)-INT($E$25*(5-1)/$D173))*$C173/1000</f>
        <v>0.0</v>
      </c>
      <c r="J173" s="42">
        <f>(INT($E$25*6/$D173)-INT($E$25*(6-1)/$D173))*$C173/1000</f>
        <v>11.68445</v>
      </c>
      <c r="K173" s="42">
        <f>(INT($E$25*7/$D173)-INT($E$25*(7-1)/$D173))*$C173/1000</f>
        <v>11.68445</v>
      </c>
      <c r="L173" s="42">
        <f>(INT($E$25*8/$D173)-INT($E$25*(8-1)/$D173))*$C173/1000</f>
        <v>0.0</v>
      </c>
      <c r="M173" s="42">
        <f>(INT($E$25*9/$D173)-INT($E$25*(9-1)/$D173))*$C173/1000</f>
        <v>11.68445</v>
      </c>
      <c r="N173" s="42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44" t="n">
        <v>15375.35</v>
      </c>
      <c r="D174" s="43" t="n">
        <v>21000</v>
      </c>
      <c r="E174" s="42">
        <f>(INT($E$25*1/$D174)-INT($E$25*(1-1)/$D174))*$C174/1000</f>
        <v>0.0</v>
      </c>
      <c r="F174" s="42">
        <f>(INT($E$25*2/$D174)-INT($E$25*(2-1)/$D174))*$C174/1000</f>
        <v>0.0</v>
      </c>
      <c r="G174" s="42">
        <f>(INT($E$25*3/$D174)-INT($E$25*(3-1)/$D174))*$C174/1000</f>
        <v>15.375350000000001</v>
      </c>
      <c r="H174" s="42">
        <f>(INT($E$25*4/$D174)-INT($E$25*(4-1)/$D174))*$C174/1000</f>
        <v>0.0</v>
      </c>
      <c r="I174" s="42">
        <f>(INT($E$25*5/$D174)-INT($E$25*(5-1)/$D174))*$C174/1000</f>
        <v>0.0</v>
      </c>
      <c r="J174" s="42">
        <f>(INT($E$25*6/$D174)-INT($E$25*(6-1)/$D174))*$C174/1000</f>
        <v>15.375350000000001</v>
      </c>
      <c r="K174" s="42">
        <f>(INT($E$25*7/$D174)-INT($E$25*(7-1)/$D174))*$C174/1000</f>
        <v>0.0</v>
      </c>
      <c r="L174" s="42">
        <f>(INT($E$25*8/$D174)-INT($E$25*(8-1)/$D174))*$C174/1000</f>
        <v>0.0</v>
      </c>
      <c r="M174" s="42">
        <f>(INT($E$25*9/$D174)-INT($E$25*(9-1)/$D174))*$C174/1000</f>
        <v>15.375350000000001</v>
      </c>
      <c r="N174" s="42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44" t="n">
        <v>4036.53</v>
      </c>
      <c r="D175" s="43" t="n">
        <v>15000</v>
      </c>
      <c r="E175" s="42">
        <f>(INT($E$25*1/$D175)-INT($E$25*(1-1)/$D175))*$C175/1000</f>
        <v>0.0</v>
      </c>
      <c r="F175" s="42">
        <f>(INT($E$25*2/$D175)-INT($E$25*(2-1)/$D175))*$C175/1000</f>
        <v>0.0</v>
      </c>
      <c r="G175" s="42">
        <f>(INT($E$25*3/$D175)-INT($E$25*(3-1)/$D175))*$C175/1000</f>
        <v>4.03653</v>
      </c>
      <c r="H175" s="42">
        <f>(INT($E$25*4/$D175)-INT($E$25*(4-1)/$D175))*$C175/1000</f>
        <v>0.0</v>
      </c>
      <c r="I175" s="42">
        <f>(INT($E$25*5/$D175)-INT($E$25*(5-1)/$D175))*$C175/1000</f>
        <v>4.03653</v>
      </c>
      <c r="J175" s="42">
        <f>(INT($E$25*6/$D175)-INT($E$25*(6-1)/$D175))*$C175/1000</f>
        <v>0.0</v>
      </c>
      <c r="K175" s="42">
        <f>(INT($E$25*7/$D175)-INT($E$25*(7-1)/$D175))*$C175/1000</f>
        <v>4.03653</v>
      </c>
      <c r="L175" s="42">
        <f>(INT($E$25*8/$D175)-INT($E$25*(8-1)/$D175))*$C175/1000</f>
        <v>0.0</v>
      </c>
      <c r="M175" s="42">
        <f>(INT($E$25*9/$D175)-INT($E$25*(9-1)/$D175))*$C175/1000</f>
        <v>4.03653</v>
      </c>
      <c r="N175" s="42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44" t="n">
        <v>65763.14</v>
      </c>
      <c r="D176" s="43" t="n">
        <v>15000</v>
      </c>
      <c r="E176" s="42">
        <f>(INT($E$25*1/$D176)-INT($E$25*(1-1)/$D176))*$C176/1000</f>
        <v>0.0</v>
      </c>
      <c r="F176" s="42">
        <f>(INT($E$25*2/$D176)-INT($E$25*(2-1)/$D176))*$C176/1000</f>
        <v>0.0</v>
      </c>
      <c r="G176" s="42">
        <f>(INT($E$25*3/$D176)-INT($E$25*(3-1)/$D176))*$C176/1000</f>
        <v>65.76313999999999</v>
      </c>
      <c r="H176" s="42">
        <f>(INT($E$25*4/$D176)-INT($E$25*(4-1)/$D176))*$C176/1000</f>
        <v>0.0</v>
      </c>
      <c r="I176" s="42">
        <f>(INT($E$25*5/$D176)-INT($E$25*(5-1)/$D176))*$C176/1000</f>
        <v>65.76313999999999</v>
      </c>
      <c r="J176" s="42">
        <f>(INT($E$25*6/$D176)-INT($E$25*(6-1)/$D176))*$C176/1000</f>
        <v>0.0</v>
      </c>
      <c r="K176" s="42">
        <f>(INT($E$25*7/$D176)-INT($E$25*(7-1)/$D176))*$C176/1000</f>
        <v>65.76313999999999</v>
      </c>
      <c r="L176" s="42">
        <f>(INT($E$25*8/$D176)-INT($E$25*(8-1)/$D176))*$C176/1000</f>
        <v>0.0</v>
      </c>
      <c r="M176" s="42">
        <f>(INT($E$25*9/$D176)-INT($E$25*(9-1)/$D176))*$C176/1000</f>
        <v>65.76313999999999</v>
      </c>
      <c r="N176" s="42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44" t="n">
        <v>229791.16</v>
      </c>
      <c r="D177" s="43" t="n">
        <v>22000</v>
      </c>
      <c r="E177" s="42">
        <f>(INT($E$25*1/$D177)-INT($E$25*(1-1)/$D177))*$C177/1000</f>
        <v>0.0</v>
      </c>
      <c r="F177" s="42">
        <f>(INT($E$25*2/$D177)-INT($E$25*(2-1)/$D177))*$C177/1000</f>
        <v>0.0</v>
      </c>
      <c r="G177" s="42">
        <f>(INT($E$25*3/$D177)-INT($E$25*(3-1)/$D177))*$C177/1000</f>
        <v>0.0</v>
      </c>
      <c r="H177" s="42">
        <f>(INT($E$25*4/$D177)-INT($E$25*(4-1)/$D177))*$C177/1000</f>
        <v>229.79116</v>
      </c>
      <c r="I177" s="42">
        <f>(INT($E$25*5/$D177)-INT($E$25*(5-1)/$D177))*$C177/1000</f>
        <v>0.0</v>
      </c>
      <c r="J177" s="42">
        <f>(INT($E$25*6/$D177)-INT($E$25*(6-1)/$D177))*$C177/1000</f>
        <v>0.0</v>
      </c>
      <c r="K177" s="42">
        <f>(INT($E$25*7/$D177)-INT($E$25*(7-1)/$D177))*$C177/1000</f>
        <v>229.79116</v>
      </c>
      <c r="L177" s="42">
        <f>(INT($E$25*8/$D177)-INT($E$25*(8-1)/$D177))*$C177/1000</f>
        <v>0.0</v>
      </c>
      <c r="M177" s="42">
        <f>(INT($E$25*9/$D177)-INT($E$25*(9-1)/$D177))*$C177/1000</f>
        <v>0.0</v>
      </c>
      <c r="N177" s="42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44" t="n">
        <v>1056.97</v>
      </c>
      <c r="D178" s="43" t="n">
        <v>6000</v>
      </c>
      <c r="E178" s="42">
        <f>(INT($E$25*1/$D178)-INT($E$25*(1-1)/$D178))*$C178/1000</f>
        <v>1.05697</v>
      </c>
      <c r="F178" s="42">
        <f>(INT($E$25*2/$D178)-INT($E$25*(2-1)/$D178))*$C178/1000</f>
        <v>1.05697</v>
      </c>
      <c r="G178" s="42">
        <f>(INT($E$25*3/$D178)-INT($E$25*(3-1)/$D178))*$C178/1000</f>
        <v>1.05697</v>
      </c>
      <c r="H178" s="42">
        <f>(INT($E$25*4/$D178)-INT($E$25*(4-1)/$D178))*$C178/1000</f>
        <v>1.05697</v>
      </c>
      <c r="I178" s="42">
        <f>(INT($E$25*5/$D178)-INT($E$25*(5-1)/$D178))*$C178/1000</f>
        <v>1.05697</v>
      </c>
      <c r="J178" s="42">
        <f>(INT($E$25*6/$D178)-INT($E$25*(6-1)/$D178))*$C178/1000</f>
        <v>2.11394</v>
      </c>
      <c r="K178" s="42">
        <f>(INT($E$25*7/$D178)-INT($E$25*(7-1)/$D178))*$C178/1000</f>
        <v>1.05697</v>
      </c>
      <c r="L178" s="42">
        <f>(INT($E$25*8/$D178)-INT($E$25*(8-1)/$D178))*$C178/1000</f>
        <v>1.05697</v>
      </c>
      <c r="M178" s="42">
        <f>(INT($E$25*9/$D178)-INT($E$25*(9-1)/$D178))*$C178/1000</f>
        <v>1.05697</v>
      </c>
      <c r="N178" s="42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44" t="n">
        <v>86.47</v>
      </c>
      <c r="D179" s="43" t="n">
        <v>6000</v>
      </c>
      <c r="E179" s="42">
        <f>(INT($E$25*1/$D179)-INT($E$25*(1-1)/$D179))*$C179/1000</f>
        <v>0.08647</v>
      </c>
      <c r="F179" s="42">
        <f>(INT($E$25*2/$D179)-INT($E$25*(2-1)/$D179))*$C179/1000</f>
        <v>0.08647</v>
      </c>
      <c r="G179" s="42">
        <f>(INT($E$25*3/$D179)-INT($E$25*(3-1)/$D179))*$C179/1000</f>
        <v>0.08647</v>
      </c>
      <c r="H179" s="42">
        <f>(INT($E$25*4/$D179)-INT($E$25*(4-1)/$D179))*$C179/1000</f>
        <v>0.08647</v>
      </c>
      <c r="I179" s="42">
        <f>(INT($E$25*5/$D179)-INT($E$25*(5-1)/$D179))*$C179/1000</f>
        <v>0.08647</v>
      </c>
      <c r="J179" s="42">
        <f>(INT($E$25*6/$D179)-INT($E$25*(6-1)/$D179))*$C179/1000</f>
        <v>0.17294</v>
      </c>
      <c r="K179" s="42">
        <f>(INT($E$25*7/$D179)-INT($E$25*(7-1)/$D179))*$C179/1000</f>
        <v>0.08647</v>
      </c>
      <c r="L179" s="42">
        <f>(INT($E$25*8/$D179)-INT($E$25*(8-1)/$D179))*$C179/1000</f>
        <v>0.08647</v>
      </c>
      <c r="M179" s="42">
        <f>(INT($E$25*9/$D179)-INT($E$25*(9-1)/$D179))*$C179/1000</f>
        <v>0.08647</v>
      </c>
      <c r="N179" s="42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44" t="n">
        <v>528.48</v>
      </c>
      <c r="D180" s="43" t="n">
        <v>6000</v>
      </c>
      <c r="E180" s="42">
        <f>(INT($E$25*1/$D180)-INT($E$25*(1-1)/$D180))*$C180/1000</f>
        <v>0.5284800000000001</v>
      </c>
      <c r="F180" s="42">
        <f>(INT($E$25*2/$D180)-INT($E$25*(2-1)/$D180))*$C180/1000</f>
        <v>0.5284800000000001</v>
      </c>
      <c r="G180" s="42">
        <f>(INT($E$25*3/$D180)-INT($E$25*(3-1)/$D180))*$C180/1000</f>
        <v>0.5284800000000001</v>
      </c>
      <c r="H180" s="42">
        <f>(INT($E$25*4/$D180)-INT($E$25*(4-1)/$D180))*$C180/1000</f>
        <v>0.5284800000000001</v>
      </c>
      <c r="I180" s="42">
        <f>(INT($E$25*5/$D180)-INT($E$25*(5-1)/$D180))*$C180/1000</f>
        <v>0.5284800000000001</v>
      </c>
      <c r="J180" s="42">
        <f>(INT($E$25*6/$D180)-INT($E$25*(6-1)/$D180))*$C180/1000</f>
        <v>1.0569600000000001</v>
      </c>
      <c r="K180" s="42">
        <f>(INT($E$25*7/$D180)-INT($E$25*(7-1)/$D180))*$C180/1000</f>
        <v>0.5284800000000001</v>
      </c>
      <c r="L180" s="42">
        <f>(INT($E$25*8/$D180)-INT($E$25*(8-1)/$D180))*$C180/1000</f>
        <v>0.5284800000000001</v>
      </c>
      <c r="M180" s="42">
        <f>(INT($E$25*9/$D180)-INT($E$25*(9-1)/$D180))*$C180/1000</f>
        <v>0.5284800000000001</v>
      </c>
      <c r="N180" s="42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44" t="n">
        <v>102.84</v>
      </c>
      <c r="D181" s="43" t="n">
        <v>6000</v>
      </c>
      <c r="E181" s="42">
        <f>(INT($E$25*1/$D181)-INT($E$25*(1-1)/$D181))*$C181/1000</f>
        <v>0.10284</v>
      </c>
      <c r="F181" s="42">
        <f>(INT($E$25*2/$D181)-INT($E$25*(2-1)/$D181))*$C181/1000</f>
        <v>0.10284</v>
      </c>
      <c r="G181" s="42">
        <f>(INT($E$25*3/$D181)-INT($E$25*(3-1)/$D181))*$C181/1000</f>
        <v>0.10284</v>
      </c>
      <c r="H181" s="42">
        <f>(INT($E$25*4/$D181)-INT($E$25*(4-1)/$D181))*$C181/1000</f>
        <v>0.10284</v>
      </c>
      <c r="I181" s="42">
        <f>(INT($E$25*5/$D181)-INT($E$25*(5-1)/$D181))*$C181/1000</f>
        <v>0.10284</v>
      </c>
      <c r="J181" s="42">
        <f>(INT($E$25*6/$D181)-INT($E$25*(6-1)/$D181))*$C181/1000</f>
        <v>0.20568</v>
      </c>
      <c r="K181" s="42">
        <f>(INT($E$25*7/$D181)-INT($E$25*(7-1)/$D181))*$C181/1000</f>
        <v>0.10284</v>
      </c>
      <c r="L181" s="42">
        <f>(INT($E$25*8/$D181)-INT($E$25*(8-1)/$D181))*$C181/1000</f>
        <v>0.10284</v>
      </c>
      <c r="M181" s="42">
        <f>(INT($E$25*9/$D181)-INT($E$25*(9-1)/$D181))*$C181/1000</f>
        <v>0.10284</v>
      </c>
      <c r="N181" s="42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44" t="n">
        <v>9255.559999999999</v>
      </c>
      <c r="D182" s="43" t="n">
        <v>12000</v>
      </c>
      <c r="E182" s="42">
        <f>(INT($E$25*1/$D182)-INT($E$25*(1-1)/$D182))*$C182/1000</f>
        <v>0.0</v>
      </c>
      <c r="F182" s="42">
        <f>(INT($E$25*2/$D182)-INT($E$25*(2-1)/$D182))*$C182/1000</f>
        <v>9.25556</v>
      </c>
      <c r="G182" s="42">
        <f>(INT($E$25*3/$D182)-INT($E$25*(3-1)/$D182))*$C182/1000</f>
        <v>0.0</v>
      </c>
      <c r="H182" s="42">
        <f>(INT($E$25*4/$D182)-INT($E$25*(4-1)/$D182))*$C182/1000</f>
        <v>9.25556</v>
      </c>
      <c r="I182" s="42">
        <f>(INT($E$25*5/$D182)-INT($E$25*(5-1)/$D182))*$C182/1000</f>
        <v>0.0</v>
      </c>
      <c r="J182" s="42">
        <f>(INT($E$25*6/$D182)-INT($E$25*(6-1)/$D182))*$C182/1000</f>
        <v>9.25556</v>
      </c>
      <c r="K182" s="42">
        <f>(INT($E$25*7/$D182)-INT($E$25*(7-1)/$D182))*$C182/1000</f>
        <v>9.25556</v>
      </c>
      <c r="L182" s="42">
        <f>(INT($E$25*8/$D182)-INT($E$25*(8-1)/$D182))*$C182/1000</f>
        <v>0.0</v>
      </c>
      <c r="M182" s="42">
        <f>(INT($E$25*9/$D182)-INT($E$25*(9-1)/$D182))*$C182/1000</f>
        <v>9.25556</v>
      </c>
      <c r="N182" s="42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44" t="n">
        <v>5299.62</v>
      </c>
      <c r="D183" s="43" t="n">
        <v>15000</v>
      </c>
      <c r="E183" s="42">
        <f>(INT($E$25*1/$D183)-INT($E$25*(1-1)/$D183))*$C183/1000</f>
        <v>0.0</v>
      </c>
      <c r="F183" s="42">
        <f>(INT($E$25*2/$D183)-INT($E$25*(2-1)/$D183))*$C183/1000</f>
        <v>0.0</v>
      </c>
      <c r="G183" s="42">
        <f>(INT($E$25*3/$D183)-INT($E$25*(3-1)/$D183))*$C183/1000</f>
        <v>5.29962</v>
      </c>
      <c r="H183" s="42">
        <f>(INT($E$25*4/$D183)-INT($E$25*(4-1)/$D183))*$C183/1000</f>
        <v>0.0</v>
      </c>
      <c r="I183" s="42">
        <f>(INT($E$25*5/$D183)-INT($E$25*(5-1)/$D183))*$C183/1000</f>
        <v>5.29962</v>
      </c>
      <c r="J183" s="42">
        <f>(INT($E$25*6/$D183)-INT($E$25*(6-1)/$D183))*$C183/1000</f>
        <v>0.0</v>
      </c>
      <c r="K183" s="42">
        <f>(INT($E$25*7/$D183)-INT($E$25*(7-1)/$D183))*$C183/1000</f>
        <v>5.29962</v>
      </c>
      <c r="L183" s="42">
        <f>(INT($E$25*8/$D183)-INT($E$25*(8-1)/$D183))*$C183/1000</f>
        <v>0.0</v>
      </c>
      <c r="M183" s="42">
        <f>(INT($E$25*9/$D183)-INT($E$25*(9-1)/$D183))*$C183/1000</f>
        <v>5.29962</v>
      </c>
      <c r="N183" s="42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44" t="n">
        <v>2066.45</v>
      </c>
      <c r="D184" s="43" t="n">
        <v>12000</v>
      </c>
      <c r="E184" s="42">
        <f>(INT($E$25*1/$D184)-INT($E$25*(1-1)/$D184))*$C184/1000</f>
        <v>0.0</v>
      </c>
      <c r="F184" s="42">
        <f>(INT($E$25*2/$D184)-INT($E$25*(2-1)/$D184))*$C184/1000</f>
        <v>2.0664499999999997</v>
      </c>
      <c r="G184" s="42">
        <f>(INT($E$25*3/$D184)-INT($E$25*(3-1)/$D184))*$C184/1000</f>
        <v>0.0</v>
      </c>
      <c r="H184" s="42">
        <f>(INT($E$25*4/$D184)-INT($E$25*(4-1)/$D184))*$C184/1000</f>
        <v>2.0664499999999997</v>
      </c>
      <c r="I184" s="42">
        <f>(INT($E$25*5/$D184)-INT($E$25*(5-1)/$D184))*$C184/1000</f>
        <v>0.0</v>
      </c>
      <c r="J184" s="42">
        <f>(INT($E$25*6/$D184)-INT($E$25*(6-1)/$D184))*$C184/1000</f>
        <v>2.0664499999999997</v>
      </c>
      <c r="K184" s="42">
        <f>(INT($E$25*7/$D184)-INT($E$25*(7-1)/$D184))*$C184/1000</f>
        <v>2.0664499999999997</v>
      </c>
      <c r="L184" s="42">
        <f>(INT($E$25*8/$D184)-INT($E$25*(8-1)/$D184))*$C184/1000</f>
        <v>0.0</v>
      </c>
      <c r="M184" s="42">
        <f>(INT($E$25*9/$D184)-INT($E$25*(9-1)/$D184))*$C184/1000</f>
        <v>2.0664499999999997</v>
      </c>
      <c r="N184" s="42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44" t="n">
        <v>2940.89</v>
      </c>
      <c r="D185" s="43" t="n">
        <v>8000</v>
      </c>
      <c r="E185" s="42">
        <f>(INT($E$25*1/$D185)-INT($E$25*(1-1)/$D185))*$C185/1000</f>
        <v>0.0</v>
      </c>
      <c r="F185" s="42">
        <f>(INT($E$25*2/$D185)-INT($E$25*(2-1)/$D185))*$C185/1000</f>
        <v>2.94089</v>
      </c>
      <c r="G185" s="42">
        <f>(INT($E$25*3/$D185)-INT($E$25*(3-1)/$D185))*$C185/1000</f>
        <v>2.94089</v>
      </c>
      <c r="H185" s="42">
        <f>(INT($E$25*4/$D185)-INT($E$25*(4-1)/$D185))*$C185/1000</f>
        <v>2.94089</v>
      </c>
      <c r="I185" s="42">
        <f>(INT($E$25*5/$D185)-INT($E$25*(5-1)/$D185))*$C185/1000</f>
        <v>2.94089</v>
      </c>
      <c r="J185" s="42">
        <f>(INT($E$25*6/$D185)-INT($E$25*(6-1)/$D185))*$C185/1000</f>
        <v>2.94089</v>
      </c>
      <c r="K185" s="42">
        <f>(INT($E$25*7/$D185)-INT($E$25*(7-1)/$D185))*$C185/1000</f>
        <v>2.94089</v>
      </c>
      <c r="L185" s="42">
        <f>(INT($E$25*8/$D185)-INT($E$25*(8-1)/$D185))*$C185/1000</f>
        <v>2.94089</v>
      </c>
      <c r="M185" s="42">
        <f>(INT($E$25*9/$D185)-INT($E$25*(9-1)/$D185))*$C185/1000</f>
        <v>0.0</v>
      </c>
      <c r="N185" s="42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44" t="n">
        <v>3810.03</v>
      </c>
      <c r="D186" s="43" t="n">
        <v>15000</v>
      </c>
      <c r="E186" s="42">
        <f>(INT($E$25*1/$D186)-INT($E$25*(1-1)/$D186))*$C186/1000</f>
        <v>0.0</v>
      </c>
      <c r="F186" s="42">
        <f>(INT($E$25*2/$D186)-INT($E$25*(2-1)/$D186))*$C186/1000</f>
        <v>0.0</v>
      </c>
      <c r="G186" s="42">
        <f>(INT($E$25*3/$D186)-INT($E$25*(3-1)/$D186))*$C186/1000</f>
        <v>3.8100300000000002</v>
      </c>
      <c r="H186" s="42">
        <f>(INT($E$25*4/$D186)-INT($E$25*(4-1)/$D186))*$C186/1000</f>
        <v>0.0</v>
      </c>
      <c r="I186" s="42">
        <f>(INT($E$25*5/$D186)-INT($E$25*(5-1)/$D186))*$C186/1000</f>
        <v>3.8100300000000002</v>
      </c>
      <c r="J186" s="42">
        <f>(INT($E$25*6/$D186)-INT($E$25*(6-1)/$D186))*$C186/1000</f>
        <v>0.0</v>
      </c>
      <c r="K186" s="42">
        <f>(INT($E$25*7/$D186)-INT($E$25*(7-1)/$D186))*$C186/1000</f>
        <v>3.8100300000000002</v>
      </c>
      <c r="L186" s="42">
        <f>(INT($E$25*8/$D186)-INT($E$25*(8-1)/$D186))*$C186/1000</f>
        <v>0.0</v>
      </c>
      <c r="M186" s="42">
        <f>(INT($E$25*9/$D186)-INT($E$25*(9-1)/$D186))*$C186/1000</f>
        <v>3.8100300000000002</v>
      </c>
      <c r="N186" s="42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44" t="n">
        <v>1497.69</v>
      </c>
      <c r="D187" s="43" t="n">
        <v>15000</v>
      </c>
      <c r="E187" s="42">
        <f>(INT($E$25*1/$D187)-INT($E$25*(1-1)/$D187))*$C187/1000</f>
        <v>0.0</v>
      </c>
      <c r="F187" s="42">
        <f>(INT($E$25*2/$D187)-INT($E$25*(2-1)/$D187))*$C187/1000</f>
        <v>0.0</v>
      </c>
      <c r="G187" s="42">
        <f>(INT($E$25*3/$D187)-INT($E$25*(3-1)/$D187))*$C187/1000</f>
        <v>1.49769</v>
      </c>
      <c r="H187" s="42">
        <f>(INT($E$25*4/$D187)-INT($E$25*(4-1)/$D187))*$C187/1000</f>
        <v>0.0</v>
      </c>
      <c r="I187" s="42">
        <f>(INT($E$25*5/$D187)-INT($E$25*(5-1)/$D187))*$C187/1000</f>
        <v>1.49769</v>
      </c>
      <c r="J187" s="42">
        <f>(INT($E$25*6/$D187)-INT($E$25*(6-1)/$D187))*$C187/1000</f>
        <v>0.0</v>
      </c>
      <c r="K187" s="42">
        <f>(INT($E$25*7/$D187)-INT($E$25*(7-1)/$D187))*$C187/1000</f>
        <v>1.49769</v>
      </c>
      <c r="L187" s="42">
        <f>(INT($E$25*8/$D187)-INT($E$25*(8-1)/$D187))*$C187/1000</f>
        <v>0.0</v>
      </c>
      <c r="M187" s="42">
        <f>(INT($E$25*9/$D187)-INT($E$25*(9-1)/$D187))*$C187/1000</f>
        <v>1.49769</v>
      </c>
      <c r="N187" s="42">
        <f>(INT($E$25*10/$D187)-INT($E$25*(10-1)/$D187))*$C187/1000</f>
        <v>0.0</v>
      </c>
    </row>
    <row r="188">
      <c r="B188" s="45" t="inlineStr">
        <is>
          <t>ИТОГО</t>
        </is>
      </c>
      <c r="E188" s="42">
        <f>SUM(E129:E187)</f>
        <v>7.382379999999999</v>
      </c>
      <c r="F188" s="42">
        <f>SUM(F129:F187)</f>
        <v>204.26495</v>
      </c>
      <c r="G188" s="42">
        <f>SUM(G129:G187)</f>
        <v>438.81584</v>
      </c>
      <c r="H188" s="42">
        <f>SUM(H129:H187)</f>
        <v>434.86339000000004</v>
      </c>
      <c r="I188" s="42">
        <f>SUM(I129:I187)</f>
        <v>610.36746</v>
      </c>
      <c r="J188" s="42">
        <f>SUM(J129:J187)</f>
        <v>366.36175000000003</v>
      </c>
      <c r="K188" s="42">
        <f>SUM(K129:K187)</f>
        <v>590.25823</v>
      </c>
      <c r="L188" s="42">
        <f>SUM(L129:L187)</f>
        <v>224.66392</v>
      </c>
      <c r="M188" s="42">
        <f>SUM(M129:M187)</f>
        <v>774.55654</v>
      </c>
      <c r="N188" s="42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44" t="n">
        <v>8</v>
      </c>
      <c r="D192" s="43" t="n">
        <v>12000</v>
      </c>
      <c r="E192" s="42">
        <f>(INT($E$25*1/$D192)-INT($E$25*(1-1)/$D192))*$C192</f>
        <v>0.0</v>
      </c>
      <c r="F192" s="42">
        <f>(INT($E$25*2/$D192)-INT($E$25*(2-1)/$D192))*$C192</f>
        <v>8.0</v>
      </c>
      <c r="G192" s="42">
        <f>(INT($E$25*3/$D192)-INT($E$25*(3-1)/$D192))*$C192</f>
        <v>0.0</v>
      </c>
      <c r="H192" s="42">
        <f>(INT($E$25*4/$D192)-INT($E$25*(4-1)/$D192))*$C192</f>
        <v>8.0</v>
      </c>
      <c r="I192" s="42">
        <f>(INT($E$25*5/$D192)-INT($E$25*(5-1)/$D192))*$C192</f>
        <v>0.0</v>
      </c>
      <c r="J192" s="42">
        <f>(INT($E$25*6/$D192)-INT($E$25*(6-1)/$D192))*$C192</f>
        <v>8.0</v>
      </c>
      <c r="K192" s="42">
        <f>(INT($E$25*7/$D192)-INT($E$25*(7-1)/$D192))*$C192</f>
        <v>8.0</v>
      </c>
      <c r="L192" s="42">
        <f>(INT($E$25*8/$D192)-INT($E$25*(8-1)/$D192))*$C192</f>
        <v>0.0</v>
      </c>
      <c r="M192" s="42">
        <f>(INT($E$25*9/$D192)-INT($E$25*(9-1)/$D192))*$C192</f>
        <v>8.0</v>
      </c>
      <c r="N192" s="42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44" t="n">
        <v>10</v>
      </c>
      <c r="D193" s="43" t="n">
        <v>11000</v>
      </c>
      <c r="E193" s="42">
        <f>(INT($E$25*1/$D193)-INT($E$25*(1-1)/$D193))*$C193</f>
        <v>0.0</v>
      </c>
      <c r="F193" s="42">
        <f>(INT($E$25*2/$D193)-INT($E$25*(2-1)/$D193))*$C193</f>
        <v>10.0</v>
      </c>
      <c r="G193" s="42">
        <f>(INT($E$25*3/$D193)-INT($E$25*(3-1)/$D193))*$C193</f>
        <v>0.0</v>
      </c>
      <c r="H193" s="42">
        <f>(INT($E$25*4/$D193)-INT($E$25*(4-1)/$D193))*$C193</f>
        <v>10.0</v>
      </c>
      <c r="I193" s="42">
        <f>(INT($E$25*5/$D193)-INT($E$25*(5-1)/$D193))*$C193</f>
        <v>10.0</v>
      </c>
      <c r="J193" s="42">
        <f>(INT($E$25*6/$D193)-INT($E$25*(6-1)/$D193))*$C193</f>
        <v>0.0</v>
      </c>
      <c r="K193" s="42">
        <f>(INT($E$25*7/$D193)-INT($E$25*(7-1)/$D193))*$C193</f>
        <v>10.0</v>
      </c>
      <c r="L193" s="42">
        <f>(INT($E$25*8/$D193)-INT($E$25*(8-1)/$D193))*$C193</f>
        <v>10.0</v>
      </c>
      <c r="M193" s="42">
        <f>(INT($E$25*9/$D193)-INT($E$25*(9-1)/$D193))*$C193</f>
        <v>0.0</v>
      </c>
      <c r="N193" s="42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44" t="n">
        <v>2</v>
      </c>
      <c r="D194" s="43" t="n">
        <v>12000</v>
      </c>
      <c r="E194" s="42">
        <f>(INT($E$25*1/$D194)-INT($E$25*(1-1)/$D194))*$C194</f>
        <v>0.0</v>
      </c>
      <c r="F194" s="42">
        <f>(INT($E$25*2/$D194)-INT($E$25*(2-1)/$D194))*$C194</f>
        <v>2.0</v>
      </c>
      <c r="G194" s="42">
        <f>(INT($E$25*3/$D194)-INT($E$25*(3-1)/$D194))*$C194</f>
        <v>0.0</v>
      </c>
      <c r="H194" s="42">
        <f>(INT($E$25*4/$D194)-INT($E$25*(4-1)/$D194))*$C194</f>
        <v>2.0</v>
      </c>
      <c r="I194" s="42">
        <f>(INT($E$25*5/$D194)-INT($E$25*(5-1)/$D194))*$C194</f>
        <v>0.0</v>
      </c>
      <c r="J194" s="42">
        <f>(INT($E$25*6/$D194)-INT($E$25*(6-1)/$D194))*$C194</f>
        <v>2.0</v>
      </c>
      <c r="K194" s="42">
        <f>(INT($E$25*7/$D194)-INT($E$25*(7-1)/$D194))*$C194</f>
        <v>2.0</v>
      </c>
      <c r="L194" s="42">
        <f>(INT($E$25*8/$D194)-INT($E$25*(8-1)/$D194))*$C194</f>
        <v>0.0</v>
      </c>
      <c r="M194" s="42">
        <f>(INT($E$25*9/$D194)-INT($E$25*(9-1)/$D194))*$C194</f>
        <v>2.0</v>
      </c>
      <c r="N194" s="42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44" t="n">
        <v>3.5</v>
      </c>
      <c r="D195" s="43" t="n">
        <v>8000</v>
      </c>
      <c r="E195" s="42">
        <f>(INT($E$25*1/$D195)-INT($E$25*(1-1)/$D195))*$C195</f>
        <v>0.0</v>
      </c>
      <c r="F195" s="42">
        <f>(INT($E$25*2/$D195)-INT($E$25*(2-1)/$D195))*$C195</f>
        <v>3.5</v>
      </c>
      <c r="G195" s="42">
        <f>(INT($E$25*3/$D195)-INT($E$25*(3-1)/$D195))*$C195</f>
        <v>3.5</v>
      </c>
      <c r="H195" s="42">
        <f>(INT($E$25*4/$D195)-INT($E$25*(4-1)/$D195))*$C195</f>
        <v>3.5</v>
      </c>
      <c r="I195" s="42">
        <f>(INT($E$25*5/$D195)-INT($E$25*(5-1)/$D195))*$C195</f>
        <v>3.5</v>
      </c>
      <c r="J195" s="42">
        <f>(INT($E$25*6/$D195)-INT($E$25*(6-1)/$D195))*$C195</f>
        <v>3.5</v>
      </c>
      <c r="K195" s="42">
        <f>(INT($E$25*7/$D195)-INT($E$25*(7-1)/$D195))*$C195</f>
        <v>3.5</v>
      </c>
      <c r="L195" s="42">
        <f>(INT($E$25*8/$D195)-INT($E$25*(8-1)/$D195))*$C195</f>
        <v>3.5</v>
      </c>
      <c r="M195" s="42">
        <f>(INT($E$25*9/$D195)-INT($E$25*(9-1)/$D195))*$C195</f>
        <v>0.0</v>
      </c>
      <c r="N195" s="42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44" t="n">
        <v>2.3</v>
      </c>
      <c r="D196" s="43" t="n">
        <v>25000</v>
      </c>
      <c r="E196" s="42">
        <f>(INT($E$25*1/$D196)-INT($E$25*(1-1)/$D196))*$C196</f>
        <v>0.0</v>
      </c>
      <c r="F196" s="42">
        <f>(INT($E$25*2/$D196)-INT($E$25*(2-1)/$D196))*$C196</f>
        <v>0.0</v>
      </c>
      <c r="G196" s="42">
        <f>(INT($E$25*3/$D196)-INT($E$25*(3-1)/$D196))*$C196</f>
        <v>0.0</v>
      </c>
      <c r="H196" s="42">
        <f>(INT($E$25*4/$D196)-INT($E$25*(4-1)/$D196))*$C196</f>
        <v>2.3</v>
      </c>
      <c r="I196" s="42">
        <f>(INT($E$25*5/$D196)-INT($E$25*(5-1)/$D196))*$C196</f>
        <v>0.0</v>
      </c>
      <c r="J196" s="42">
        <f>(INT($E$25*6/$D196)-INT($E$25*(6-1)/$D196))*$C196</f>
        <v>0.0</v>
      </c>
      <c r="K196" s="42">
        <f>(INT($E$25*7/$D196)-INT($E$25*(7-1)/$D196))*$C196</f>
        <v>0.0</v>
      </c>
      <c r="L196" s="42">
        <f>(INT($E$25*8/$D196)-INT($E$25*(8-1)/$D196))*$C196</f>
        <v>2.3</v>
      </c>
      <c r="M196" s="42">
        <f>(INT($E$25*9/$D196)-INT($E$25*(9-1)/$D196))*$C196</f>
        <v>0.0</v>
      </c>
      <c r="N196" s="42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44" t="n">
        <v>1.9</v>
      </c>
      <c r="D197" s="43" t="n">
        <v>22000</v>
      </c>
      <c r="E197" s="42">
        <f>(INT($E$25*1/$D197)-INT($E$25*(1-1)/$D197))*$C197</f>
        <v>0.0</v>
      </c>
      <c r="F197" s="42">
        <f>(INT($E$25*2/$D197)-INT($E$25*(2-1)/$D197))*$C197</f>
        <v>0.0</v>
      </c>
      <c r="G197" s="42">
        <f>(INT($E$25*3/$D197)-INT($E$25*(3-1)/$D197))*$C197</f>
        <v>0.0</v>
      </c>
      <c r="H197" s="42">
        <f>(INT($E$25*4/$D197)-INT($E$25*(4-1)/$D197))*$C197</f>
        <v>1.9</v>
      </c>
      <c r="I197" s="42">
        <f>(INT($E$25*5/$D197)-INT($E$25*(5-1)/$D197))*$C197</f>
        <v>0.0</v>
      </c>
      <c r="J197" s="42">
        <f>(INT($E$25*6/$D197)-INT($E$25*(6-1)/$D197))*$C197</f>
        <v>0.0</v>
      </c>
      <c r="K197" s="42">
        <f>(INT($E$25*7/$D197)-INT($E$25*(7-1)/$D197))*$C197</f>
        <v>1.9</v>
      </c>
      <c r="L197" s="42">
        <f>(INT($E$25*8/$D197)-INT($E$25*(8-1)/$D197))*$C197</f>
        <v>0.0</v>
      </c>
      <c r="M197" s="42">
        <f>(INT($E$25*9/$D197)-INT($E$25*(9-1)/$D197))*$C197</f>
        <v>0.0</v>
      </c>
      <c r="N197" s="42">
        <f>(INT($E$25*10/$D197)-INT($E$25*(10-1)/$D197))*$C197</f>
        <v>1.9</v>
      </c>
    </row>
    <row r="198">
      <c r="B198" s="22" t="inlineStr">
        <is>
          <t>VALVE,REGEN-HP (клапан)</t>
        </is>
      </c>
      <c r="C198" s="44" t="n">
        <v>1.5</v>
      </c>
      <c r="D198" s="43" t="n">
        <v>15000</v>
      </c>
      <c r="E198" s="42">
        <f>(INT($E$25*1/$D198)-INT($E$25*(1-1)/$D198))*$C198</f>
        <v>0.0</v>
      </c>
      <c r="F198" s="42">
        <f>(INT($E$25*2/$D198)-INT($E$25*(2-1)/$D198))*$C198</f>
        <v>0.0</v>
      </c>
      <c r="G198" s="42">
        <f>(INT($E$25*3/$D198)-INT($E$25*(3-1)/$D198))*$C198</f>
        <v>1.5</v>
      </c>
      <c r="H198" s="42">
        <f>(INT($E$25*4/$D198)-INT($E$25*(4-1)/$D198))*$C198</f>
        <v>0.0</v>
      </c>
      <c r="I198" s="42">
        <f>(INT($E$25*5/$D198)-INT($E$25*(5-1)/$D198))*$C198</f>
        <v>1.5</v>
      </c>
      <c r="J198" s="42">
        <f>(INT($E$25*6/$D198)-INT($E$25*(6-1)/$D198))*$C198</f>
        <v>0.0</v>
      </c>
      <c r="K198" s="42">
        <f>(INT($E$25*7/$D198)-INT($E$25*(7-1)/$D198))*$C198</f>
        <v>1.5</v>
      </c>
      <c r="L198" s="42">
        <f>(INT($E$25*8/$D198)-INT($E$25*(8-1)/$D198))*$C198</f>
        <v>0.0</v>
      </c>
      <c r="M198" s="42">
        <f>(INT($E$25*9/$D198)-INT($E$25*(9-1)/$D198))*$C198</f>
        <v>1.5</v>
      </c>
      <c r="N198" s="42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44" t="n">
        <v>10</v>
      </c>
      <c r="D199" s="43" t="n">
        <v>12500</v>
      </c>
      <c r="E199" s="42">
        <f>(INT($E$25*1/$D199)-INT($E$25*(1-1)/$D199))*$C199</f>
        <v>0.0</v>
      </c>
      <c r="F199" s="42">
        <f>(INT($E$25*2/$D199)-INT($E$25*(2-1)/$D199))*$C199</f>
        <v>10.0</v>
      </c>
      <c r="G199" s="42">
        <f>(INT($E$25*3/$D199)-INT($E$25*(3-1)/$D199))*$C199</f>
        <v>0.0</v>
      </c>
      <c r="H199" s="42">
        <f>(INT($E$25*4/$D199)-INT($E$25*(4-1)/$D199))*$C199</f>
        <v>10.0</v>
      </c>
      <c r="I199" s="42">
        <f>(INT($E$25*5/$D199)-INT($E$25*(5-1)/$D199))*$C199</f>
        <v>0.0</v>
      </c>
      <c r="J199" s="42">
        <f>(INT($E$25*6/$D199)-INT($E$25*(6-1)/$D199))*$C199</f>
        <v>10.0</v>
      </c>
      <c r="K199" s="42">
        <f>(INT($E$25*7/$D199)-INT($E$25*(7-1)/$D199))*$C199</f>
        <v>0.0</v>
      </c>
      <c r="L199" s="42">
        <f>(INT($E$25*8/$D199)-INT($E$25*(8-1)/$D199))*$C199</f>
        <v>10.0</v>
      </c>
      <c r="M199" s="42">
        <f>(INT($E$25*9/$D199)-INT($E$25*(9-1)/$D199))*$C199</f>
        <v>10.0</v>
      </c>
      <c r="N199" s="42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44" t="n">
        <v>0.8</v>
      </c>
      <c r="D200" s="43" t="n">
        <v>18000</v>
      </c>
      <c r="E200" s="42">
        <f>(INT($E$25*1/$D200)-INT($E$25*(1-1)/$D200))*$C200</f>
        <v>0.0</v>
      </c>
      <c r="F200" s="42">
        <f>(INT($E$25*2/$D200)-INT($E$25*(2-1)/$D200))*$C200</f>
        <v>0.0</v>
      </c>
      <c r="G200" s="42">
        <f>(INT($E$25*3/$D200)-INT($E$25*(3-1)/$D200))*$C200</f>
        <v>0.8</v>
      </c>
      <c r="H200" s="42">
        <f>(INT($E$25*4/$D200)-INT($E$25*(4-1)/$D200))*$C200</f>
        <v>0.0</v>
      </c>
      <c r="I200" s="42">
        <f>(INT($E$25*5/$D200)-INT($E$25*(5-1)/$D200))*$C200</f>
        <v>0.0</v>
      </c>
      <c r="J200" s="42">
        <f>(INT($E$25*6/$D200)-INT($E$25*(6-1)/$D200))*$C200</f>
        <v>0.8</v>
      </c>
      <c r="K200" s="42">
        <f>(INT($E$25*7/$D200)-INT($E$25*(7-1)/$D200))*$C200</f>
        <v>0.0</v>
      </c>
      <c r="L200" s="42">
        <f>(INT($E$25*8/$D200)-INT($E$25*(8-1)/$D200))*$C200</f>
        <v>0.8</v>
      </c>
      <c r="M200" s="42">
        <f>(INT($E$25*9/$D200)-INT($E$25*(9-1)/$D200))*$C200</f>
        <v>0.0</v>
      </c>
      <c r="N200" s="42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44" t="n">
        <v>5</v>
      </c>
      <c r="D201" s="43" t="n">
        <v>25000</v>
      </c>
      <c r="E201" s="42">
        <f>(INT($E$25*1/$D201)-INT($E$25*(1-1)/$D201))*$C201</f>
        <v>0.0</v>
      </c>
      <c r="F201" s="42">
        <f>(INT($E$25*2/$D201)-INT($E$25*(2-1)/$D201))*$C201</f>
        <v>0.0</v>
      </c>
      <c r="G201" s="42">
        <f>(INT($E$25*3/$D201)-INT($E$25*(3-1)/$D201))*$C201</f>
        <v>0.0</v>
      </c>
      <c r="H201" s="42">
        <f>(INT($E$25*4/$D201)-INT($E$25*(4-1)/$D201))*$C201</f>
        <v>5.0</v>
      </c>
      <c r="I201" s="42">
        <f>(INT($E$25*5/$D201)-INT($E$25*(5-1)/$D201))*$C201</f>
        <v>0.0</v>
      </c>
      <c r="J201" s="42">
        <f>(INT($E$25*6/$D201)-INT($E$25*(6-1)/$D201))*$C201</f>
        <v>0.0</v>
      </c>
      <c r="K201" s="42">
        <f>(INT($E$25*7/$D201)-INT($E$25*(7-1)/$D201))*$C201</f>
        <v>0.0</v>
      </c>
      <c r="L201" s="42">
        <f>(INT($E$25*8/$D201)-INT($E$25*(8-1)/$D201))*$C201</f>
        <v>5.0</v>
      </c>
      <c r="M201" s="42">
        <f>(INT($E$25*9/$D201)-INT($E$25*(9-1)/$D201))*$C201</f>
        <v>0.0</v>
      </c>
      <c r="N201" s="42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44" t="n">
        <v>2</v>
      </c>
      <c r="D202" s="43" t="n">
        <v>15100</v>
      </c>
      <c r="E202" s="42">
        <f>(INT($E$25*1/$D202)-INT($E$25*(1-1)/$D202))*$C202</f>
        <v>0.0</v>
      </c>
      <c r="F202" s="42">
        <f>(INT($E$25*2/$D202)-INT($E$25*(2-1)/$D202))*$C202</f>
        <v>0.0</v>
      </c>
      <c r="G202" s="42">
        <f>(INT($E$25*3/$D202)-INT($E$25*(3-1)/$D202))*$C202</f>
        <v>2.0</v>
      </c>
      <c r="H202" s="42">
        <f>(INT($E$25*4/$D202)-INT($E$25*(4-1)/$D202))*$C202</f>
        <v>0.0</v>
      </c>
      <c r="I202" s="42">
        <f>(INT($E$25*5/$D202)-INT($E$25*(5-1)/$D202))*$C202</f>
        <v>2.0</v>
      </c>
      <c r="J202" s="42">
        <f>(INT($E$25*6/$D202)-INT($E$25*(6-1)/$D202))*$C202</f>
        <v>0.0</v>
      </c>
      <c r="K202" s="42">
        <f>(INT($E$25*7/$D202)-INT($E$25*(7-1)/$D202))*$C202</f>
        <v>2.0</v>
      </c>
      <c r="L202" s="42">
        <f>(INT($E$25*8/$D202)-INT($E$25*(8-1)/$D202))*$C202</f>
        <v>0.0</v>
      </c>
      <c r="M202" s="42">
        <f>(INT($E$25*9/$D202)-INT($E$25*(9-1)/$D202))*$C202</f>
        <v>2.0</v>
      </c>
      <c r="N202" s="42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44" t="n">
        <v>2</v>
      </c>
      <c r="D203" s="43" t="n">
        <v>15100</v>
      </c>
      <c r="E203" s="42">
        <f>(INT($E$25*1/$D203)-INT($E$25*(1-1)/$D203))*$C203</f>
        <v>0.0</v>
      </c>
      <c r="F203" s="42">
        <f>(INT($E$25*2/$D203)-INT($E$25*(2-1)/$D203))*$C203</f>
        <v>0.0</v>
      </c>
      <c r="G203" s="42">
        <f>(INT($E$25*3/$D203)-INT($E$25*(3-1)/$D203))*$C203</f>
        <v>2.0</v>
      </c>
      <c r="H203" s="42">
        <f>(INT($E$25*4/$D203)-INT($E$25*(4-1)/$D203))*$C203</f>
        <v>0.0</v>
      </c>
      <c r="I203" s="42">
        <f>(INT($E$25*5/$D203)-INT($E$25*(5-1)/$D203))*$C203</f>
        <v>2.0</v>
      </c>
      <c r="J203" s="42">
        <f>(INT($E$25*6/$D203)-INT($E$25*(6-1)/$D203))*$C203</f>
        <v>0.0</v>
      </c>
      <c r="K203" s="42">
        <f>(INT($E$25*7/$D203)-INT($E$25*(7-1)/$D203))*$C203</f>
        <v>2.0</v>
      </c>
      <c r="L203" s="42">
        <f>(INT($E$25*8/$D203)-INT($E$25*(8-1)/$D203))*$C203</f>
        <v>0.0</v>
      </c>
      <c r="M203" s="42">
        <f>(INT($E$25*9/$D203)-INT($E$25*(9-1)/$D203))*$C203</f>
        <v>2.0</v>
      </c>
      <c r="N203" s="42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44" t="n">
        <v>3.5</v>
      </c>
      <c r="D204" s="43" t="n">
        <v>10100</v>
      </c>
      <c r="E204" s="42">
        <f>(INT($E$25*1/$D204)-INT($E$25*(1-1)/$D204))*$C204</f>
        <v>0.0</v>
      </c>
      <c r="F204" s="42">
        <f>(INT($E$25*2/$D204)-INT($E$25*(2-1)/$D204))*$C204</f>
        <v>3.5</v>
      </c>
      <c r="G204" s="42">
        <f>(INT($E$25*3/$D204)-INT($E$25*(3-1)/$D204))*$C204</f>
        <v>3.5</v>
      </c>
      <c r="H204" s="42">
        <f>(INT($E$25*4/$D204)-INT($E$25*(4-1)/$D204))*$C204</f>
        <v>0.0</v>
      </c>
      <c r="I204" s="42">
        <f>(INT($E$25*5/$D204)-INT($E$25*(5-1)/$D204))*$C204</f>
        <v>3.5</v>
      </c>
      <c r="J204" s="42">
        <f>(INT($E$25*6/$D204)-INT($E$25*(6-1)/$D204))*$C204</f>
        <v>3.5</v>
      </c>
      <c r="K204" s="42">
        <f>(INT($E$25*7/$D204)-INT($E$25*(7-1)/$D204))*$C204</f>
        <v>0.0</v>
      </c>
      <c r="L204" s="42">
        <f>(INT($E$25*8/$D204)-INT($E$25*(8-1)/$D204))*$C204</f>
        <v>3.5</v>
      </c>
      <c r="M204" s="42">
        <f>(INT($E$25*9/$D204)-INT($E$25*(9-1)/$D204))*$C204</f>
        <v>3.5</v>
      </c>
      <c r="N204" s="42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44" t="n">
        <v>2</v>
      </c>
      <c r="D205" s="43" t="n">
        <v>15000</v>
      </c>
      <c r="E205" s="42">
        <f>(INT($E$25*1/$D205)-INT($E$25*(1-1)/$D205))*$C205</f>
        <v>0.0</v>
      </c>
      <c r="F205" s="42">
        <f>(INT($E$25*2/$D205)-INT($E$25*(2-1)/$D205))*$C205</f>
        <v>0.0</v>
      </c>
      <c r="G205" s="42">
        <f>(INT($E$25*3/$D205)-INT($E$25*(3-1)/$D205))*$C205</f>
        <v>2.0</v>
      </c>
      <c r="H205" s="42">
        <f>(INT($E$25*4/$D205)-INT($E$25*(4-1)/$D205))*$C205</f>
        <v>0.0</v>
      </c>
      <c r="I205" s="42">
        <f>(INT($E$25*5/$D205)-INT($E$25*(5-1)/$D205))*$C205</f>
        <v>2.0</v>
      </c>
      <c r="J205" s="42">
        <f>(INT($E$25*6/$D205)-INT($E$25*(6-1)/$D205))*$C205</f>
        <v>0.0</v>
      </c>
      <c r="K205" s="42">
        <f>(INT($E$25*7/$D205)-INT($E$25*(7-1)/$D205))*$C205</f>
        <v>2.0</v>
      </c>
      <c r="L205" s="42">
        <f>(INT($E$25*8/$D205)-INT($E$25*(8-1)/$D205))*$C205</f>
        <v>0.0</v>
      </c>
      <c r="M205" s="42">
        <f>(INT($E$25*9/$D205)-INT($E$25*(9-1)/$D205))*$C205</f>
        <v>2.0</v>
      </c>
      <c r="N205" s="42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44" t="n">
        <v>2.97</v>
      </c>
      <c r="D206" s="43" t="n">
        <v>15000</v>
      </c>
      <c r="E206" s="42">
        <f>(INT($E$25*1/$D206)-INT($E$25*(1-1)/$D206))*$C206</f>
        <v>0.0</v>
      </c>
      <c r="F206" s="42">
        <f>(INT($E$25*2/$D206)-INT($E$25*(2-1)/$D206))*$C206</f>
        <v>0.0</v>
      </c>
      <c r="G206" s="42">
        <f>(INT($E$25*3/$D206)-INT($E$25*(3-1)/$D206))*$C206</f>
        <v>2.97</v>
      </c>
      <c r="H206" s="42">
        <f>(INT($E$25*4/$D206)-INT($E$25*(4-1)/$D206))*$C206</f>
        <v>0.0</v>
      </c>
      <c r="I206" s="42">
        <f>(INT($E$25*5/$D206)-INT($E$25*(5-1)/$D206))*$C206</f>
        <v>2.97</v>
      </c>
      <c r="J206" s="42">
        <f>(INT($E$25*6/$D206)-INT($E$25*(6-1)/$D206))*$C206</f>
        <v>0.0</v>
      </c>
      <c r="K206" s="42">
        <f>(INT($E$25*7/$D206)-INT($E$25*(7-1)/$D206))*$C206</f>
        <v>2.97</v>
      </c>
      <c r="L206" s="42">
        <f>(INT($E$25*8/$D206)-INT($E$25*(8-1)/$D206))*$C206</f>
        <v>0.0</v>
      </c>
      <c r="M206" s="42">
        <f>(INT($E$25*9/$D206)-INT($E$25*(9-1)/$D206))*$C206</f>
        <v>2.97</v>
      </c>
      <c r="N206" s="42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44" t="n">
        <v>1.5</v>
      </c>
      <c r="D207" s="43" t="n">
        <v>8000</v>
      </c>
      <c r="E207" s="42">
        <f>(INT($E$25*1/$D207)-INT($E$25*(1-1)/$D207))*$C207</f>
        <v>0.0</v>
      </c>
      <c r="F207" s="42">
        <f>(INT($E$25*2/$D207)-INT($E$25*(2-1)/$D207))*$C207</f>
        <v>1.5</v>
      </c>
      <c r="G207" s="42">
        <f>(INT($E$25*3/$D207)-INT($E$25*(3-1)/$D207))*$C207</f>
        <v>1.5</v>
      </c>
      <c r="H207" s="42">
        <f>(INT($E$25*4/$D207)-INT($E$25*(4-1)/$D207))*$C207</f>
        <v>1.5</v>
      </c>
      <c r="I207" s="42">
        <f>(INT($E$25*5/$D207)-INT($E$25*(5-1)/$D207))*$C207</f>
        <v>1.5</v>
      </c>
      <c r="J207" s="42">
        <f>(INT($E$25*6/$D207)-INT($E$25*(6-1)/$D207))*$C207</f>
        <v>1.5</v>
      </c>
      <c r="K207" s="42">
        <f>(INT($E$25*7/$D207)-INT($E$25*(7-1)/$D207))*$C207</f>
        <v>1.5</v>
      </c>
      <c r="L207" s="42">
        <f>(INT($E$25*8/$D207)-INT($E$25*(8-1)/$D207))*$C207</f>
        <v>1.5</v>
      </c>
      <c r="M207" s="42">
        <f>(INT($E$25*9/$D207)-INT($E$25*(9-1)/$D207))*$C207</f>
        <v>0.0</v>
      </c>
      <c r="N207" s="42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44" t="n">
        <v>22.68</v>
      </c>
      <c r="D208" s="43" t="n">
        <v>14900</v>
      </c>
      <c r="E208" s="42">
        <f>(INT($E$25*1/$D208)-INT($E$25*(1-1)/$D208))*$C208</f>
        <v>0.0</v>
      </c>
      <c r="F208" s="42">
        <f>(INT($E$25*2/$D208)-INT($E$25*(2-1)/$D208))*$C208</f>
        <v>0.0</v>
      </c>
      <c r="G208" s="42">
        <f>(INT($E$25*3/$D208)-INT($E$25*(3-1)/$D208))*$C208</f>
        <v>22.68</v>
      </c>
      <c r="H208" s="42">
        <f>(INT($E$25*4/$D208)-INT($E$25*(4-1)/$D208))*$C208</f>
        <v>0.0</v>
      </c>
      <c r="I208" s="42">
        <f>(INT($E$25*5/$D208)-INT($E$25*(5-1)/$D208))*$C208</f>
        <v>22.68</v>
      </c>
      <c r="J208" s="42">
        <f>(INT($E$25*6/$D208)-INT($E$25*(6-1)/$D208))*$C208</f>
        <v>0.0</v>
      </c>
      <c r="K208" s="42">
        <f>(INT($E$25*7/$D208)-INT($E$25*(7-1)/$D208))*$C208</f>
        <v>22.68</v>
      </c>
      <c r="L208" s="42">
        <f>(INT($E$25*8/$D208)-INT($E$25*(8-1)/$D208))*$C208</f>
        <v>0.0</v>
      </c>
      <c r="M208" s="42">
        <f>(INT($E$25*9/$D208)-INT($E$25*(9-1)/$D208))*$C208</f>
        <v>22.68</v>
      </c>
      <c r="N208" s="42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44" t="n">
        <v>19.5</v>
      </c>
      <c r="D209" s="43" t="n">
        <v>14900</v>
      </c>
      <c r="E209" s="42">
        <f>(INT($E$25*1/$D209)-INT($E$25*(1-1)/$D209))*$C209</f>
        <v>0.0</v>
      </c>
      <c r="F209" s="42">
        <f>(INT($E$25*2/$D209)-INT($E$25*(2-1)/$D209))*$C209</f>
        <v>0.0</v>
      </c>
      <c r="G209" s="42">
        <f>(INT($E$25*3/$D209)-INT($E$25*(3-1)/$D209))*$C209</f>
        <v>19.5</v>
      </c>
      <c r="H209" s="42">
        <f>(INT($E$25*4/$D209)-INT($E$25*(4-1)/$D209))*$C209</f>
        <v>0.0</v>
      </c>
      <c r="I209" s="42">
        <f>(INT($E$25*5/$D209)-INT($E$25*(5-1)/$D209))*$C209</f>
        <v>19.5</v>
      </c>
      <c r="J209" s="42">
        <f>(INT($E$25*6/$D209)-INT($E$25*(6-1)/$D209))*$C209</f>
        <v>0.0</v>
      </c>
      <c r="K209" s="42">
        <f>(INT($E$25*7/$D209)-INT($E$25*(7-1)/$D209))*$C209</f>
        <v>19.5</v>
      </c>
      <c r="L209" s="42">
        <f>(INT($E$25*8/$D209)-INT($E$25*(8-1)/$D209))*$C209</f>
        <v>0.0</v>
      </c>
      <c r="M209" s="42">
        <f>(INT($E$25*9/$D209)-INT($E$25*(9-1)/$D209))*$C209</f>
        <v>19.5</v>
      </c>
      <c r="N209" s="42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44" t="n">
        <v>10.6</v>
      </c>
      <c r="D210" s="43" t="n">
        <v>10400</v>
      </c>
      <c r="E210" s="42">
        <f>(INT($E$25*1/$D210)-INT($E$25*(1-1)/$D210))*$C210</f>
        <v>0.0</v>
      </c>
      <c r="F210" s="42">
        <f>(INT($E$25*2/$D210)-INT($E$25*(2-1)/$D210))*$C210</f>
        <v>10.6</v>
      </c>
      <c r="G210" s="42">
        <f>(INT($E$25*3/$D210)-INT($E$25*(3-1)/$D210))*$C210</f>
        <v>10.6</v>
      </c>
      <c r="H210" s="42">
        <f>(INT($E$25*4/$D210)-INT($E$25*(4-1)/$D210))*$C210</f>
        <v>0.0</v>
      </c>
      <c r="I210" s="42">
        <f>(INT($E$25*5/$D210)-INT($E$25*(5-1)/$D210))*$C210</f>
        <v>10.6</v>
      </c>
      <c r="J210" s="42">
        <f>(INT($E$25*6/$D210)-INT($E$25*(6-1)/$D210))*$C210</f>
        <v>10.6</v>
      </c>
      <c r="K210" s="42">
        <f>(INT($E$25*7/$D210)-INT($E$25*(7-1)/$D210))*$C210</f>
        <v>0.0</v>
      </c>
      <c r="L210" s="42">
        <f>(INT($E$25*8/$D210)-INT($E$25*(8-1)/$D210))*$C210</f>
        <v>10.6</v>
      </c>
      <c r="M210" s="42">
        <f>(INT($E$25*9/$D210)-INT($E$25*(9-1)/$D210))*$C210</f>
        <v>10.6</v>
      </c>
      <c r="N210" s="42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44" t="n">
        <v>6.6</v>
      </c>
      <c r="D211" s="43" t="n">
        <v>12000</v>
      </c>
      <c r="E211" s="42">
        <f>(INT($E$25*1/$D211)-INT($E$25*(1-1)/$D211))*$C211</f>
        <v>0.0</v>
      </c>
      <c r="F211" s="42">
        <f>(INT($E$25*2/$D211)-INT($E$25*(2-1)/$D211))*$C211</f>
        <v>6.6</v>
      </c>
      <c r="G211" s="42">
        <f>(INT($E$25*3/$D211)-INT($E$25*(3-1)/$D211))*$C211</f>
        <v>0.0</v>
      </c>
      <c r="H211" s="42">
        <f>(INT($E$25*4/$D211)-INT($E$25*(4-1)/$D211))*$C211</f>
        <v>6.6</v>
      </c>
      <c r="I211" s="42">
        <f>(INT($E$25*5/$D211)-INT($E$25*(5-1)/$D211))*$C211</f>
        <v>0.0</v>
      </c>
      <c r="J211" s="42">
        <f>(INT($E$25*6/$D211)-INT($E$25*(6-1)/$D211))*$C211</f>
        <v>6.6</v>
      </c>
      <c r="K211" s="42">
        <f>(INT($E$25*7/$D211)-INT($E$25*(7-1)/$D211))*$C211</f>
        <v>6.6</v>
      </c>
      <c r="L211" s="42">
        <f>(INT($E$25*8/$D211)-INT($E$25*(8-1)/$D211))*$C211</f>
        <v>0.0</v>
      </c>
      <c r="M211" s="42">
        <f>(INT($E$25*9/$D211)-INT($E$25*(9-1)/$D211))*$C211</f>
        <v>6.6</v>
      </c>
      <c r="N211" s="42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44" t="n">
        <v>1.1</v>
      </c>
      <c r="D212" s="43" t="n">
        <v>8000</v>
      </c>
      <c r="E212" s="42">
        <f>(INT($E$25*1/$D212)-INT($E$25*(1-1)/$D212))*$C212</f>
        <v>0.0</v>
      </c>
      <c r="F212" s="42">
        <f>(INT($E$25*2/$D212)-INT($E$25*(2-1)/$D212))*$C212</f>
        <v>1.1</v>
      </c>
      <c r="G212" s="42">
        <f>(INT($E$25*3/$D212)-INT($E$25*(3-1)/$D212))*$C212</f>
        <v>1.1</v>
      </c>
      <c r="H212" s="42">
        <f>(INT($E$25*4/$D212)-INT($E$25*(4-1)/$D212))*$C212</f>
        <v>1.1</v>
      </c>
      <c r="I212" s="42">
        <f>(INT($E$25*5/$D212)-INT($E$25*(5-1)/$D212))*$C212</f>
        <v>1.1</v>
      </c>
      <c r="J212" s="42">
        <f>(INT($E$25*6/$D212)-INT($E$25*(6-1)/$D212))*$C212</f>
        <v>1.1</v>
      </c>
      <c r="K212" s="42">
        <f>(INT($E$25*7/$D212)-INT($E$25*(7-1)/$D212))*$C212</f>
        <v>1.1</v>
      </c>
      <c r="L212" s="42">
        <f>(INT($E$25*8/$D212)-INT($E$25*(8-1)/$D212))*$C212</f>
        <v>1.1</v>
      </c>
      <c r="M212" s="42">
        <f>(INT($E$25*9/$D212)-INT($E$25*(9-1)/$D212))*$C212</f>
        <v>0.0</v>
      </c>
      <c r="N212" s="42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44" t="n">
        <v>1.1</v>
      </c>
      <c r="D213" s="43" t="n">
        <v>8000</v>
      </c>
      <c r="E213" s="42">
        <f>(INT($E$25*1/$D213)-INT($E$25*(1-1)/$D213))*$C213</f>
        <v>0.0</v>
      </c>
      <c r="F213" s="42">
        <f>(INT($E$25*2/$D213)-INT($E$25*(2-1)/$D213))*$C213</f>
        <v>1.1</v>
      </c>
      <c r="G213" s="42">
        <f>(INT($E$25*3/$D213)-INT($E$25*(3-1)/$D213))*$C213</f>
        <v>1.1</v>
      </c>
      <c r="H213" s="42">
        <f>(INT($E$25*4/$D213)-INT($E$25*(4-1)/$D213))*$C213</f>
        <v>1.1</v>
      </c>
      <c r="I213" s="42">
        <f>(INT($E$25*5/$D213)-INT($E$25*(5-1)/$D213))*$C213</f>
        <v>1.1</v>
      </c>
      <c r="J213" s="42">
        <f>(INT($E$25*6/$D213)-INT($E$25*(6-1)/$D213))*$C213</f>
        <v>1.1</v>
      </c>
      <c r="K213" s="42">
        <f>(INT($E$25*7/$D213)-INT($E$25*(7-1)/$D213))*$C213</f>
        <v>1.1</v>
      </c>
      <c r="L213" s="42">
        <f>(INT($E$25*8/$D213)-INT($E$25*(8-1)/$D213))*$C213</f>
        <v>1.1</v>
      </c>
      <c r="M213" s="42">
        <f>(INT($E$25*9/$D213)-INT($E$25*(9-1)/$D213))*$C213</f>
        <v>0.0</v>
      </c>
      <c r="N213" s="42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44" t="n">
        <v>1.5</v>
      </c>
      <c r="D214" s="43" t="n">
        <v>10400</v>
      </c>
      <c r="E214" s="42">
        <f>(INT($E$25*1/$D214)-INT($E$25*(1-1)/$D214))*$C214</f>
        <v>0.0</v>
      </c>
      <c r="F214" s="42">
        <f>(INT($E$25*2/$D214)-INT($E$25*(2-1)/$D214))*$C214</f>
        <v>1.5</v>
      </c>
      <c r="G214" s="42">
        <f>(INT($E$25*3/$D214)-INT($E$25*(3-1)/$D214))*$C214</f>
        <v>1.5</v>
      </c>
      <c r="H214" s="42">
        <f>(INT($E$25*4/$D214)-INT($E$25*(4-1)/$D214))*$C214</f>
        <v>0.0</v>
      </c>
      <c r="I214" s="42">
        <f>(INT($E$25*5/$D214)-INT($E$25*(5-1)/$D214))*$C214</f>
        <v>1.5</v>
      </c>
      <c r="J214" s="42">
        <f>(INT($E$25*6/$D214)-INT($E$25*(6-1)/$D214))*$C214</f>
        <v>1.5</v>
      </c>
      <c r="K214" s="42">
        <f>(INT($E$25*7/$D214)-INT($E$25*(7-1)/$D214))*$C214</f>
        <v>0.0</v>
      </c>
      <c r="L214" s="42">
        <f>(INT($E$25*8/$D214)-INT($E$25*(8-1)/$D214))*$C214</f>
        <v>1.5</v>
      </c>
      <c r="M214" s="42">
        <f>(INT($E$25*9/$D214)-INT($E$25*(9-1)/$D214))*$C214</f>
        <v>1.5</v>
      </c>
      <c r="N214" s="42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44" t="n">
        <v>0.9</v>
      </c>
      <c r="D215" s="43" t="n">
        <v>8000</v>
      </c>
      <c r="E215" s="42">
        <f>(INT($E$25*1/$D215)-INT($E$25*(1-1)/$D215))*$C215</f>
        <v>0.0</v>
      </c>
      <c r="F215" s="42">
        <f>(INT($E$25*2/$D215)-INT($E$25*(2-1)/$D215))*$C215</f>
        <v>0.9</v>
      </c>
      <c r="G215" s="42">
        <f>(INT($E$25*3/$D215)-INT($E$25*(3-1)/$D215))*$C215</f>
        <v>0.9</v>
      </c>
      <c r="H215" s="42">
        <f>(INT($E$25*4/$D215)-INT($E$25*(4-1)/$D215))*$C215</f>
        <v>0.9</v>
      </c>
      <c r="I215" s="42">
        <f>(INT($E$25*5/$D215)-INT($E$25*(5-1)/$D215))*$C215</f>
        <v>0.9</v>
      </c>
      <c r="J215" s="42">
        <f>(INT($E$25*6/$D215)-INT($E$25*(6-1)/$D215))*$C215</f>
        <v>0.9</v>
      </c>
      <c r="K215" s="42">
        <f>(INT($E$25*7/$D215)-INT($E$25*(7-1)/$D215))*$C215</f>
        <v>0.9</v>
      </c>
      <c r="L215" s="42">
        <f>(INT($E$25*8/$D215)-INT($E$25*(8-1)/$D215))*$C215</f>
        <v>0.9</v>
      </c>
      <c r="M215" s="42">
        <f>(INT($E$25*9/$D215)-INT($E$25*(9-1)/$D215))*$C215</f>
        <v>0.0</v>
      </c>
      <c r="N215" s="42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44" t="n">
        <v>11</v>
      </c>
      <c r="D216" s="43" t="n">
        <v>18000</v>
      </c>
      <c r="E216" s="42">
        <f>(INT($E$25*1/$D216)-INT($E$25*(1-1)/$D216))*$C216</f>
        <v>0.0</v>
      </c>
      <c r="F216" s="42">
        <f>(INT($E$25*2/$D216)-INT($E$25*(2-1)/$D216))*$C216</f>
        <v>0.0</v>
      </c>
      <c r="G216" s="42">
        <f>(INT($E$25*3/$D216)-INT($E$25*(3-1)/$D216))*$C216</f>
        <v>11.0</v>
      </c>
      <c r="H216" s="42">
        <f>(INT($E$25*4/$D216)-INT($E$25*(4-1)/$D216))*$C216</f>
        <v>0.0</v>
      </c>
      <c r="I216" s="42">
        <f>(INT($E$25*5/$D216)-INT($E$25*(5-1)/$D216))*$C216</f>
        <v>0.0</v>
      </c>
      <c r="J216" s="42">
        <f>(INT($E$25*6/$D216)-INT($E$25*(6-1)/$D216))*$C216</f>
        <v>11.0</v>
      </c>
      <c r="K216" s="42">
        <f>(INT($E$25*7/$D216)-INT($E$25*(7-1)/$D216))*$C216</f>
        <v>0.0</v>
      </c>
      <c r="L216" s="42">
        <f>(INT($E$25*8/$D216)-INT($E$25*(8-1)/$D216))*$C216</f>
        <v>11.0</v>
      </c>
      <c r="M216" s="42">
        <f>(INT($E$25*9/$D216)-INT($E$25*(9-1)/$D216))*$C216</f>
        <v>0.0</v>
      </c>
      <c r="N216" s="42">
        <f>(INT($E$25*10/$D216)-INT($E$25*(10-1)/$D216))*$C216</f>
        <v>0.0</v>
      </c>
    </row>
    <row r="217">
      <c r="B217" s="22" t="inlineStr">
        <is>
          <t>AIREND (компрессор)</t>
        </is>
      </c>
      <c r="C217" s="44" t="n">
        <v>8</v>
      </c>
      <c r="D217" s="43" t="n">
        <v>30000</v>
      </c>
      <c r="E217" s="42">
        <f>(INT($E$25*1/$D217)-INT($E$25*(1-1)/$D217))*$C217</f>
        <v>0.0</v>
      </c>
      <c r="F217" s="42">
        <f>(INT($E$25*2/$D217)-INT($E$25*(2-1)/$D217))*$C217</f>
        <v>0.0</v>
      </c>
      <c r="G217" s="42">
        <f>(INT($E$25*3/$D217)-INT($E$25*(3-1)/$D217))*$C217</f>
        <v>0.0</v>
      </c>
      <c r="H217" s="42">
        <f>(INT($E$25*4/$D217)-INT($E$25*(4-1)/$D217))*$C217</f>
        <v>0.0</v>
      </c>
      <c r="I217" s="42">
        <f>(INT($E$25*5/$D217)-INT($E$25*(5-1)/$D217))*$C217</f>
        <v>8.0</v>
      </c>
      <c r="J217" s="42">
        <f>(INT($E$25*6/$D217)-INT($E$25*(6-1)/$D217))*$C217</f>
        <v>0.0</v>
      </c>
      <c r="K217" s="42">
        <f>(INT($E$25*7/$D217)-INT($E$25*(7-1)/$D217))*$C217</f>
        <v>0.0</v>
      </c>
      <c r="L217" s="42">
        <f>(INT($E$25*8/$D217)-INT($E$25*(8-1)/$D217))*$C217</f>
        <v>0.0</v>
      </c>
      <c r="M217" s="42">
        <f>(INT($E$25*9/$D217)-INT($E$25*(9-1)/$D217))*$C217</f>
        <v>8.0</v>
      </c>
      <c r="N217" s="42">
        <f>(INT($E$25*10/$D217)-INT($E$25*(10-1)/$D217))*$C217</f>
        <v>0.0</v>
      </c>
    </row>
    <row r="218">
      <c r="B218" s="22" t="inlineStr">
        <is>
          <t>COUPLING (муфта)</t>
        </is>
      </c>
      <c r="C218" s="44" t="n">
        <v>8.300000000000001</v>
      </c>
      <c r="D218" s="43" t="n">
        <v>20000</v>
      </c>
      <c r="E218" s="42">
        <f>(INT($E$25*1/$D218)-INT($E$25*(1-1)/$D218))*$C218</f>
        <v>0.0</v>
      </c>
      <c r="F218" s="42">
        <f>(INT($E$25*2/$D218)-INT($E$25*(2-1)/$D218))*$C218</f>
        <v>0.0</v>
      </c>
      <c r="G218" s="42">
        <f>(INT($E$25*3/$D218)-INT($E$25*(3-1)/$D218))*$C218</f>
        <v>8.3</v>
      </c>
      <c r="H218" s="42">
        <f>(INT($E$25*4/$D218)-INT($E$25*(4-1)/$D218))*$C218</f>
        <v>0.0</v>
      </c>
      <c r="I218" s="42">
        <f>(INT($E$25*5/$D218)-INT($E$25*(5-1)/$D218))*$C218</f>
        <v>0.0</v>
      </c>
      <c r="J218" s="42">
        <f>(INT($E$25*6/$D218)-INT($E$25*(6-1)/$D218))*$C218</f>
        <v>8.3</v>
      </c>
      <c r="K218" s="42">
        <f>(INT($E$25*7/$D218)-INT($E$25*(7-1)/$D218))*$C218</f>
        <v>0.0</v>
      </c>
      <c r="L218" s="42">
        <f>(INT($E$25*8/$D218)-INT($E$25*(8-1)/$D218))*$C218</f>
        <v>0.0</v>
      </c>
      <c r="M218" s="42">
        <f>(INT($E$25*9/$D218)-INT($E$25*(9-1)/$D218))*$C218</f>
        <v>8.3</v>
      </c>
      <c r="N218" s="42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44" t="n">
        <v>3.5</v>
      </c>
      <c r="D219" s="43" t="n">
        <v>10000</v>
      </c>
      <c r="E219" s="42">
        <f>(INT($E$25*1/$D219)-INT($E$25*(1-1)/$D219))*$C219</f>
        <v>0.0</v>
      </c>
      <c r="F219" s="42">
        <f>(INT($E$25*2/$D219)-INT($E$25*(2-1)/$D219))*$C219</f>
        <v>3.5</v>
      </c>
      <c r="G219" s="42">
        <f>(INT($E$25*3/$D219)-INT($E$25*(3-1)/$D219))*$C219</f>
        <v>3.5</v>
      </c>
      <c r="H219" s="42">
        <f>(INT($E$25*4/$D219)-INT($E$25*(4-1)/$D219))*$C219</f>
        <v>0.0</v>
      </c>
      <c r="I219" s="42">
        <f>(INT($E$25*5/$D219)-INT($E$25*(5-1)/$D219))*$C219</f>
        <v>3.5</v>
      </c>
      <c r="J219" s="42">
        <f>(INT($E$25*6/$D219)-INT($E$25*(6-1)/$D219))*$C219</f>
        <v>3.5</v>
      </c>
      <c r="K219" s="42">
        <f>(INT($E$25*7/$D219)-INT($E$25*(7-1)/$D219))*$C219</f>
        <v>0.0</v>
      </c>
      <c r="L219" s="42">
        <f>(INT($E$25*8/$D219)-INT($E$25*(8-1)/$D219))*$C219</f>
        <v>3.5</v>
      </c>
      <c r="M219" s="42">
        <f>(INT($E$25*9/$D219)-INT($E$25*(9-1)/$D219))*$C219</f>
        <v>3.5</v>
      </c>
      <c r="N219" s="42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44" t="n">
        <v>8</v>
      </c>
      <c r="D220" s="43" t="n">
        <v>20000</v>
      </c>
      <c r="E220" s="42">
        <f>(INT($E$25*1/$D220)-INT($E$25*(1-1)/$D220))*$C220</f>
        <v>0.0</v>
      </c>
      <c r="F220" s="42">
        <f>(INT($E$25*2/$D220)-INT($E$25*(2-1)/$D220))*$C220</f>
        <v>0.0</v>
      </c>
      <c r="G220" s="42">
        <f>(INT($E$25*3/$D220)-INT($E$25*(3-1)/$D220))*$C220</f>
        <v>8.0</v>
      </c>
      <c r="H220" s="42">
        <f>(INT($E$25*4/$D220)-INT($E$25*(4-1)/$D220))*$C220</f>
        <v>0.0</v>
      </c>
      <c r="I220" s="42">
        <f>(INT($E$25*5/$D220)-INT($E$25*(5-1)/$D220))*$C220</f>
        <v>0.0</v>
      </c>
      <c r="J220" s="42">
        <f>(INT($E$25*6/$D220)-INT($E$25*(6-1)/$D220))*$C220</f>
        <v>8.0</v>
      </c>
      <c r="K220" s="42">
        <f>(INT($E$25*7/$D220)-INT($E$25*(7-1)/$D220))*$C220</f>
        <v>0.0</v>
      </c>
      <c r="L220" s="42">
        <f>(INT($E$25*8/$D220)-INT($E$25*(8-1)/$D220))*$C220</f>
        <v>0.0</v>
      </c>
      <c r="M220" s="42">
        <f>(INT($E$25*9/$D220)-INT($E$25*(9-1)/$D220))*$C220</f>
        <v>8.0</v>
      </c>
      <c r="N220" s="42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44" t="n">
        <v>2.8</v>
      </c>
      <c r="D221" s="43" t="n">
        <v>22000</v>
      </c>
      <c r="E221" s="42">
        <f>(INT($E$25*1/$D221)-INT($E$25*(1-1)/$D221))*$C221</f>
        <v>0.0</v>
      </c>
      <c r="F221" s="42">
        <f>(INT($E$25*2/$D221)-INT($E$25*(2-1)/$D221))*$C221</f>
        <v>0.0</v>
      </c>
      <c r="G221" s="42">
        <f>(INT($E$25*3/$D221)-INT($E$25*(3-1)/$D221))*$C221</f>
        <v>0.0</v>
      </c>
      <c r="H221" s="42">
        <f>(INT($E$25*4/$D221)-INT($E$25*(4-1)/$D221))*$C221</f>
        <v>2.8</v>
      </c>
      <c r="I221" s="42">
        <f>(INT($E$25*5/$D221)-INT($E$25*(5-1)/$D221))*$C221</f>
        <v>0.0</v>
      </c>
      <c r="J221" s="42">
        <f>(INT($E$25*6/$D221)-INT($E$25*(6-1)/$D221))*$C221</f>
        <v>0.0</v>
      </c>
      <c r="K221" s="42">
        <f>(INT($E$25*7/$D221)-INT($E$25*(7-1)/$D221))*$C221</f>
        <v>2.8</v>
      </c>
      <c r="L221" s="42">
        <f>(INT($E$25*8/$D221)-INT($E$25*(8-1)/$D221))*$C221</f>
        <v>0.0</v>
      </c>
      <c r="M221" s="42">
        <f>(INT($E$25*9/$D221)-INT($E$25*(9-1)/$D221))*$C221</f>
        <v>0.0</v>
      </c>
      <c r="N221" s="42">
        <f>(INT($E$25*10/$D221)-INT($E$25*(10-1)/$D221))*$C221</f>
        <v>2.8</v>
      </c>
    </row>
    <row r="222">
      <c r="B222" s="22" t="inlineStr">
        <is>
          <t>SILENCER (глушитель)</t>
        </is>
      </c>
      <c r="C222" s="44" t="n">
        <v>2.1</v>
      </c>
      <c r="D222" s="43" t="n">
        <v>20000</v>
      </c>
      <c r="E222" s="42">
        <f>(INT($E$25*1/$D222)-INT($E$25*(1-1)/$D222))*$C222</f>
        <v>0.0</v>
      </c>
      <c r="F222" s="42">
        <f>(INT($E$25*2/$D222)-INT($E$25*(2-1)/$D222))*$C222</f>
        <v>0.0</v>
      </c>
      <c r="G222" s="42">
        <f>(INT($E$25*3/$D222)-INT($E$25*(3-1)/$D222))*$C222</f>
        <v>2.1</v>
      </c>
      <c r="H222" s="42">
        <f>(INT($E$25*4/$D222)-INT($E$25*(4-1)/$D222))*$C222</f>
        <v>0.0</v>
      </c>
      <c r="I222" s="42">
        <f>(INT($E$25*5/$D222)-INT($E$25*(5-1)/$D222))*$C222</f>
        <v>0.0</v>
      </c>
      <c r="J222" s="42">
        <f>(INT($E$25*6/$D222)-INT($E$25*(6-1)/$D222))*$C222</f>
        <v>2.1</v>
      </c>
      <c r="K222" s="42">
        <f>(INT($E$25*7/$D222)-INT($E$25*(7-1)/$D222))*$C222</f>
        <v>0.0</v>
      </c>
      <c r="L222" s="42">
        <f>(INT($E$25*8/$D222)-INT($E$25*(8-1)/$D222))*$C222</f>
        <v>0.0</v>
      </c>
      <c r="M222" s="42">
        <f>(INT($E$25*9/$D222)-INT($E$25*(9-1)/$D222))*$C222</f>
        <v>2.1</v>
      </c>
      <c r="N222" s="42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44" t="n">
        <v>1.7</v>
      </c>
      <c r="D223" s="43" t="n">
        <v>13000</v>
      </c>
      <c r="E223" s="42">
        <f>(INT($E$25*1/$D223)-INT($E$25*(1-1)/$D223))*$C223</f>
        <v>0.0</v>
      </c>
      <c r="F223" s="42">
        <f>(INT($E$25*2/$D223)-INT($E$25*(2-1)/$D223))*$C223</f>
        <v>1.7</v>
      </c>
      <c r="G223" s="42">
        <f>(INT($E$25*3/$D223)-INT($E$25*(3-1)/$D223))*$C223</f>
        <v>0.0</v>
      </c>
      <c r="H223" s="42">
        <f>(INT($E$25*4/$D223)-INT($E$25*(4-1)/$D223))*$C223</f>
        <v>1.7</v>
      </c>
      <c r="I223" s="42">
        <f>(INT($E$25*5/$D223)-INT($E$25*(5-1)/$D223))*$C223</f>
        <v>0.0</v>
      </c>
      <c r="J223" s="42">
        <f>(INT($E$25*6/$D223)-INT($E$25*(6-1)/$D223))*$C223</f>
        <v>1.7</v>
      </c>
      <c r="K223" s="42">
        <f>(INT($E$25*7/$D223)-INT($E$25*(7-1)/$D223))*$C223</f>
        <v>0.0</v>
      </c>
      <c r="L223" s="42">
        <f>(INT($E$25*8/$D223)-INT($E$25*(8-1)/$D223))*$C223</f>
        <v>1.7</v>
      </c>
      <c r="M223" s="42">
        <f>(INT($E$25*9/$D223)-INT($E$25*(9-1)/$D223))*$C223</f>
        <v>0.0</v>
      </c>
      <c r="N223" s="42">
        <f>(INT($E$25*10/$D223)-INT($E$25*(10-1)/$D223))*$C223</f>
        <v>1.7</v>
      </c>
    </row>
    <row r="224">
      <c r="B224" s="22" t="inlineStr">
        <is>
          <t>ENG (двигатель)</t>
        </is>
      </c>
      <c r="C224" s="44" t="n">
        <v>20</v>
      </c>
      <c r="D224" s="43" t="n">
        <v>30000</v>
      </c>
      <c r="E224" s="42">
        <f>(INT($E$25*1/$D224)-INT($E$25*(1-1)/$D224))*$C224</f>
        <v>0.0</v>
      </c>
      <c r="F224" s="42">
        <f>(INT($E$25*2/$D224)-INT($E$25*(2-1)/$D224))*$C224</f>
        <v>0.0</v>
      </c>
      <c r="G224" s="42">
        <f>(INT($E$25*3/$D224)-INT($E$25*(3-1)/$D224))*$C224</f>
        <v>0.0</v>
      </c>
      <c r="H224" s="42">
        <f>(INT($E$25*4/$D224)-INT($E$25*(4-1)/$D224))*$C224</f>
        <v>0.0</v>
      </c>
      <c r="I224" s="42">
        <f>(INT($E$25*5/$D224)-INT($E$25*(5-1)/$D224))*$C224</f>
        <v>20.0</v>
      </c>
      <c r="J224" s="42">
        <f>(INT($E$25*6/$D224)-INT($E$25*(6-1)/$D224))*$C224</f>
        <v>0.0</v>
      </c>
      <c r="K224" s="42">
        <f>(INT($E$25*7/$D224)-INT($E$25*(7-1)/$D224))*$C224</f>
        <v>0.0</v>
      </c>
      <c r="L224" s="42">
        <f>(INT($E$25*8/$D224)-INT($E$25*(8-1)/$D224))*$C224</f>
        <v>0.0</v>
      </c>
      <c r="M224" s="42">
        <f>(INT($E$25*9/$D224)-INT($E$25*(9-1)/$D224))*$C224</f>
        <v>20.0</v>
      </c>
      <c r="N224" s="42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44" t="n">
        <v>1</v>
      </c>
      <c r="D225" s="43" t="n">
        <v>11000</v>
      </c>
      <c r="E225" s="42">
        <f>(INT($E$25*1/$D225)-INT($E$25*(1-1)/$D225))*$C225</f>
        <v>0.0</v>
      </c>
      <c r="F225" s="42">
        <f>(INT($E$25*2/$D225)-INT($E$25*(2-1)/$D225))*$C225</f>
        <v>1.0</v>
      </c>
      <c r="G225" s="42">
        <f>(INT($E$25*3/$D225)-INT($E$25*(3-1)/$D225))*$C225</f>
        <v>0.0</v>
      </c>
      <c r="H225" s="42">
        <f>(INT($E$25*4/$D225)-INT($E$25*(4-1)/$D225))*$C225</f>
        <v>1.0</v>
      </c>
      <c r="I225" s="42">
        <f>(INT($E$25*5/$D225)-INT($E$25*(5-1)/$D225))*$C225</f>
        <v>1.0</v>
      </c>
      <c r="J225" s="42">
        <f>(INT($E$25*6/$D225)-INT($E$25*(6-1)/$D225))*$C225</f>
        <v>0.0</v>
      </c>
      <c r="K225" s="42">
        <f>(INT($E$25*7/$D225)-INT($E$25*(7-1)/$D225))*$C225</f>
        <v>1.0</v>
      </c>
      <c r="L225" s="42">
        <f>(INT($E$25*8/$D225)-INT($E$25*(8-1)/$D225))*$C225</f>
        <v>1.0</v>
      </c>
      <c r="M225" s="42">
        <f>(INT($E$25*9/$D225)-INT($E$25*(9-1)/$D225))*$C225</f>
        <v>0.0</v>
      </c>
      <c r="N225" s="42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44" t="n">
        <v>1.1</v>
      </c>
      <c r="D226" s="43" t="n">
        <v>11000</v>
      </c>
      <c r="E226" s="42">
        <f>(INT($E$25*1/$D226)-INT($E$25*(1-1)/$D226))*$C226</f>
        <v>0.0</v>
      </c>
      <c r="F226" s="42">
        <f>(INT($E$25*2/$D226)-INT($E$25*(2-1)/$D226))*$C226</f>
        <v>1.1</v>
      </c>
      <c r="G226" s="42">
        <f>(INT($E$25*3/$D226)-INT($E$25*(3-1)/$D226))*$C226</f>
        <v>0.0</v>
      </c>
      <c r="H226" s="42">
        <f>(INT($E$25*4/$D226)-INT($E$25*(4-1)/$D226))*$C226</f>
        <v>1.1</v>
      </c>
      <c r="I226" s="42">
        <f>(INT($E$25*5/$D226)-INT($E$25*(5-1)/$D226))*$C226</f>
        <v>1.1</v>
      </c>
      <c r="J226" s="42">
        <f>(INT($E$25*6/$D226)-INT($E$25*(6-1)/$D226))*$C226</f>
        <v>0.0</v>
      </c>
      <c r="K226" s="42">
        <f>(INT($E$25*7/$D226)-INT($E$25*(7-1)/$D226))*$C226</f>
        <v>1.1</v>
      </c>
      <c r="L226" s="42">
        <f>(INT($E$25*8/$D226)-INT($E$25*(8-1)/$D226))*$C226</f>
        <v>1.1</v>
      </c>
      <c r="M226" s="42">
        <f>(INT($E$25*9/$D226)-INT($E$25*(9-1)/$D226))*$C226</f>
        <v>0.0</v>
      </c>
      <c r="N226" s="42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44" t="n">
        <v>3.8</v>
      </c>
      <c r="D227" s="43" t="n">
        <v>11900</v>
      </c>
      <c r="E227" s="42">
        <f>(INT($E$25*1/$D227)-INT($E$25*(1-1)/$D227))*$C227</f>
        <v>0.0</v>
      </c>
      <c r="F227" s="42">
        <f>(INT($E$25*2/$D227)-INT($E$25*(2-1)/$D227))*$C227</f>
        <v>3.8</v>
      </c>
      <c r="G227" s="42">
        <f>(INT($E$25*3/$D227)-INT($E$25*(3-1)/$D227))*$C227</f>
        <v>0.0</v>
      </c>
      <c r="H227" s="42">
        <f>(INT($E$25*4/$D227)-INT($E$25*(4-1)/$D227))*$C227</f>
        <v>3.8</v>
      </c>
      <c r="I227" s="42">
        <f>(INT($E$25*5/$D227)-INT($E$25*(5-1)/$D227))*$C227</f>
        <v>0.0</v>
      </c>
      <c r="J227" s="42">
        <f>(INT($E$25*6/$D227)-INT($E$25*(6-1)/$D227))*$C227</f>
        <v>3.8</v>
      </c>
      <c r="K227" s="42">
        <f>(INT($E$25*7/$D227)-INT($E$25*(7-1)/$D227))*$C227</f>
        <v>3.8</v>
      </c>
      <c r="L227" s="42">
        <f>(INT($E$25*8/$D227)-INT($E$25*(8-1)/$D227))*$C227</f>
        <v>0.0</v>
      </c>
      <c r="M227" s="42">
        <f>(INT($E$25*9/$D227)-INT($E$25*(9-1)/$D227))*$C227</f>
        <v>3.8</v>
      </c>
      <c r="N227" s="42">
        <f>(INT($E$25*10/$D227)-INT($E$25*(10-1)/$D227))*$C227</f>
        <v>0.0</v>
      </c>
    </row>
    <row r="228">
      <c r="B228" s="22" t="inlineStr">
        <is>
          <t>DRIVE SHAFT (кардан)</t>
        </is>
      </c>
      <c r="C228" s="44" t="n">
        <v>2.5</v>
      </c>
      <c r="D228" s="43" t="n">
        <v>15000</v>
      </c>
      <c r="E228" s="42">
        <f>(INT($E$25*1/$D228)-INT($E$25*(1-1)/$D228))*$C228</f>
        <v>0.0</v>
      </c>
      <c r="F228" s="42">
        <f>(INT($E$25*2/$D228)-INT($E$25*(2-1)/$D228))*$C228</f>
        <v>0.0</v>
      </c>
      <c r="G228" s="42">
        <f>(INT($E$25*3/$D228)-INT($E$25*(3-1)/$D228))*$C228</f>
        <v>2.5</v>
      </c>
      <c r="H228" s="42">
        <f>(INT($E$25*4/$D228)-INT($E$25*(4-1)/$D228))*$C228</f>
        <v>0.0</v>
      </c>
      <c r="I228" s="42">
        <f>(INT($E$25*5/$D228)-INT($E$25*(5-1)/$D228))*$C228</f>
        <v>2.5</v>
      </c>
      <c r="J228" s="42">
        <f>(INT($E$25*6/$D228)-INT($E$25*(6-1)/$D228))*$C228</f>
        <v>0.0</v>
      </c>
      <c r="K228" s="42">
        <f>(INT($E$25*7/$D228)-INT($E$25*(7-1)/$D228))*$C228</f>
        <v>2.5</v>
      </c>
      <c r="L228" s="42">
        <f>(INT($E$25*8/$D228)-INT($E$25*(8-1)/$D228))*$C228</f>
        <v>0.0</v>
      </c>
      <c r="M228" s="42">
        <f>(INT($E$25*9/$D228)-INT($E$25*(9-1)/$D228))*$C228</f>
        <v>2.5</v>
      </c>
      <c r="N228" s="42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44" t="n">
        <v>16</v>
      </c>
      <c r="D229" s="43" t="n">
        <v>18000</v>
      </c>
      <c r="E229" s="42">
        <f>(INT($E$25*1/$D229)-INT($E$25*(1-1)/$D229))*$C229</f>
        <v>0.0</v>
      </c>
      <c r="F229" s="42">
        <f>(INT($E$25*2/$D229)-INT($E$25*(2-1)/$D229))*$C229</f>
        <v>0.0</v>
      </c>
      <c r="G229" s="42">
        <f>(INT($E$25*3/$D229)-INT($E$25*(3-1)/$D229))*$C229</f>
        <v>16.0</v>
      </c>
      <c r="H229" s="42">
        <f>(INT($E$25*4/$D229)-INT($E$25*(4-1)/$D229))*$C229</f>
        <v>0.0</v>
      </c>
      <c r="I229" s="42">
        <f>(INT($E$25*5/$D229)-INT($E$25*(5-1)/$D229))*$C229</f>
        <v>0.0</v>
      </c>
      <c r="J229" s="42">
        <f>(INT($E$25*6/$D229)-INT($E$25*(6-1)/$D229))*$C229</f>
        <v>16.0</v>
      </c>
      <c r="K229" s="42">
        <f>(INT($E$25*7/$D229)-INT($E$25*(7-1)/$D229))*$C229</f>
        <v>0.0</v>
      </c>
      <c r="L229" s="42">
        <f>(INT($E$25*8/$D229)-INT($E$25*(8-1)/$D229))*$C229</f>
        <v>16.0</v>
      </c>
      <c r="M229" s="42">
        <f>(INT($E$25*9/$D229)-INT($E$25*(9-1)/$D229))*$C229</f>
        <v>0.0</v>
      </c>
      <c r="N229" s="42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44" t="n">
        <v>20</v>
      </c>
      <c r="D230" s="43" t="n">
        <v>14000</v>
      </c>
      <c r="E230" s="42">
        <f>(INT($E$25*1/$D230)-INT($E$25*(1-1)/$D230))*$C230</f>
        <v>0.0</v>
      </c>
      <c r="F230" s="42">
        <f>(INT($E$25*2/$D230)-INT($E$25*(2-1)/$D230))*$C230</f>
        <v>20.0</v>
      </c>
      <c r="G230" s="42">
        <f>(INT($E$25*3/$D230)-INT($E$25*(3-1)/$D230))*$C230</f>
        <v>0.0</v>
      </c>
      <c r="H230" s="42">
        <f>(INT($E$25*4/$D230)-INT($E$25*(4-1)/$D230))*$C230</f>
        <v>20.0</v>
      </c>
      <c r="I230" s="42">
        <f>(INT($E$25*5/$D230)-INT($E$25*(5-1)/$D230))*$C230</f>
        <v>0.0</v>
      </c>
      <c r="J230" s="42">
        <f>(INT($E$25*6/$D230)-INT($E$25*(6-1)/$D230))*$C230</f>
        <v>20.0</v>
      </c>
      <c r="K230" s="42">
        <f>(INT($E$25*7/$D230)-INT($E$25*(7-1)/$D230))*$C230</f>
        <v>0.0</v>
      </c>
      <c r="L230" s="42">
        <f>(INT($E$25*8/$D230)-INT($E$25*(8-1)/$D230))*$C230</f>
        <v>20.0</v>
      </c>
      <c r="M230" s="42">
        <f>(INT($E$25*9/$D230)-INT($E$25*(9-1)/$D230))*$C230</f>
        <v>0.0</v>
      </c>
      <c r="N230" s="42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44" t="n">
        <v>3</v>
      </c>
      <c r="D231" s="43" t="n">
        <v>12000</v>
      </c>
      <c r="E231" s="42">
        <f>(INT($E$25*1/$D231)-INT($E$25*(1-1)/$D231))*$C231</f>
        <v>0.0</v>
      </c>
      <c r="F231" s="42">
        <f>(INT($E$25*2/$D231)-INT($E$25*(2-1)/$D231))*$C231</f>
        <v>3.0</v>
      </c>
      <c r="G231" s="42">
        <f>(INT($E$25*3/$D231)-INT($E$25*(3-1)/$D231))*$C231</f>
        <v>0.0</v>
      </c>
      <c r="H231" s="42">
        <f>(INT($E$25*4/$D231)-INT($E$25*(4-1)/$D231))*$C231</f>
        <v>3.0</v>
      </c>
      <c r="I231" s="42">
        <f>(INT($E$25*5/$D231)-INT($E$25*(5-1)/$D231))*$C231</f>
        <v>0.0</v>
      </c>
      <c r="J231" s="42">
        <f>(INT($E$25*6/$D231)-INT($E$25*(6-1)/$D231))*$C231</f>
        <v>3.0</v>
      </c>
      <c r="K231" s="42">
        <f>(INT($E$25*7/$D231)-INT($E$25*(7-1)/$D231))*$C231</f>
        <v>3.0</v>
      </c>
      <c r="L231" s="42">
        <f>(INT($E$25*8/$D231)-INT($E$25*(8-1)/$D231))*$C231</f>
        <v>0.0</v>
      </c>
      <c r="M231" s="42">
        <f>(INT($E$25*9/$D231)-INT($E$25*(9-1)/$D231))*$C231</f>
        <v>3.0</v>
      </c>
      <c r="N231" s="42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44" t="n">
        <v>23</v>
      </c>
      <c r="D232" s="43" t="n">
        <v>21000</v>
      </c>
      <c r="E232" s="42">
        <f>(INT($E$25*1/$D232)-INT($E$25*(1-1)/$D232))*$C232</f>
        <v>0.0</v>
      </c>
      <c r="F232" s="42">
        <f>(INT($E$25*2/$D232)-INT($E$25*(2-1)/$D232))*$C232</f>
        <v>0.0</v>
      </c>
      <c r="G232" s="42">
        <f>(INT($E$25*3/$D232)-INT($E$25*(3-1)/$D232))*$C232</f>
        <v>23.0</v>
      </c>
      <c r="H232" s="42">
        <f>(INT($E$25*4/$D232)-INT($E$25*(4-1)/$D232))*$C232</f>
        <v>0.0</v>
      </c>
      <c r="I232" s="42">
        <f>(INT($E$25*5/$D232)-INT($E$25*(5-1)/$D232))*$C232</f>
        <v>0.0</v>
      </c>
      <c r="J232" s="42">
        <f>(INT($E$25*6/$D232)-INT($E$25*(6-1)/$D232))*$C232</f>
        <v>23.0</v>
      </c>
      <c r="K232" s="42">
        <f>(INT($E$25*7/$D232)-INT($E$25*(7-1)/$D232))*$C232</f>
        <v>0.0</v>
      </c>
      <c r="L232" s="42">
        <f>(INT($E$25*8/$D232)-INT($E$25*(8-1)/$D232))*$C232</f>
        <v>0.0</v>
      </c>
      <c r="M232" s="42">
        <f>(INT($E$25*9/$D232)-INT($E$25*(9-1)/$D232))*$C232</f>
        <v>23.0</v>
      </c>
      <c r="N232" s="42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44" t="n">
        <v>11.2</v>
      </c>
      <c r="D233" s="43" t="n">
        <v>14000</v>
      </c>
      <c r="E233" s="42">
        <f>(INT($E$25*1/$D233)-INT($E$25*(1-1)/$D233))*$C233</f>
        <v>0.0</v>
      </c>
      <c r="F233" s="42">
        <f>(INT($E$25*2/$D233)-INT($E$25*(2-1)/$D233))*$C233</f>
        <v>11.2</v>
      </c>
      <c r="G233" s="42">
        <f>(INT($E$25*3/$D233)-INT($E$25*(3-1)/$D233))*$C233</f>
        <v>0.0</v>
      </c>
      <c r="H233" s="42">
        <f>(INT($E$25*4/$D233)-INT($E$25*(4-1)/$D233))*$C233</f>
        <v>11.2</v>
      </c>
      <c r="I233" s="42">
        <f>(INT($E$25*5/$D233)-INT($E$25*(5-1)/$D233))*$C233</f>
        <v>0.0</v>
      </c>
      <c r="J233" s="42">
        <f>(INT($E$25*6/$D233)-INT($E$25*(6-1)/$D233))*$C233</f>
        <v>11.2</v>
      </c>
      <c r="K233" s="42">
        <f>(INT($E$25*7/$D233)-INT($E$25*(7-1)/$D233))*$C233</f>
        <v>0.0</v>
      </c>
      <c r="L233" s="42">
        <f>(INT($E$25*8/$D233)-INT($E$25*(8-1)/$D233))*$C233</f>
        <v>11.2</v>
      </c>
      <c r="M233" s="42">
        <f>(INT($E$25*9/$D233)-INT($E$25*(9-1)/$D233))*$C233</f>
        <v>0.0</v>
      </c>
      <c r="N233" s="42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44" t="n">
        <v>6.7</v>
      </c>
      <c r="D234" s="43" t="n">
        <v>6000</v>
      </c>
      <c r="E234" s="42">
        <f>(INT($E$25*1/$D234)-INT($E$25*(1-1)/$D234))*$C234</f>
        <v>6.7</v>
      </c>
      <c r="F234" s="42">
        <f>(INT($E$25*2/$D234)-INT($E$25*(2-1)/$D234))*$C234</f>
        <v>6.7</v>
      </c>
      <c r="G234" s="42">
        <f>(INT($E$25*3/$D234)-INT($E$25*(3-1)/$D234))*$C234</f>
        <v>6.7</v>
      </c>
      <c r="H234" s="42">
        <f>(INT($E$25*4/$D234)-INT($E$25*(4-1)/$D234))*$C234</f>
        <v>6.7</v>
      </c>
      <c r="I234" s="42">
        <f>(INT($E$25*5/$D234)-INT($E$25*(5-1)/$D234))*$C234</f>
        <v>6.7</v>
      </c>
      <c r="J234" s="42">
        <f>(INT($E$25*6/$D234)-INT($E$25*(6-1)/$D234))*$C234</f>
        <v>13.4</v>
      </c>
      <c r="K234" s="42">
        <f>(INT($E$25*7/$D234)-INT($E$25*(7-1)/$D234))*$C234</f>
        <v>6.7</v>
      </c>
      <c r="L234" s="42">
        <f>(INT($E$25*8/$D234)-INT($E$25*(8-1)/$D234))*$C234</f>
        <v>6.7</v>
      </c>
      <c r="M234" s="42">
        <f>(INT($E$25*9/$D234)-INT($E$25*(9-1)/$D234))*$C234</f>
        <v>6.7</v>
      </c>
      <c r="N234" s="42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44" t="n">
        <v>6.7</v>
      </c>
      <c r="D235" s="43" t="n">
        <v>6000</v>
      </c>
      <c r="E235" s="42">
        <f>(INT($E$25*1/$D235)-INT($E$25*(1-1)/$D235))*$C235</f>
        <v>6.7</v>
      </c>
      <c r="F235" s="42">
        <f>(INT($E$25*2/$D235)-INT($E$25*(2-1)/$D235))*$C235</f>
        <v>6.7</v>
      </c>
      <c r="G235" s="42">
        <f>(INT($E$25*3/$D235)-INT($E$25*(3-1)/$D235))*$C235</f>
        <v>6.7</v>
      </c>
      <c r="H235" s="42">
        <f>(INT($E$25*4/$D235)-INT($E$25*(4-1)/$D235))*$C235</f>
        <v>6.7</v>
      </c>
      <c r="I235" s="42">
        <f>(INT($E$25*5/$D235)-INT($E$25*(5-1)/$D235))*$C235</f>
        <v>6.7</v>
      </c>
      <c r="J235" s="42">
        <f>(INT($E$25*6/$D235)-INT($E$25*(6-1)/$D235))*$C235</f>
        <v>13.4</v>
      </c>
      <c r="K235" s="42">
        <f>(INT($E$25*7/$D235)-INT($E$25*(7-1)/$D235))*$C235</f>
        <v>6.7</v>
      </c>
      <c r="L235" s="42">
        <f>(INT($E$25*8/$D235)-INT($E$25*(8-1)/$D235))*$C235</f>
        <v>6.7</v>
      </c>
      <c r="M235" s="42">
        <f>(INT($E$25*9/$D235)-INT($E$25*(9-1)/$D235))*$C235</f>
        <v>6.7</v>
      </c>
      <c r="N235" s="42">
        <f>(INT($E$25*10/$D235)-INT($E$25*(10-1)/$D235))*$C235</f>
        <v>6.7</v>
      </c>
    </row>
    <row r="236">
      <c r="B236" s="22" t="inlineStr">
        <is>
          <t>Accumulator (Recoil Spring)</t>
        </is>
      </c>
      <c r="C236" s="44" t="n">
        <v>10.86</v>
      </c>
      <c r="D236" s="43" t="n">
        <v>12000</v>
      </c>
      <c r="E236" s="42">
        <f>(INT($E$25*1/$D236)-INT($E$25*(1-1)/$D236))*$C236</f>
        <v>0.0</v>
      </c>
      <c r="F236" s="42">
        <f>(INT($E$25*2/$D236)-INT($E$25*(2-1)/$D236))*$C236</f>
        <v>10.86</v>
      </c>
      <c r="G236" s="42">
        <f>(INT($E$25*3/$D236)-INT($E$25*(3-1)/$D236))*$C236</f>
        <v>0.0</v>
      </c>
      <c r="H236" s="42">
        <f>(INT($E$25*4/$D236)-INT($E$25*(4-1)/$D236))*$C236</f>
        <v>10.86</v>
      </c>
      <c r="I236" s="42">
        <f>(INT($E$25*5/$D236)-INT($E$25*(5-1)/$D236))*$C236</f>
        <v>0.0</v>
      </c>
      <c r="J236" s="42">
        <f>(INT($E$25*6/$D236)-INT($E$25*(6-1)/$D236))*$C236</f>
        <v>10.86</v>
      </c>
      <c r="K236" s="42">
        <f>(INT($E$25*7/$D236)-INT($E$25*(7-1)/$D236))*$C236</f>
        <v>10.86</v>
      </c>
      <c r="L236" s="42">
        <f>(INT($E$25*8/$D236)-INT($E$25*(8-1)/$D236))*$C236</f>
        <v>0.0</v>
      </c>
      <c r="M236" s="42">
        <f>(INT($E$25*9/$D236)-INT($E$25*(9-1)/$D236))*$C236</f>
        <v>10.86</v>
      </c>
      <c r="N236" s="42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44" t="n">
        <v>33.6</v>
      </c>
      <c r="D237" s="43" t="n">
        <v>21000</v>
      </c>
      <c r="E237" s="42">
        <f>(INT($E$25*1/$D237)-INT($E$25*(1-1)/$D237))*$C237</f>
        <v>0.0</v>
      </c>
      <c r="F237" s="42">
        <f>(INT($E$25*2/$D237)-INT($E$25*(2-1)/$D237))*$C237</f>
        <v>0.0</v>
      </c>
      <c r="G237" s="42">
        <f>(INT($E$25*3/$D237)-INT($E$25*(3-1)/$D237))*$C237</f>
        <v>33.6</v>
      </c>
      <c r="H237" s="42">
        <f>(INT($E$25*4/$D237)-INT($E$25*(4-1)/$D237))*$C237</f>
        <v>0.0</v>
      </c>
      <c r="I237" s="42">
        <f>(INT($E$25*5/$D237)-INT($E$25*(5-1)/$D237))*$C237</f>
        <v>0.0</v>
      </c>
      <c r="J237" s="42">
        <f>(INT($E$25*6/$D237)-INT($E$25*(6-1)/$D237))*$C237</f>
        <v>33.6</v>
      </c>
      <c r="K237" s="42">
        <f>(INT($E$25*7/$D237)-INT($E$25*(7-1)/$D237))*$C237</f>
        <v>0.0</v>
      </c>
      <c r="L237" s="42">
        <f>(INT($E$25*8/$D237)-INT($E$25*(8-1)/$D237))*$C237</f>
        <v>0.0</v>
      </c>
      <c r="M237" s="42">
        <f>(INT($E$25*9/$D237)-INT($E$25*(9-1)/$D237))*$C237</f>
        <v>33.6</v>
      </c>
      <c r="N237" s="42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44" t="n">
        <v>19.2</v>
      </c>
      <c r="D238" s="43" t="n">
        <v>15000</v>
      </c>
      <c r="E238" s="42">
        <f>(INT($E$25*1/$D238)-INT($E$25*(1-1)/$D238))*$C238</f>
        <v>0.0</v>
      </c>
      <c r="F238" s="42">
        <f>(INT($E$25*2/$D238)-INT($E$25*(2-1)/$D238))*$C238</f>
        <v>0.0</v>
      </c>
      <c r="G238" s="42">
        <f>(INT($E$25*3/$D238)-INT($E$25*(3-1)/$D238))*$C238</f>
        <v>19.2</v>
      </c>
      <c r="H238" s="42">
        <f>(INT($E$25*4/$D238)-INT($E$25*(4-1)/$D238))*$C238</f>
        <v>0.0</v>
      </c>
      <c r="I238" s="42">
        <f>(INT($E$25*5/$D238)-INT($E$25*(5-1)/$D238))*$C238</f>
        <v>19.2</v>
      </c>
      <c r="J238" s="42">
        <f>(INT($E$25*6/$D238)-INT($E$25*(6-1)/$D238))*$C238</f>
        <v>0.0</v>
      </c>
      <c r="K238" s="42">
        <f>(INT($E$25*7/$D238)-INT($E$25*(7-1)/$D238))*$C238</f>
        <v>19.2</v>
      </c>
      <c r="L238" s="42">
        <f>(INT($E$25*8/$D238)-INT($E$25*(8-1)/$D238))*$C238</f>
        <v>0.0</v>
      </c>
      <c r="M238" s="42">
        <f>(INT($E$25*9/$D238)-INT($E$25*(9-1)/$D238))*$C238</f>
        <v>19.2</v>
      </c>
      <c r="N238" s="42">
        <f>(INT($E$25*10/$D238)-INT($E$25*(10-1)/$D238))*$C238</f>
        <v>0.0</v>
      </c>
    </row>
    <row r="239">
      <c r="B239" s="22" t="inlineStr">
        <is>
          <t>TRACK GROUP (гусеница)</t>
        </is>
      </c>
      <c r="C239" s="44" t="n">
        <v>8</v>
      </c>
      <c r="D239" s="43" t="n">
        <v>15000</v>
      </c>
      <c r="E239" s="42">
        <f>(INT($E$25*1/$D239)-INT($E$25*(1-1)/$D239))*$C239</f>
        <v>0.0</v>
      </c>
      <c r="F239" s="42">
        <f>(INT($E$25*2/$D239)-INT($E$25*(2-1)/$D239))*$C239</f>
        <v>0.0</v>
      </c>
      <c r="G239" s="42">
        <f>(INT($E$25*3/$D239)-INT($E$25*(3-1)/$D239))*$C239</f>
        <v>8.0</v>
      </c>
      <c r="H239" s="42">
        <f>(INT($E$25*4/$D239)-INT($E$25*(4-1)/$D239))*$C239</f>
        <v>0.0</v>
      </c>
      <c r="I239" s="42">
        <f>(INT($E$25*5/$D239)-INT($E$25*(5-1)/$D239))*$C239</f>
        <v>8.0</v>
      </c>
      <c r="J239" s="42">
        <f>(INT($E$25*6/$D239)-INT($E$25*(6-1)/$D239))*$C239</f>
        <v>0.0</v>
      </c>
      <c r="K239" s="42">
        <f>(INT($E$25*7/$D239)-INT($E$25*(7-1)/$D239))*$C239</f>
        <v>8.0</v>
      </c>
      <c r="L239" s="42">
        <f>(INT($E$25*8/$D239)-INT($E$25*(8-1)/$D239))*$C239</f>
        <v>0.0</v>
      </c>
      <c r="M239" s="42">
        <f>(INT($E$25*9/$D239)-INT($E$25*(9-1)/$D239))*$C239</f>
        <v>8.0</v>
      </c>
      <c r="N239" s="42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44" t="n">
        <v>3</v>
      </c>
      <c r="D240" s="43" t="n">
        <v>22000</v>
      </c>
      <c r="E240" s="42">
        <f>(INT($E$25*1/$D240)-INT($E$25*(1-1)/$D240))*$C240</f>
        <v>0.0</v>
      </c>
      <c r="F240" s="42">
        <f>(INT($E$25*2/$D240)-INT($E$25*(2-1)/$D240))*$C240</f>
        <v>0.0</v>
      </c>
      <c r="G240" s="42">
        <f>(INT($E$25*3/$D240)-INT($E$25*(3-1)/$D240))*$C240</f>
        <v>0.0</v>
      </c>
      <c r="H240" s="42">
        <f>(INT($E$25*4/$D240)-INT($E$25*(4-1)/$D240))*$C240</f>
        <v>3.0</v>
      </c>
      <c r="I240" s="42">
        <f>(INT($E$25*5/$D240)-INT($E$25*(5-1)/$D240))*$C240</f>
        <v>0.0</v>
      </c>
      <c r="J240" s="42">
        <f>(INT($E$25*6/$D240)-INT($E$25*(6-1)/$D240))*$C240</f>
        <v>0.0</v>
      </c>
      <c r="K240" s="42">
        <f>(INT($E$25*7/$D240)-INT($E$25*(7-1)/$D240))*$C240</f>
        <v>3.0</v>
      </c>
      <c r="L240" s="42">
        <f>(INT($E$25*8/$D240)-INT($E$25*(8-1)/$D240))*$C240</f>
        <v>0.0</v>
      </c>
      <c r="M240" s="42">
        <f>(INT($E$25*9/$D240)-INT($E$25*(9-1)/$D240))*$C240</f>
        <v>0.0</v>
      </c>
      <c r="N240" s="42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44" t="n">
        <v>8.800000000000001</v>
      </c>
      <c r="D241" s="43" t="n">
        <v>6000</v>
      </c>
      <c r="E241" s="42">
        <f>(INT($E$25*1/$D241)-INT($E$25*(1-1)/$D241))*$C241</f>
        <v>8.8</v>
      </c>
      <c r="F241" s="42">
        <f>(INT($E$25*2/$D241)-INT($E$25*(2-1)/$D241))*$C241</f>
        <v>8.8</v>
      </c>
      <c r="G241" s="42">
        <f>(INT($E$25*3/$D241)-INT($E$25*(3-1)/$D241))*$C241</f>
        <v>8.8</v>
      </c>
      <c r="H241" s="42">
        <f>(INT($E$25*4/$D241)-INT($E$25*(4-1)/$D241))*$C241</f>
        <v>8.8</v>
      </c>
      <c r="I241" s="42">
        <f>(INT($E$25*5/$D241)-INT($E$25*(5-1)/$D241))*$C241</f>
        <v>8.8</v>
      </c>
      <c r="J241" s="42">
        <f>(INT($E$25*6/$D241)-INT($E$25*(6-1)/$D241))*$C241</f>
        <v>17.6</v>
      </c>
      <c r="K241" s="42">
        <f>(INT($E$25*7/$D241)-INT($E$25*(7-1)/$D241))*$C241</f>
        <v>8.8</v>
      </c>
      <c r="L241" s="42">
        <f>(INT($E$25*8/$D241)-INT($E$25*(8-1)/$D241))*$C241</f>
        <v>8.8</v>
      </c>
      <c r="M241" s="42">
        <f>(INT($E$25*9/$D241)-INT($E$25*(9-1)/$D241))*$C241</f>
        <v>8.8</v>
      </c>
      <c r="N241" s="42">
        <f>(INT($E$25*10/$D241)-INT($E$25*(10-1)/$D241))*$C241</f>
        <v>8.8</v>
      </c>
    </row>
    <row r="242">
      <c r="B242" s="22" t="inlineStr">
        <is>
          <t>SHIM (прокладки)</t>
        </is>
      </c>
      <c r="C242" s="44" t="n">
        <v>8.800000000000001</v>
      </c>
      <c r="D242" s="43" t="n">
        <v>6000</v>
      </c>
      <c r="E242" s="42">
        <f>(INT($E$25*1/$D242)-INT($E$25*(1-1)/$D242))*$C242</f>
        <v>8.8</v>
      </c>
      <c r="F242" s="42">
        <f>(INT($E$25*2/$D242)-INT($E$25*(2-1)/$D242))*$C242</f>
        <v>8.8</v>
      </c>
      <c r="G242" s="42">
        <f>(INT($E$25*3/$D242)-INT($E$25*(3-1)/$D242))*$C242</f>
        <v>8.8</v>
      </c>
      <c r="H242" s="42">
        <f>(INT($E$25*4/$D242)-INT($E$25*(4-1)/$D242))*$C242</f>
        <v>8.8</v>
      </c>
      <c r="I242" s="42">
        <f>(INT($E$25*5/$D242)-INT($E$25*(5-1)/$D242))*$C242</f>
        <v>8.8</v>
      </c>
      <c r="J242" s="42">
        <f>(INT($E$25*6/$D242)-INT($E$25*(6-1)/$D242))*$C242</f>
        <v>17.6</v>
      </c>
      <c r="K242" s="42">
        <f>(INT($E$25*7/$D242)-INT($E$25*(7-1)/$D242))*$C242</f>
        <v>8.8</v>
      </c>
      <c r="L242" s="42">
        <f>(INT($E$25*8/$D242)-INT($E$25*(8-1)/$D242))*$C242</f>
        <v>8.8</v>
      </c>
      <c r="M242" s="42">
        <f>(INT($E$25*9/$D242)-INT($E$25*(9-1)/$D242))*$C242</f>
        <v>8.8</v>
      </c>
      <c r="N242" s="42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44" t="n">
        <v>2.4</v>
      </c>
      <c r="D243" s="43" t="n">
        <v>6000</v>
      </c>
      <c r="E243" s="42">
        <f>(INT($E$25*1/$D243)-INT($E$25*(1-1)/$D243))*$C243</f>
        <v>2.4</v>
      </c>
      <c r="F243" s="42">
        <f>(INT($E$25*2/$D243)-INT($E$25*(2-1)/$D243))*$C243</f>
        <v>2.4</v>
      </c>
      <c r="G243" s="42">
        <f>(INT($E$25*3/$D243)-INT($E$25*(3-1)/$D243))*$C243</f>
        <v>2.4</v>
      </c>
      <c r="H243" s="42">
        <f>(INT($E$25*4/$D243)-INT($E$25*(4-1)/$D243))*$C243</f>
        <v>2.4</v>
      </c>
      <c r="I243" s="42">
        <f>(INT($E$25*5/$D243)-INT($E$25*(5-1)/$D243))*$C243</f>
        <v>2.4</v>
      </c>
      <c r="J243" s="42">
        <f>(INT($E$25*6/$D243)-INT($E$25*(6-1)/$D243))*$C243</f>
        <v>4.8</v>
      </c>
      <c r="K243" s="42">
        <f>(INT($E$25*7/$D243)-INT($E$25*(7-1)/$D243))*$C243</f>
        <v>2.4</v>
      </c>
      <c r="L243" s="42">
        <f>(INT($E$25*8/$D243)-INT($E$25*(8-1)/$D243))*$C243</f>
        <v>2.4</v>
      </c>
      <c r="M243" s="42">
        <f>(INT($E$25*9/$D243)-INT($E$25*(9-1)/$D243))*$C243</f>
        <v>2.4</v>
      </c>
      <c r="N243" s="42">
        <f>(INT($E$25*10/$D243)-INT($E$25*(10-1)/$D243))*$C243</f>
        <v>2.4</v>
      </c>
    </row>
    <row r="244">
      <c r="B244" s="22" t="inlineStr">
        <is>
          <t>SHIM, GUIDE (прокладки)</t>
        </is>
      </c>
      <c r="C244" s="44" t="n">
        <v>3.2</v>
      </c>
      <c r="D244" s="43" t="n">
        <v>6000</v>
      </c>
      <c r="E244" s="42">
        <f>(INT($E$25*1/$D244)-INT($E$25*(1-1)/$D244))*$C244</f>
        <v>3.2</v>
      </c>
      <c r="F244" s="42">
        <f>(INT($E$25*2/$D244)-INT($E$25*(2-1)/$D244))*$C244</f>
        <v>3.2</v>
      </c>
      <c r="G244" s="42">
        <f>(INT($E$25*3/$D244)-INT($E$25*(3-1)/$D244))*$C244</f>
        <v>3.2</v>
      </c>
      <c r="H244" s="42">
        <f>(INT($E$25*4/$D244)-INT($E$25*(4-1)/$D244))*$C244</f>
        <v>3.2</v>
      </c>
      <c r="I244" s="42">
        <f>(INT($E$25*5/$D244)-INT($E$25*(5-1)/$D244))*$C244</f>
        <v>3.2</v>
      </c>
      <c r="J244" s="42">
        <f>(INT($E$25*6/$D244)-INT($E$25*(6-1)/$D244))*$C244</f>
        <v>6.4</v>
      </c>
      <c r="K244" s="42">
        <f>(INT($E$25*7/$D244)-INT($E$25*(7-1)/$D244))*$C244</f>
        <v>3.2</v>
      </c>
      <c r="L244" s="42">
        <f>(INT($E$25*8/$D244)-INT($E$25*(8-1)/$D244))*$C244</f>
        <v>3.2</v>
      </c>
      <c r="M244" s="42">
        <f>(INT($E$25*9/$D244)-INT($E$25*(9-1)/$D244))*$C244</f>
        <v>3.2</v>
      </c>
      <c r="N244" s="42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44" t="n">
        <v>36</v>
      </c>
      <c r="D245" s="43" t="n">
        <v>12000</v>
      </c>
      <c r="E245" s="42">
        <f>(INT($E$25*1/$D245)-INT($E$25*(1-1)/$D245))*$C245</f>
        <v>0.0</v>
      </c>
      <c r="F245" s="42">
        <f>(INT($E$25*2/$D245)-INT($E$25*(2-1)/$D245))*$C245</f>
        <v>36.0</v>
      </c>
      <c r="G245" s="42">
        <f>(INT($E$25*3/$D245)-INT($E$25*(3-1)/$D245))*$C245</f>
        <v>0.0</v>
      </c>
      <c r="H245" s="42">
        <f>(INT($E$25*4/$D245)-INT($E$25*(4-1)/$D245))*$C245</f>
        <v>36.0</v>
      </c>
      <c r="I245" s="42">
        <f>(INT($E$25*5/$D245)-INT($E$25*(5-1)/$D245))*$C245</f>
        <v>0.0</v>
      </c>
      <c r="J245" s="42">
        <f>(INT($E$25*6/$D245)-INT($E$25*(6-1)/$D245))*$C245</f>
        <v>36.0</v>
      </c>
      <c r="K245" s="42">
        <f>(INT($E$25*7/$D245)-INT($E$25*(7-1)/$D245))*$C245</f>
        <v>36.0</v>
      </c>
      <c r="L245" s="42">
        <f>(INT($E$25*8/$D245)-INT($E$25*(8-1)/$D245))*$C245</f>
        <v>0.0</v>
      </c>
      <c r="M245" s="42">
        <f>(INT($E$25*9/$D245)-INT($E$25*(9-1)/$D245))*$C245</f>
        <v>36.0</v>
      </c>
      <c r="N245" s="42">
        <f>(INT($E$25*10/$D245)-INT($E$25*(10-1)/$D245))*$C245</f>
        <v>0.0</v>
      </c>
    </row>
    <row r="246">
      <c r="B246" s="22" t="inlineStr">
        <is>
          <t>SHEAVE W/BUSH-1 ROPE (шкив)</t>
        </is>
      </c>
      <c r="C246" s="44" t="n">
        <v>14</v>
      </c>
      <c r="D246" s="43" t="n">
        <v>15000</v>
      </c>
      <c r="E246" s="42">
        <f>(INT($E$25*1/$D246)-INT($E$25*(1-1)/$D246))*$C246</f>
        <v>0.0</v>
      </c>
      <c r="F246" s="42">
        <f>(INT($E$25*2/$D246)-INT($E$25*(2-1)/$D246))*$C246</f>
        <v>0.0</v>
      </c>
      <c r="G246" s="42">
        <f>(INT($E$25*3/$D246)-INT($E$25*(3-1)/$D246))*$C246</f>
        <v>14.0</v>
      </c>
      <c r="H246" s="42">
        <f>(INT($E$25*4/$D246)-INT($E$25*(4-1)/$D246))*$C246</f>
        <v>0.0</v>
      </c>
      <c r="I246" s="42">
        <f>(INT($E$25*5/$D246)-INT($E$25*(5-1)/$D246))*$C246</f>
        <v>14.0</v>
      </c>
      <c r="J246" s="42">
        <f>(INT($E$25*6/$D246)-INT($E$25*(6-1)/$D246))*$C246</f>
        <v>0.0</v>
      </c>
      <c r="K246" s="42">
        <f>(INT($E$25*7/$D246)-INT($E$25*(7-1)/$D246))*$C246</f>
        <v>14.0</v>
      </c>
      <c r="L246" s="42">
        <f>(INT($E$25*8/$D246)-INT($E$25*(8-1)/$D246))*$C246</f>
        <v>0.0</v>
      </c>
      <c r="M246" s="42">
        <f>(INT($E$25*9/$D246)-INT($E$25*(9-1)/$D246))*$C246</f>
        <v>14.0</v>
      </c>
      <c r="N246" s="42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44" t="n">
        <v>2.1</v>
      </c>
      <c r="D247" s="43" t="n">
        <v>12000</v>
      </c>
      <c r="E247" s="42">
        <f>(INT($E$25*1/$D247)-INT($E$25*(1-1)/$D247))*$C247</f>
        <v>0.0</v>
      </c>
      <c r="F247" s="42">
        <f>(INT($E$25*2/$D247)-INT($E$25*(2-1)/$D247))*$C247</f>
        <v>2.1</v>
      </c>
      <c r="G247" s="42">
        <f>(INT($E$25*3/$D247)-INT($E$25*(3-1)/$D247))*$C247</f>
        <v>0.0</v>
      </c>
      <c r="H247" s="42">
        <f>(INT($E$25*4/$D247)-INT($E$25*(4-1)/$D247))*$C247</f>
        <v>2.1</v>
      </c>
      <c r="I247" s="42">
        <f>(INT($E$25*5/$D247)-INT($E$25*(5-1)/$D247))*$C247</f>
        <v>0.0</v>
      </c>
      <c r="J247" s="42">
        <f>(INT($E$25*6/$D247)-INT($E$25*(6-1)/$D247))*$C247</f>
        <v>2.1</v>
      </c>
      <c r="K247" s="42">
        <f>(INT($E$25*7/$D247)-INT($E$25*(7-1)/$D247))*$C247</f>
        <v>2.1</v>
      </c>
      <c r="L247" s="42">
        <f>(INT($E$25*8/$D247)-INT($E$25*(8-1)/$D247))*$C247</f>
        <v>0.0</v>
      </c>
      <c r="M247" s="42">
        <f>(INT($E$25*9/$D247)-INT($E$25*(9-1)/$D247))*$C247</f>
        <v>2.1</v>
      </c>
      <c r="N247" s="42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44" t="n">
        <v>1.5</v>
      </c>
      <c r="D248" s="43" t="n">
        <v>8000</v>
      </c>
      <c r="E248" s="42">
        <f>(INT($E$25*1/$D248)-INT($E$25*(1-1)/$D248))*$C248</f>
        <v>0.0</v>
      </c>
      <c r="F248" s="42">
        <f>(INT($E$25*2/$D248)-INT($E$25*(2-1)/$D248))*$C248</f>
        <v>1.5</v>
      </c>
      <c r="G248" s="42">
        <f>(INT($E$25*3/$D248)-INT($E$25*(3-1)/$D248))*$C248</f>
        <v>1.5</v>
      </c>
      <c r="H248" s="42">
        <f>(INT($E$25*4/$D248)-INT($E$25*(4-1)/$D248))*$C248</f>
        <v>1.5</v>
      </c>
      <c r="I248" s="42">
        <f>(INT($E$25*5/$D248)-INT($E$25*(5-1)/$D248))*$C248</f>
        <v>1.5</v>
      </c>
      <c r="J248" s="42">
        <f>(INT($E$25*6/$D248)-INT($E$25*(6-1)/$D248))*$C248</f>
        <v>1.5</v>
      </c>
      <c r="K248" s="42">
        <f>(INT($E$25*7/$D248)-INT($E$25*(7-1)/$D248))*$C248</f>
        <v>1.5</v>
      </c>
      <c r="L248" s="42">
        <f>(INT($E$25*8/$D248)-INT($E$25*(8-1)/$D248))*$C248</f>
        <v>1.5</v>
      </c>
      <c r="M248" s="42">
        <f>(INT($E$25*9/$D248)-INT($E$25*(9-1)/$D248))*$C248</f>
        <v>0.0</v>
      </c>
      <c r="N248" s="42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44" t="n">
        <v>36</v>
      </c>
      <c r="D249" s="43" t="n">
        <v>15000</v>
      </c>
      <c r="E249" s="42">
        <f>(INT($E$25*1/$D249)-INT($E$25*(1-1)/$D249))*$C249</f>
        <v>0.0</v>
      </c>
      <c r="F249" s="42">
        <f>(INT($E$25*2/$D249)-INT($E$25*(2-1)/$D249))*$C249</f>
        <v>0.0</v>
      </c>
      <c r="G249" s="42">
        <f>(INT($E$25*3/$D249)-INT($E$25*(3-1)/$D249))*$C249</f>
        <v>36.0</v>
      </c>
      <c r="H249" s="42">
        <f>(INT($E$25*4/$D249)-INT($E$25*(4-1)/$D249))*$C249</f>
        <v>0.0</v>
      </c>
      <c r="I249" s="42">
        <f>(INT($E$25*5/$D249)-INT($E$25*(5-1)/$D249))*$C249</f>
        <v>36.0</v>
      </c>
      <c r="J249" s="42">
        <f>(INT($E$25*6/$D249)-INT($E$25*(6-1)/$D249))*$C249</f>
        <v>0.0</v>
      </c>
      <c r="K249" s="42">
        <f>(INT($E$25*7/$D249)-INT($E$25*(7-1)/$D249))*$C249</f>
        <v>36.0</v>
      </c>
      <c r="L249" s="42">
        <f>(INT($E$25*8/$D249)-INT($E$25*(8-1)/$D249))*$C249</f>
        <v>0.0</v>
      </c>
      <c r="M249" s="42">
        <f>(INT($E$25*9/$D249)-INT($E$25*(9-1)/$D249))*$C249</f>
        <v>36.0</v>
      </c>
      <c r="N249" s="42">
        <f>(INT($E$25*10/$D249)-INT($E$25*(10-1)/$D249))*$C249</f>
        <v>0.0</v>
      </c>
    </row>
    <row r="250">
      <c r="B250" s="22" t="inlineStr">
        <is>
          <t>Valve,solenoid (соленоид)</t>
        </is>
      </c>
      <c r="C250" s="44" t="n">
        <v>30</v>
      </c>
      <c r="D250" s="43" t="n">
        <v>15000</v>
      </c>
      <c r="E250" s="42">
        <f>(INT($E$25*1/$D250)-INT($E$25*(1-1)/$D250))*$C250</f>
        <v>0.0</v>
      </c>
      <c r="F250" s="42">
        <f>(INT($E$25*2/$D250)-INT($E$25*(2-1)/$D250))*$C250</f>
        <v>0.0</v>
      </c>
      <c r="G250" s="42">
        <f>(INT($E$25*3/$D250)-INT($E$25*(3-1)/$D250))*$C250</f>
        <v>30.0</v>
      </c>
      <c r="H250" s="42">
        <f>(INT($E$25*4/$D250)-INT($E$25*(4-1)/$D250))*$C250</f>
        <v>0.0</v>
      </c>
      <c r="I250" s="42">
        <f>(INT($E$25*5/$D250)-INT($E$25*(5-1)/$D250))*$C250</f>
        <v>30.0</v>
      </c>
      <c r="J250" s="42">
        <f>(INT($E$25*6/$D250)-INT($E$25*(6-1)/$D250))*$C250</f>
        <v>0.0</v>
      </c>
      <c r="K250" s="42">
        <f>(INT($E$25*7/$D250)-INT($E$25*(7-1)/$D250))*$C250</f>
        <v>30.0</v>
      </c>
      <c r="L250" s="42">
        <f>(INT($E$25*8/$D250)-INT($E$25*(8-1)/$D250))*$C250</f>
        <v>0.0</v>
      </c>
      <c r="M250" s="42">
        <f>(INT($E$25*9/$D250)-INT($E$25*(9-1)/$D250))*$C250</f>
        <v>30.0</v>
      </c>
      <c r="N250" s="42">
        <f>(INT($E$25*10/$D250)-INT($E$25*(10-1)/$D250))*$C250</f>
        <v>0.0</v>
      </c>
    </row>
    <row r="251">
      <c r="B251" s="45" t="inlineStr">
        <is>
          <t>ИТОГО</t>
        </is>
      </c>
      <c r="E251" s="42">
        <f>SUM(E192:E250)</f>
        <v>36.60000000000001</v>
      </c>
      <c r="F251" s="42">
        <f>SUM(F192:F250)</f>
        <v>192.66</v>
      </c>
      <c r="G251" s="42">
        <f>SUM(G192:G250)</f>
        <v>330.45</v>
      </c>
      <c r="H251" s="42">
        <f>SUM(H192:H250)</f>
        <v>188.56</v>
      </c>
      <c r="I251" s="42">
        <f>SUM(I192:I250)</f>
        <v>267.75</v>
      </c>
      <c r="J251" s="42">
        <f>SUM(J192:J250)</f>
        <v>319.96000000000004</v>
      </c>
      <c r="K251" s="42">
        <f>SUM(K192:K250)</f>
        <v>300.71</v>
      </c>
      <c r="L251" s="42">
        <f>SUM(L192:L250)</f>
        <v>155.4</v>
      </c>
      <c r="M251" s="42">
        <f>SUM(M192:M250)</f>
        <v>403.40999999999997</v>
      </c>
      <c r="N251" s="42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4" t="inlineStr">
        <is>
          <t>шт./тыс.пог.м</t>
        </is>
      </c>
      <c r="D255" s="46" t="n">
        <v>0</v>
      </c>
      <c r="E255" s="44" t="n">
        <v>0</v>
      </c>
    </row>
    <row r="256">
      <c r="B256" s="22" t="inlineStr">
        <is>
          <t>Штанги буровые / адаптеры</t>
        </is>
      </c>
      <c r="C256" s="24" t="inlineStr">
        <is>
          <t>шт./тыс.пог.м</t>
        </is>
      </c>
      <c r="D256" s="46" t="n">
        <v>0</v>
      </c>
      <c r="E256" s="44" t="n">
        <v>0</v>
      </c>
    </row>
    <row r="257">
      <c r="B257" s="22" t="inlineStr">
        <is>
          <t>Прочие расходники</t>
        </is>
      </c>
      <c r="C257" s="24" t="inlineStr">
        <is>
          <t>руб/пог.м</t>
        </is>
      </c>
      <c r="D257" s="44" t="n">
        <v>0</v>
      </c>
    </row>
    <row r="259">
      <c r="B259" s="47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5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37" t="str">
        <f>'Ввод данных'!H7</f>
        <v>HIFO 75D
(аналог DM75)</v>
      </c>
    </row>
    <row r="5">
      <c r="B5" s="9" t="inlineStr">
        <is>
          <t>Валюта затрат ТОиР:</t>
        </is>
      </c>
      <c r="D5" s="38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E40</f>
        <v>636.3723333333335</v>
      </c>
      <c r="F8" s="40">
        <f>F40</f>
        <v>636.3723333333335</v>
      </c>
      <c r="G8" s="40">
        <f>G40</f>
        <v>636.3723333333335</v>
      </c>
      <c r="H8" s="40">
        <f>H40</f>
        <v>636.3723333333335</v>
      </c>
      <c r="I8" s="40">
        <f>I40</f>
        <v>636.3723333333335</v>
      </c>
      <c r="J8" s="40">
        <f>J40</f>
        <v>636.3723333333335</v>
      </c>
      <c r="K8" s="40">
        <f>K40</f>
        <v>636.3723333333335</v>
      </c>
      <c r="L8" s="40">
        <f>L40</f>
        <v>636.3723333333335</v>
      </c>
      <c r="M8" s="40">
        <f>M40</f>
        <v>636.3723333333335</v>
      </c>
      <c r="N8" s="40">
        <f>N40</f>
        <v>636.3723333333335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85</v>
      </c>
      <c r="F9" s="32" t="n">
        <v>315.66</v>
      </c>
      <c r="G9" s="32" t="n">
        <v>423.65</v>
      </c>
      <c r="H9" s="32" t="n">
        <v>333.06</v>
      </c>
      <c r="I9" s="32" t="n">
        <v>283.55</v>
      </c>
      <c r="J9" s="32" t="n">
        <v>510.36</v>
      </c>
      <c r="K9" s="32" t="n">
        <v>398.41</v>
      </c>
      <c r="L9" s="32" t="n">
        <v>274.9</v>
      </c>
      <c r="M9" s="32" t="n">
        <v>438.21</v>
      </c>
      <c r="N9" s="32" t="n">
        <v>436.2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('Параметры'!C27-E8-E9)/'Параметры'!C28*20/60</f>
        <v>223.29521296296295</v>
      </c>
      <c r="F10" s="41">
        <f>('Параметры'!C27-F8-F9)/'Параметры'!C28*20/60</f>
        <v>216.88799074074075</v>
      </c>
      <c r="G10" s="41">
        <f>('Параметры'!C27-G8-G9)/'Параметры'!C28*20/60</f>
        <v>213.88826851851852</v>
      </c>
      <c r="H10" s="41">
        <f>('Параметры'!C27-H8-H9)/'Параметры'!C28*20/60</f>
        <v>216.4046574074074</v>
      </c>
      <c r="I10" s="41">
        <f>('Параметры'!C27-I8-I9)/'Параметры'!C28*20/60</f>
        <v>217.77993518518514</v>
      </c>
      <c r="J10" s="41">
        <f>('Параметры'!C27-J8-J9)/'Параметры'!C28*20/60</f>
        <v>211.47965740740742</v>
      </c>
      <c r="K10" s="41">
        <f>('Параметры'!C27-K8-K9)/'Параметры'!C28*20/60</f>
        <v>214.5893796296296</v>
      </c>
      <c r="L10" s="41">
        <f>('Параметры'!C27-L8-L9)/'Параметры'!C28*20/60</f>
        <v>218.02021296296297</v>
      </c>
      <c r="M10" s="41">
        <f>('Параметры'!C27-M8-M9)/'Параметры'!C28*20/60</f>
        <v>213.48382407407405</v>
      </c>
      <c r="N10" s="41">
        <f>('Параметры'!C27-N8-N9)/'Параметры'!C28*20/60</f>
        <v>213.5396574074074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0.8932</v>
      </c>
      <c r="F11" s="33" t="n">
        <v>0.867</v>
      </c>
      <c r="G11" s="33" t="n">
        <v>0.8536</v>
      </c>
      <c r="H11" s="33" t="n">
        <v>0.8651</v>
      </c>
      <c r="I11" s="33" t="n">
        <v>0.8702</v>
      </c>
      <c r="J11" s="33" t="n">
        <v>0.8443000000000001</v>
      </c>
      <c r="K11" s="33" t="n">
        <v>0.8584000000000001</v>
      </c>
      <c r="L11" s="33" t="n">
        <v>0.8706</v>
      </c>
      <c r="M11" s="33" t="n">
        <v>0.8529</v>
      </c>
      <c r="N11" s="33" t="n">
        <v>0.8527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E85</f>
        <v>136.07378843333333</v>
      </c>
      <c r="F12" s="42">
        <f>F85</f>
        <v>136.07378843333333</v>
      </c>
      <c r="G12" s="42">
        <f>G85</f>
        <v>136.07378843333333</v>
      </c>
      <c r="H12" s="42">
        <f>H85</f>
        <v>136.07378843333333</v>
      </c>
      <c r="I12" s="42">
        <f>I85</f>
        <v>136.07378843333333</v>
      </c>
      <c r="J12" s="42">
        <f>J85</f>
        <v>136.07378843333333</v>
      </c>
      <c r="K12" s="42">
        <f>K85</f>
        <v>136.07378843333333</v>
      </c>
      <c r="L12" s="42">
        <f>L85</f>
        <v>136.07378843333333</v>
      </c>
      <c r="M12" s="42">
        <f>M85</f>
        <v>136.07378843333333</v>
      </c>
      <c r="N12" s="42">
        <f>N85</f>
        <v>136.07378843333333</v>
      </c>
    </row>
    <row r="13">
      <c r="B13" s="39" t="inlineStr">
        <is>
          <t>Затраты на ЗЧ текущих ремонтов (по ресурсу)</t>
        </is>
      </c>
      <c r="C13" s="24" t="inlineStr">
        <is>
          <t>тыс.вал/г</t>
        </is>
      </c>
      <c r="E13" s="42">
        <f>E105</f>
        <v>4.506819999999999</v>
      </c>
      <c r="F13" s="42">
        <f>F105</f>
        <v>60.109840000000005</v>
      </c>
      <c r="G13" s="42">
        <f>G105</f>
        <v>145.1624</v>
      </c>
      <c r="H13" s="42">
        <f>H105</f>
        <v>60.109840000000005</v>
      </c>
      <c r="I13" s="42">
        <f>I105</f>
        <v>144.82518</v>
      </c>
      <c r="J13" s="42">
        <f>J105</f>
        <v>67.22701</v>
      </c>
      <c r="K13" s="42">
        <f>K105</f>
        <v>145.21432</v>
      </c>
      <c r="L13" s="42">
        <f>L105</f>
        <v>60.057919999999996</v>
      </c>
      <c r="M13" s="42">
        <f>M105</f>
        <v>111.9831</v>
      </c>
      <c r="N13" s="42">
        <f>N105</f>
        <v>105.58931</v>
      </c>
    </row>
    <row r="14">
      <c r="B14" s="39" t="inlineStr">
        <is>
          <t>Затраты на ЗЧ капремонтов (по ресурсу)</t>
        </is>
      </c>
      <c r="C14" s="24" t="inlineStr">
        <is>
          <t>тыс.вал/г</t>
        </is>
      </c>
      <c r="E14" s="42">
        <f>E188</f>
        <v>7.382379999999999</v>
      </c>
      <c r="F14" s="42">
        <f>F188</f>
        <v>204.26495</v>
      </c>
      <c r="G14" s="42">
        <f>G188</f>
        <v>438.81584</v>
      </c>
      <c r="H14" s="42">
        <f>H188</f>
        <v>434.86339000000004</v>
      </c>
      <c r="I14" s="42">
        <f>I188</f>
        <v>610.36746</v>
      </c>
      <c r="J14" s="42">
        <f>J188</f>
        <v>366.36175000000003</v>
      </c>
      <c r="K14" s="42">
        <f>K188</f>
        <v>590.25823</v>
      </c>
      <c r="L14" s="42">
        <f>L188</f>
        <v>224.66392</v>
      </c>
      <c r="M14" s="42">
        <f>M188</f>
        <v>774.55654</v>
      </c>
      <c r="N14" s="42">
        <f>N188</f>
        <v>283.30237000000005</v>
      </c>
    </row>
    <row r="15">
      <c r="B15" s="39" t="inlineStr">
        <is>
          <t>Трудозатраты ТО (авто)</t>
        </is>
      </c>
      <c r="C15" s="24" t="inlineStr">
        <is>
          <t>ч-час/г</t>
        </is>
      </c>
      <c r="E15" s="40">
        <f>E47</f>
        <v>636.3723333333335</v>
      </c>
      <c r="F15" s="40">
        <f>F47</f>
        <v>636.3723333333335</v>
      </c>
      <c r="G15" s="40">
        <f>G47</f>
        <v>636.3723333333335</v>
      </c>
      <c r="H15" s="40">
        <f>H47</f>
        <v>636.3723333333335</v>
      </c>
      <c r="I15" s="40">
        <f>I47</f>
        <v>636.3723333333335</v>
      </c>
      <c r="J15" s="40">
        <f>J47</f>
        <v>636.3723333333335</v>
      </c>
      <c r="K15" s="40">
        <f>K47</f>
        <v>636.3723333333335</v>
      </c>
      <c r="L15" s="40">
        <f>L47</f>
        <v>636.3723333333335</v>
      </c>
      <c r="M15" s="40">
        <f>M47</f>
        <v>636.3723333333335</v>
      </c>
      <c r="N15" s="40">
        <f>N47</f>
        <v>636.3723333333335</v>
      </c>
    </row>
    <row r="16">
      <c r="B16" s="39" t="inlineStr">
        <is>
          <t>Трудозатраты текущих ремонтов (авто)</t>
        </is>
      </c>
      <c r="C16" s="24" t="inlineStr">
        <is>
          <t>ч-час/г</t>
        </is>
      </c>
      <c r="E16" s="40">
        <f>E125</f>
        <v>48.4</v>
      </c>
      <c r="F16" s="40">
        <f>F125</f>
        <v>174.3</v>
      </c>
      <c r="G16" s="40">
        <f>G125</f>
        <v>228.3</v>
      </c>
      <c r="H16" s="40">
        <f>H125</f>
        <v>174.3</v>
      </c>
      <c r="I16" s="40">
        <f>I125</f>
        <v>220.4</v>
      </c>
      <c r="J16" s="40">
        <f>J125</f>
        <v>255.8</v>
      </c>
      <c r="K16" s="40">
        <f>K125</f>
        <v>226.3</v>
      </c>
      <c r="L16" s="40">
        <f>L125</f>
        <v>176.3</v>
      </c>
      <c r="M16" s="40">
        <f>M125</f>
        <v>214.4</v>
      </c>
      <c r="N16" s="40">
        <f>N125</f>
        <v>365.3</v>
      </c>
    </row>
    <row r="17">
      <c r="B17" s="39" t="inlineStr">
        <is>
          <t>Трудозатраты капремонтов (авто)</t>
        </is>
      </c>
      <c r="C17" s="24" t="inlineStr">
        <is>
          <t>ч-час/г</t>
        </is>
      </c>
      <c r="E17" s="40">
        <f>E251</f>
        <v>36.60000000000001</v>
      </c>
      <c r="F17" s="40">
        <f>F251</f>
        <v>192.66</v>
      </c>
      <c r="G17" s="40">
        <f>G251</f>
        <v>330.45</v>
      </c>
      <c r="H17" s="40">
        <f>H251</f>
        <v>188.56</v>
      </c>
      <c r="I17" s="40">
        <f>I251</f>
        <v>267.75</v>
      </c>
      <c r="J17" s="40">
        <f>J251</f>
        <v>319.96000000000004</v>
      </c>
      <c r="K17" s="40">
        <f>K251</f>
        <v>300.71</v>
      </c>
      <c r="L17" s="40">
        <f>L251</f>
        <v>155.4</v>
      </c>
      <c r="M17" s="40">
        <f>M251</f>
        <v>403.40999999999997</v>
      </c>
      <c r="N17" s="40">
        <f>N251</f>
        <v>102.4</v>
      </c>
    </row>
    <row r="18">
      <c r="B18" s="39" t="inlineStr">
        <is>
          <t>Сервис (трудозатраты ТО+ТР+КР)</t>
        </is>
      </c>
      <c r="C18" s="24" t="inlineStr">
        <is>
          <t>тыс.вал/г</t>
        </is>
      </c>
      <c r="E18" s="42">
        <f>(E15+E16+E17)*$E$23/1000</f>
        <v>41.76292665221791</v>
      </c>
      <c r="F18" s="42">
        <f>(F15+F16+F17)*$E$23/1000</f>
        <v>58.08663946283677</v>
      </c>
      <c r="G18" s="42">
        <f>(G15+G16+G17)*$E$23/1000</f>
        <v>69.19007569474411</v>
      </c>
      <c r="H18" s="42">
        <f>(H15+H16+H17)*$E$23/1000</f>
        <v>57.84927521782494</v>
      </c>
      <c r="I18" s="42">
        <f>(I15+I16+I17)*$E$23/1000</f>
        <v>65.10277918307688</v>
      </c>
      <c r="J18" s="42">
        <f>(J15+J16+J17)*$E$23/1000</f>
        <v>70.17484784295176</v>
      </c>
      <c r="K18" s="42">
        <f>(K15+K16+K17)*$E$23/1000</f>
        <v>67.35252907604273</v>
      </c>
      <c r="L18" s="42">
        <f>(L15+L16+L17)*$E$23/1000</f>
        <v>56.04530695573498</v>
      </c>
      <c r="M18" s="42">
        <f>(M15+M16+M17)*$E$23/1000</f>
        <v>72.60927869728047</v>
      </c>
      <c r="N18" s="42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4" t="inlineStr">
        <is>
          <t>коэф.</t>
        </is>
      </c>
      <c r="E19" s="27" t="n">
        <v>0.8166</v>
      </c>
    </row>
    <row r="20">
      <c r="B20" s="39" t="inlineStr">
        <is>
          <t>ИТОГО ТОиР → «Данные по годам»</t>
        </is>
      </c>
      <c r="C20" s="24" t="inlineStr">
        <is>
          <t>тыс.вал/г</t>
        </is>
      </c>
      <c r="E20" s="42">
        <f>(E12+E13+E14+E18)*$E$19</f>
        <v>154.93018225886115</v>
      </c>
      <c r="F20" s="42">
        <f>(F12+F13+F14+F18)*$E$19</f>
        <v>374.43985893401253</v>
      </c>
      <c r="G20" s="42">
        <f>(G12+G13+G14+G18)*$E$19</f>
        <v>644.4951022309881</v>
      </c>
      <c r="H20" s="42">
        <f>(H12+H13+H14+H18)*$E$19</f>
        <v>562.5527133955359</v>
      </c>
      <c r="I20" s="42">
        <f>(I12+I13+I14+I18)*$E$19</f>
        <v>780.9710949395607</v>
      </c>
      <c r="J20" s="42">
        <f>(J12+J13+J14+J18)*$E$19</f>
        <v>522.4912177992144</v>
      </c>
      <c r="K20" s="42">
        <f>(K12+K13+K14+K18)*$E$19</f>
        <v>766.7048152081566</v>
      </c>
      <c r="L20" s="42">
        <f>(L12+L13+L14+L18)*$E$19</f>
        <v>389.38830783871316</v>
      </c>
      <c r="M20" s="42">
        <f>(M12+M13+M14+M18)*$E$19</f>
        <v>894.3588626428592</v>
      </c>
      <c r="N20" s="42">
        <f>(N12+N13+N14+N18)*$E$19</f>
        <v>480.88293659169534</v>
      </c>
    </row>
    <row r="21">
      <c r="B21" s="22" t="inlineStr">
        <is>
          <t>Удельный расход ДТ / энергии</t>
        </is>
      </c>
      <c r="C21" s="24" t="inlineStr">
        <is>
          <t>кг(кВт)/час</t>
        </is>
      </c>
      <c r="E21" s="34" t="n">
        <v>93.5</v>
      </c>
      <c r="F21" s="34" t="n">
        <v>93.5</v>
      </c>
      <c r="G21" s="34" t="n">
        <v>93.5</v>
      </c>
      <c r="H21" s="34" t="n">
        <v>93.5</v>
      </c>
      <c r="I21" s="34" t="n">
        <v>93.5</v>
      </c>
      <c r="J21" s="34" t="n">
        <v>93.5</v>
      </c>
      <c r="K21" s="34" t="n">
        <v>93.5</v>
      </c>
      <c r="L21" s="34" t="n">
        <v>93.5</v>
      </c>
      <c r="M21" s="34" t="n">
        <v>93.5</v>
      </c>
      <c r="N21" s="34" t="n">
        <v>93.5</v>
      </c>
    </row>
    <row r="23">
      <c r="B23" s="22" t="inlineStr">
        <is>
          <t>Ставка сервиса</t>
        </is>
      </c>
      <c r="C23" s="24" t="inlineStr">
        <is>
          <t>вал/ч·час</t>
        </is>
      </c>
      <c r="E23" s="27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2" t="n">
        <v>7000</v>
      </c>
      <c r="F25" s="32" t="n">
        <v>7000</v>
      </c>
      <c r="G25" s="32" t="n">
        <v>7000</v>
      </c>
      <c r="H25" s="32" t="n">
        <v>7000</v>
      </c>
      <c r="I25" s="32" t="n">
        <v>7000</v>
      </c>
      <c r="J25" s="32" t="n">
        <v>7000</v>
      </c>
      <c r="K25" s="32" t="n">
        <v>7000</v>
      </c>
      <c r="L25" s="32" t="n">
        <v>7000</v>
      </c>
      <c r="M25" s="32" t="n">
        <v>7000</v>
      </c>
      <c r="N25" s="32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3" t="n">
        <v>250</v>
      </c>
      <c r="D27" s="44" t="n">
        <v>10.9</v>
      </c>
      <c r="E27" s="43" t="n">
        <v>1</v>
      </c>
    </row>
    <row r="28">
      <c r="B28" s="22" t="inlineStr">
        <is>
          <t>ТО-2</t>
        </is>
      </c>
      <c r="C28" s="43" t="n">
        <v>500</v>
      </c>
      <c r="D28" s="44" t="n">
        <v>13.5</v>
      </c>
      <c r="E28" s="43" t="n">
        <v>1</v>
      </c>
    </row>
    <row r="29">
      <c r="B29" s="22" t="inlineStr">
        <is>
          <t>ТО-3</t>
        </is>
      </c>
      <c r="C29" s="43" t="n">
        <v>1000</v>
      </c>
      <c r="D29" s="44" t="n">
        <v>12.43</v>
      </c>
      <c r="E29" s="43" t="n">
        <v>1</v>
      </c>
    </row>
    <row r="30">
      <c r="B30" s="22" t="inlineStr">
        <is>
          <t>ТО-4</t>
        </is>
      </c>
      <c r="C30" s="43" t="n">
        <v>2000</v>
      </c>
      <c r="D30" s="44" t="n">
        <v>5.67</v>
      </c>
      <c r="E30" s="43" t="n">
        <v>1</v>
      </c>
    </row>
    <row r="31">
      <c r="B31" s="22" t="inlineStr">
        <is>
          <t>ТО-5</t>
        </is>
      </c>
      <c r="C31" s="43" t="n">
        <v>3000</v>
      </c>
      <c r="D31" s="44" t="n">
        <v>10.06</v>
      </c>
      <c r="E31" s="43" t="n">
        <v>1</v>
      </c>
    </row>
    <row r="32">
      <c r="B32" s="22" t="inlineStr">
        <is>
          <t>ТО-6</t>
        </is>
      </c>
      <c r="C32" s="43" t="n">
        <v>5000</v>
      </c>
      <c r="D32" s="44" t="n">
        <v>8.460000000000001</v>
      </c>
      <c r="E32" s="43" t="n">
        <v>1</v>
      </c>
    </row>
    <row r="34">
      <c r="B34" s="39" t="inlineStr">
        <is>
          <t>ТО-1: простои, ч/год</t>
        </is>
      </c>
      <c r="C34" s="24" t="inlineStr">
        <is>
          <t>ч</t>
        </is>
      </c>
      <c r="E34" s="42">
        <f>E$25/$C27*$D27</f>
        <v>305.2</v>
      </c>
      <c r="F34" s="42">
        <f>F$25/$C27*$D27</f>
        <v>305.2</v>
      </c>
      <c r="G34" s="42">
        <f>G$25/$C27*$D27</f>
        <v>305.2</v>
      </c>
      <c r="H34" s="42">
        <f>H$25/$C27*$D27</f>
        <v>305.2</v>
      </c>
      <c r="I34" s="42">
        <f>I$25/$C27*$D27</f>
        <v>305.2</v>
      </c>
      <c r="J34" s="42">
        <f>J$25/$C27*$D27</f>
        <v>305.2</v>
      </c>
      <c r="K34" s="42">
        <f>K$25/$C27*$D27</f>
        <v>305.2</v>
      </c>
      <c r="L34" s="42">
        <f>L$25/$C27*$D27</f>
        <v>305.2</v>
      </c>
      <c r="M34" s="42">
        <f>M$25/$C27*$D27</f>
        <v>305.2</v>
      </c>
      <c r="N34" s="42">
        <f>N$25/$C27*$D27</f>
        <v>305.2</v>
      </c>
    </row>
    <row r="35">
      <c r="B35" s="39" t="inlineStr">
        <is>
          <t>ТО-2: простои, ч/год</t>
        </is>
      </c>
      <c r="C35" s="24" t="inlineStr">
        <is>
          <t>ч</t>
        </is>
      </c>
      <c r="E35" s="42">
        <f>E$25/$C28*$D28</f>
        <v>189.0</v>
      </c>
      <c r="F35" s="42">
        <f>F$25/$C28*$D28</f>
        <v>189.0</v>
      </c>
      <c r="G35" s="42">
        <f>G$25/$C28*$D28</f>
        <v>189.0</v>
      </c>
      <c r="H35" s="42">
        <f>H$25/$C28*$D28</f>
        <v>189.0</v>
      </c>
      <c r="I35" s="42">
        <f>I$25/$C28*$D28</f>
        <v>189.0</v>
      </c>
      <c r="J35" s="42">
        <f>J$25/$C28*$D28</f>
        <v>189.0</v>
      </c>
      <c r="K35" s="42">
        <f>K$25/$C28*$D28</f>
        <v>189.0</v>
      </c>
      <c r="L35" s="42">
        <f>L$25/$C28*$D28</f>
        <v>189.0</v>
      </c>
      <c r="M35" s="42">
        <f>M$25/$C28*$D28</f>
        <v>189.0</v>
      </c>
      <c r="N35" s="42">
        <f>N$25/$C28*$D28</f>
        <v>189.0</v>
      </c>
    </row>
    <row r="36">
      <c r="B36" s="39" t="inlineStr">
        <is>
          <t>ТО-3: простои, ч/год</t>
        </is>
      </c>
      <c r="C36" s="24" t="inlineStr">
        <is>
          <t>ч</t>
        </is>
      </c>
      <c r="E36" s="42">
        <f>E$25/$C29*$D29</f>
        <v>87.00999999999999</v>
      </c>
      <c r="F36" s="42">
        <f>F$25/$C29*$D29</f>
        <v>87.00999999999999</v>
      </c>
      <c r="G36" s="42">
        <f>G$25/$C29*$D29</f>
        <v>87.00999999999999</v>
      </c>
      <c r="H36" s="42">
        <f>H$25/$C29*$D29</f>
        <v>87.00999999999999</v>
      </c>
      <c r="I36" s="42">
        <f>I$25/$C29*$D29</f>
        <v>87.00999999999999</v>
      </c>
      <c r="J36" s="42">
        <f>J$25/$C29*$D29</f>
        <v>87.00999999999999</v>
      </c>
      <c r="K36" s="42">
        <f>K$25/$C29*$D29</f>
        <v>87.00999999999999</v>
      </c>
      <c r="L36" s="42">
        <f>L$25/$C29*$D29</f>
        <v>87.00999999999999</v>
      </c>
      <c r="M36" s="42">
        <f>M$25/$C29*$D29</f>
        <v>87.00999999999999</v>
      </c>
      <c r="N36" s="42">
        <f>N$25/$C29*$D29</f>
        <v>87.00999999999999</v>
      </c>
    </row>
    <row r="37">
      <c r="B37" s="39" t="inlineStr">
        <is>
          <t>ТО-4: простои, ч/год</t>
        </is>
      </c>
      <c r="C37" s="24" t="inlineStr">
        <is>
          <t>ч</t>
        </is>
      </c>
      <c r="E37" s="42">
        <f>E$25/$C30*$D30</f>
        <v>19.845</v>
      </c>
      <c r="F37" s="42">
        <f>F$25/$C30*$D30</f>
        <v>19.845</v>
      </c>
      <c r="G37" s="42">
        <f>G$25/$C30*$D30</f>
        <v>19.845</v>
      </c>
      <c r="H37" s="42">
        <f>H$25/$C30*$D30</f>
        <v>19.845</v>
      </c>
      <c r="I37" s="42">
        <f>I$25/$C30*$D30</f>
        <v>19.845</v>
      </c>
      <c r="J37" s="42">
        <f>J$25/$C30*$D30</f>
        <v>19.845</v>
      </c>
      <c r="K37" s="42">
        <f>K$25/$C30*$D30</f>
        <v>19.845</v>
      </c>
      <c r="L37" s="42">
        <f>L$25/$C30*$D30</f>
        <v>19.845</v>
      </c>
      <c r="M37" s="42">
        <f>M$25/$C30*$D30</f>
        <v>19.845</v>
      </c>
      <c r="N37" s="42">
        <f>N$25/$C30*$D30</f>
        <v>19.845</v>
      </c>
    </row>
    <row r="38">
      <c r="B38" s="39" t="inlineStr">
        <is>
          <t>ТО-5: простои, ч/год</t>
        </is>
      </c>
      <c r="C38" s="24" t="inlineStr">
        <is>
          <t>ч</t>
        </is>
      </c>
      <c r="E38" s="42">
        <f>E$25/$C31*$D31</f>
        <v>23.473333333333336</v>
      </c>
      <c r="F38" s="42">
        <f>F$25/$C31*$D31</f>
        <v>23.473333333333336</v>
      </c>
      <c r="G38" s="42">
        <f>G$25/$C31*$D31</f>
        <v>23.473333333333336</v>
      </c>
      <c r="H38" s="42">
        <f>H$25/$C31*$D31</f>
        <v>23.473333333333336</v>
      </c>
      <c r="I38" s="42">
        <f>I$25/$C31*$D31</f>
        <v>23.473333333333336</v>
      </c>
      <c r="J38" s="42">
        <f>J$25/$C31*$D31</f>
        <v>23.473333333333336</v>
      </c>
      <c r="K38" s="42">
        <f>K$25/$C31*$D31</f>
        <v>23.473333333333336</v>
      </c>
      <c r="L38" s="42">
        <f>L$25/$C31*$D31</f>
        <v>23.473333333333336</v>
      </c>
      <c r="M38" s="42">
        <f>M$25/$C31*$D31</f>
        <v>23.473333333333336</v>
      </c>
      <c r="N38" s="42">
        <f>N$25/$C31*$D31</f>
        <v>23.473333333333336</v>
      </c>
    </row>
    <row r="39">
      <c r="B39" s="39" t="inlineStr">
        <is>
          <t>ТО-6: простои, ч/год</t>
        </is>
      </c>
      <c r="C39" s="24" t="inlineStr">
        <is>
          <t>ч</t>
        </is>
      </c>
      <c r="E39" s="42">
        <f>E$25/$C32*$D32</f>
        <v>11.844000000000001</v>
      </c>
      <c r="F39" s="42">
        <f>F$25/$C32*$D32</f>
        <v>11.844000000000001</v>
      </c>
      <c r="G39" s="42">
        <f>G$25/$C32*$D32</f>
        <v>11.844000000000001</v>
      </c>
      <c r="H39" s="42">
        <f>H$25/$C32*$D32</f>
        <v>11.844000000000001</v>
      </c>
      <c r="I39" s="42">
        <f>I$25/$C32*$D32</f>
        <v>11.844000000000001</v>
      </c>
      <c r="J39" s="42">
        <f>J$25/$C32*$D32</f>
        <v>11.844000000000001</v>
      </c>
      <c r="K39" s="42">
        <f>K$25/$C32*$D32</f>
        <v>11.844000000000001</v>
      </c>
      <c r="L39" s="42">
        <f>L$25/$C32*$D32</f>
        <v>11.844000000000001</v>
      </c>
      <c r="M39" s="42">
        <f>M$25/$C32*$D32</f>
        <v>11.844000000000001</v>
      </c>
      <c r="N39" s="42">
        <f>N$25/$C32*$D32</f>
        <v>11.844000000000001</v>
      </c>
    </row>
    <row r="40">
      <c r="B40" s="39" t="inlineStr">
        <is>
          <t>Итого простои ТО</t>
        </is>
      </c>
      <c r="E40" s="42">
        <f>SUM(E34:E39)</f>
        <v>636.3723333333335</v>
      </c>
      <c r="F40" s="42">
        <f>SUM(F34:F39)</f>
        <v>636.3723333333335</v>
      </c>
      <c r="G40" s="42">
        <f>SUM(G34:G39)</f>
        <v>636.3723333333335</v>
      </c>
      <c r="H40" s="42">
        <f>SUM(H34:H39)</f>
        <v>636.3723333333335</v>
      </c>
      <c r="I40" s="42">
        <f>SUM(I34:I39)</f>
        <v>636.3723333333335</v>
      </c>
      <c r="J40" s="42">
        <f>SUM(J34:J39)</f>
        <v>636.3723333333335</v>
      </c>
      <c r="K40" s="42">
        <f>SUM(K34:K39)</f>
        <v>636.3723333333335</v>
      </c>
      <c r="L40" s="42">
        <f>SUM(L34:L39)</f>
        <v>636.3723333333335</v>
      </c>
      <c r="M40" s="42">
        <f>SUM(M34:M39)</f>
        <v>636.3723333333335</v>
      </c>
      <c r="N40" s="42">
        <f>SUM(N34:N39)</f>
        <v>636.3723333333335</v>
      </c>
    </row>
    <row r="41">
      <c r="B41" s="39" t="inlineStr">
        <is>
          <t>ТО-1: чел-часы/год</t>
        </is>
      </c>
      <c r="C41" s="24" t="inlineStr">
        <is>
          <t>ч-час</t>
        </is>
      </c>
      <c r="E41" s="42">
        <f>E34*$E27</f>
        <v>305.2</v>
      </c>
      <c r="F41" s="42">
        <f>F34*$E27</f>
        <v>305.2</v>
      </c>
      <c r="G41" s="42">
        <f>G34*$E27</f>
        <v>305.2</v>
      </c>
      <c r="H41" s="42">
        <f>H34*$E27</f>
        <v>305.2</v>
      </c>
      <c r="I41" s="42">
        <f>I34*$E27</f>
        <v>305.2</v>
      </c>
      <c r="J41" s="42">
        <f>J34*$E27</f>
        <v>305.2</v>
      </c>
      <c r="K41" s="42">
        <f>K34*$E27</f>
        <v>305.2</v>
      </c>
      <c r="L41" s="42">
        <f>L34*$E27</f>
        <v>305.2</v>
      </c>
      <c r="M41" s="42">
        <f>M34*$E27</f>
        <v>305.2</v>
      </c>
      <c r="N41" s="42">
        <f>N34*$E27</f>
        <v>305.2</v>
      </c>
    </row>
    <row r="42">
      <c r="B42" s="39" t="inlineStr">
        <is>
          <t>ТО-2: чел-часы/год</t>
        </is>
      </c>
      <c r="C42" s="24" t="inlineStr">
        <is>
          <t>ч-час</t>
        </is>
      </c>
      <c r="E42" s="42">
        <f>E35*$E28</f>
        <v>189.0</v>
      </c>
      <c r="F42" s="42">
        <f>F35*$E28</f>
        <v>189.0</v>
      </c>
      <c r="G42" s="42">
        <f>G35*$E28</f>
        <v>189.0</v>
      </c>
      <c r="H42" s="42">
        <f>H35*$E28</f>
        <v>189.0</v>
      </c>
      <c r="I42" s="42">
        <f>I35*$E28</f>
        <v>189.0</v>
      </c>
      <c r="J42" s="42">
        <f>J35*$E28</f>
        <v>189.0</v>
      </c>
      <c r="K42" s="42">
        <f>K35*$E28</f>
        <v>189.0</v>
      </c>
      <c r="L42" s="42">
        <f>L35*$E28</f>
        <v>189.0</v>
      </c>
      <c r="M42" s="42">
        <f>M35*$E28</f>
        <v>189.0</v>
      </c>
      <c r="N42" s="42">
        <f>N35*$E28</f>
        <v>189.0</v>
      </c>
    </row>
    <row r="43">
      <c r="B43" s="39" t="inlineStr">
        <is>
          <t>ТО-3: чел-часы/год</t>
        </is>
      </c>
      <c r="C43" s="24" t="inlineStr">
        <is>
          <t>ч-час</t>
        </is>
      </c>
      <c r="E43" s="42">
        <f>E36*$E29</f>
        <v>87.00999999999999</v>
      </c>
      <c r="F43" s="42">
        <f>F36*$E29</f>
        <v>87.00999999999999</v>
      </c>
      <c r="G43" s="42">
        <f>G36*$E29</f>
        <v>87.00999999999999</v>
      </c>
      <c r="H43" s="42">
        <f>H36*$E29</f>
        <v>87.00999999999999</v>
      </c>
      <c r="I43" s="42">
        <f>I36*$E29</f>
        <v>87.00999999999999</v>
      </c>
      <c r="J43" s="42">
        <f>J36*$E29</f>
        <v>87.00999999999999</v>
      </c>
      <c r="K43" s="42">
        <f>K36*$E29</f>
        <v>87.00999999999999</v>
      </c>
      <c r="L43" s="42">
        <f>L36*$E29</f>
        <v>87.00999999999999</v>
      </c>
      <c r="M43" s="42">
        <f>M36*$E29</f>
        <v>87.00999999999999</v>
      </c>
      <c r="N43" s="42">
        <f>N36*$E29</f>
        <v>87.00999999999999</v>
      </c>
    </row>
    <row r="44">
      <c r="B44" s="39" t="inlineStr">
        <is>
          <t>ТО-4: чел-часы/год</t>
        </is>
      </c>
      <c r="C44" s="24" t="inlineStr">
        <is>
          <t>ч-час</t>
        </is>
      </c>
      <c r="E44" s="42">
        <f>E37*$E30</f>
        <v>19.845</v>
      </c>
      <c r="F44" s="42">
        <f>F37*$E30</f>
        <v>19.845</v>
      </c>
      <c r="G44" s="42">
        <f>G37*$E30</f>
        <v>19.845</v>
      </c>
      <c r="H44" s="42">
        <f>H37*$E30</f>
        <v>19.845</v>
      </c>
      <c r="I44" s="42">
        <f>I37*$E30</f>
        <v>19.845</v>
      </c>
      <c r="J44" s="42">
        <f>J37*$E30</f>
        <v>19.845</v>
      </c>
      <c r="K44" s="42">
        <f>K37*$E30</f>
        <v>19.845</v>
      </c>
      <c r="L44" s="42">
        <f>L37*$E30</f>
        <v>19.845</v>
      </c>
      <c r="M44" s="42">
        <f>M37*$E30</f>
        <v>19.845</v>
      </c>
      <c r="N44" s="42">
        <f>N37*$E30</f>
        <v>19.845</v>
      </c>
    </row>
    <row r="45">
      <c r="B45" s="39" t="inlineStr">
        <is>
          <t>ТО-5: чел-часы/год</t>
        </is>
      </c>
      <c r="C45" s="24" t="inlineStr">
        <is>
          <t>ч-час</t>
        </is>
      </c>
      <c r="E45" s="42">
        <f>E38*$E31</f>
        <v>23.473333333333336</v>
      </c>
      <c r="F45" s="42">
        <f>F38*$E31</f>
        <v>23.473333333333336</v>
      </c>
      <c r="G45" s="42">
        <f>G38*$E31</f>
        <v>23.473333333333336</v>
      </c>
      <c r="H45" s="42">
        <f>H38*$E31</f>
        <v>23.473333333333336</v>
      </c>
      <c r="I45" s="42">
        <f>I38*$E31</f>
        <v>23.473333333333336</v>
      </c>
      <c r="J45" s="42">
        <f>J38*$E31</f>
        <v>23.473333333333336</v>
      </c>
      <c r="K45" s="42">
        <f>K38*$E31</f>
        <v>23.473333333333336</v>
      </c>
      <c r="L45" s="42">
        <f>L38*$E31</f>
        <v>23.473333333333336</v>
      </c>
      <c r="M45" s="42">
        <f>M38*$E31</f>
        <v>23.473333333333336</v>
      </c>
      <c r="N45" s="42">
        <f>N38*$E31</f>
        <v>23.473333333333336</v>
      </c>
    </row>
    <row r="46">
      <c r="B46" s="39" t="inlineStr">
        <is>
          <t>ТО-6: чел-часы/год</t>
        </is>
      </c>
      <c r="C46" s="24" t="inlineStr">
        <is>
          <t>ч-час</t>
        </is>
      </c>
      <c r="E46" s="42">
        <f>E39*$E32</f>
        <v>11.844000000000001</v>
      </c>
      <c r="F46" s="42">
        <f>F39*$E32</f>
        <v>11.844000000000001</v>
      </c>
      <c r="G46" s="42">
        <f>G39*$E32</f>
        <v>11.844000000000001</v>
      </c>
      <c r="H46" s="42">
        <f>H39*$E32</f>
        <v>11.844000000000001</v>
      </c>
      <c r="I46" s="42">
        <f>I39*$E32</f>
        <v>11.844000000000001</v>
      </c>
      <c r="J46" s="42">
        <f>J39*$E32</f>
        <v>11.844000000000001</v>
      </c>
      <c r="K46" s="42">
        <f>K39*$E32</f>
        <v>11.844000000000001</v>
      </c>
      <c r="L46" s="42">
        <f>L39*$E32</f>
        <v>11.844000000000001</v>
      </c>
      <c r="M46" s="42">
        <f>M39*$E32</f>
        <v>11.844000000000001</v>
      </c>
      <c r="N46" s="42">
        <f>N39*$E32</f>
        <v>11.844000000000001</v>
      </c>
    </row>
    <row r="47">
      <c r="B47" s="39" t="inlineStr">
        <is>
          <t>Итого чел-часы ТО</t>
        </is>
      </c>
      <c r="E47" s="42">
        <f>SUM(E41:E46)</f>
        <v>636.3723333333335</v>
      </c>
      <c r="F47" s="42">
        <f>SUM(F41:F46)</f>
        <v>636.3723333333335</v>
      </c>
      <c r="G47" s="42">
        <f>SUM(G41:G46)</f>
        <v>636.3723333333335</v>
      </c>
      <c r="H47" s="42">
        <f>SUM(H41:H46)</f>
        <v>636.3723333333335</v>
      </c>
      <c r="I47" s="42">
        <f>SUM(I41:I46)</f>
        <v>636.3723333333335</v>
      </c>
      <c r="J47" s="42">
        <f>SUM(J41:J46)</f>
        <v>636.3723333333335</v>
      </c>
      <c r="K47" s="42">
        <f>SUM(K41:K46)</f>
        <v>636.3723333333335</v>
      </c>
      <c r="L47" s="42">
        <f>SUM(L41:L46)</f>
        <v>636.3723333333335</v>
      </c>
      <c r="M47" s="42">
        <f>SUM(M41:M46)</f>
        <v>636.3723333333335</v>
      </c>
      <c r="N47" s="42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44" t="n">
        <v>6.77</v>
      </c>
      <c r="D51" s="44" t="n">
        <v>70</v>
      </c>
      <c r="E51" s="42">
        <f>E$25/INDEX($C$27:$C$32,$P51)*D51*C51/1000</f>
        <v>13.2692</v>
      </c>
      <c r="F51" s="42">
        <f>F$25/INDEX($C$27:$C$32,$P51)*D51*C51/1000</f>
        <v>13.2692</v>
      </c>
      <c r="G51" s="42">
        <f>G$25/INDEX($C$27:$C$32,$P51)*D51*C51/1000</f>
        <v>13.2692</v>
      </c>
      <c r="H51" s="42">
        <f>H$25/INDEX($C$27:$C$32,$P51)*D51*C51/1000</f>
        <v>13.2692</v>
      </c>
      <c r="I51" s="42">
        <f>I$25/INDEX($C$27:$C$32,$P51)*D51*C51/1000</f>
        <v>13.2692</v>
      </c>
      <c r="J51" s="42">
        <f>J$25/INDEX($C$27:$C$32,$P51)*D51*C51/1000</f>
        <v>13.2692</v>
      </c>
      <c r="K51" s="42">
        <f>K$25/INDEX($C$27:$C$32,$P51)*D51*C51/1000</f>
        <v>13.2692</v>
      </c>
      <c r="L51" s="42">
        <f>L$25/INDEX($C$27:$C$32,$P51)*D51*C51/1000</f>
        <v>13.2692</v>
      </c>
      <c r="M51" s="42">
        <f>M$25/INDEX($C$27:$C$32,$P51)*D51*C51/1000</f>
        <v>13.2692</v>
      </c>
      <c r="N51" s="42">
        <f>N$25/INDEX($C$27:$C$32,$P51)*D51*C51/1000</f>
        <v>13.2692</v>
      </c>
      <c r="P51" s="43" t="n">
        <v>1</v>
      </c>
    </row>
    <row r="52">
      <c r="B52" s="22" t="inlineStr">
        <is>
          <t>Масляный фильтр двигателя</t>
        </is>
      </c>
      <c r="C52" s="44" t="n">
        <v>75.788</v>
      </c>
      <c r="D52" s="44" t="n">
        <v>2</v>
      </c>
      <c r="E52" s="42">
        <f>E$25/INDEX($C$27:$C$32,$P52)*D52*C52/1000</f>
        <v>4.244128</v>
      </c>
      <c r="F52" s="42">
        <f>F$25/INDEX($C$27:$C$32,$P52)*D52*C52/1000</f>
        <v>4.244128</v>
      </c>
      <c r="G52" s="42">
        <f>G$25/INDEX($C$27:$C$32,$P52)*D52*C52/1000</f>
        <v>4.244128</v>
      </c>
      <c r="H52" s="42">
        <f>H$25/INDEX($C$27:$C$32,$P52)*D52*C52/1000</f>
        <v>4.244128</v>
      </c>
      <c r="I52" s="42">
        <f>I$25/INDEX($C$27:$C$32,$P52)*D52*C52/1000</f>
        <v>4.244128</v>
      </c>
      <c r="J52" s="42">
        <f>J$25/INDEX($C$27:$C$32,$P52)*D52*C52/1000</f>
        <v>4.244128</v>
      </c>
      <c r="K52" s="42">
        <f>K$25/INDEX($C$27:$C$32,$P52)*D52*C52/1000</f>
        <v>4.244128</v>
      </c>
      <c r="L52" s="42">
        <f>L$25/INDEX($C$27:$C$32,$P52)*D52*C52/1000</f>
        <v>4.244128</v>
      </c>
      <c r="M52" s="42">
        <f>M$25/INDEX($C$27:$C$32,$P52)*D52*C52/1000</f>
        <v>4.244128</v>
      </c>
      <c r="N52" s="42">
        <f>N$25/INDEX($C$27:$C$32,$P52)*D52*C52/1000</f>
        <v>4.244128</v>
      </c>
      <c r="P52" s="43" t="n">
        <v>1</v>
      </c>
    </row>
    <row r="53">
      <c r="B53" s="22" t="inlineStr">
        <is>
          <t>Охлаждающая жидкость</t>
        </is>
      </c>
      <c r="C53" s="44" t="n">
        <v>4.368</v>
      </c>
      <c r="D53" s="44" t="n">
        <v>3</v>
      </c>
      <c r="E53" s="42">
        <f>E$25/INDEX($C$27:$C$32,$P53)*D53*C53/1000</f>
        <v>0.366912</v>
      </c>
      <c r="F53" s="42">
        <f>F$25/INDEX($C$27:$C$32,$P53)*D53*C53/1000</f>
        <v>0.366912</v>
      </c>
      <c r="G53" s="42">
        <f>G$25/INDEX($C$27:$C$32,$P53)*D53*C53/1000</f>
        <v>0.366912</v>
      </c>
      <c r="H53" s="42">
        <f>H$25/INDEX($C$27:$C$32,$P53)*D53*C53/1000</f>
        <v>0.366912</v>
      </c>
      <c r="I53" s="42">
        <f>I$25/INDEX($C$27:$C$32,$P53)*D53*C53/1000</f>
        <v>0.366912</v>
      </c>
      <c r="J53" s="42">
        <f>J$25/INDEX($C$27:$C$32,$P53)*D53*C53/1000</f>
        <v>0.366912</v>
      </c>
      <c r="K53" s="42">
        <f>K$25/INDEX($C$27:$C$32,$P53)*D53*C53/1000</f>
        <v>0.366912</v>
      </c>
      <c r="L53" s="42">
        <f>L$25/INDEX($C$27:$C$32,$P53)*D53*C53/1000</f>
        <v>0.366912</v>
      </c>
      <c r="M53" s="42">
        <f>M$25/INDEX($C$27:$C$32,$P53)*D53*C53/1000</f>
        <v>0.366912</v>
      </c>
      <c r="N53" s="42">
        <f>N$25/INDEX($C$27:$C$32,$P53)*D53*C53/1000</f>
        <v>0.366912</v>
      </c>
      <c r="P53" s="43" t="n">
        <v>1</v>
      </c>
    </row>
    <row r="54">
      <c r="B54" s="22" t="inlineStr">
        <is>
          <t>Воздушный фильтр первичный</t>
        </is>
      </c>
      <c r="C54" s="44" t="n">
        <v>51.588</v>
      </c>
      <c r="D54" s="44" t="n">
        <v>3</v>
      </c>
      <c r="E54" s="42">
        <f>E$25/INDEX($C$27:$C$32,$P54)*D54*C54/1000</f>
        <v>4.333392</v>
      </c>
      <c r="F54" s="42">
        <f>F$25/INDEX($C$27:$C$32,$P54)*D54*C54/1000</f>
        <v>4.333392</v>
      </c>
      <c r="G54" s="42">
        <f>G$25/INDEX($C$27:$C$32,$P54)*D54*C54/1000</f>
        <v>4.333392</v>
      </c>
      <c r="H54" s="42">
        <f>H$25/INDEX($C$27:$C$32,$P54)*D54*C54/1000</f>
        <v>4.333392</v>
      </c>
      <c r="I54" s="42">
        <f>I$25/INDEX($C$27:$C$32,$P54)*D54*C54/1000</f>
        <v>4.333392</v>
      </c>
      <c r="J54" s="42">
        <f>J$25/INDEX($C$27:$C$32,$P54)*D54*C54/1000</f>
        <v>4.333392</v>
      </c>
      <c r="K54" s="42">
        <f>K$25/INDEX($C$27:$C$32,$P54)*D54*C54/1000</f>
        <v>4.333392</v>
      </c>
      <c r="L54" s="42">
        <f>L$25/INDEX($C$27:$C$32,$P54)*D54*C54/1000</f>
        <v>4.333392</v>
      </c>
      <c r="M54" s="42">
        <f>M$25/INDEX($C$27:$C$32,$P54)*D54*C54/1000</f>
        <v>4.333392</v>
      </c>
      <c r="N54" s="42">
        <f>N$25/INDEX($C$27:$C$32,$P54)*D54*C54/1000</f>
        <v>4.333392</v>
      </c>
      <c r="P54" s="43" t="n">
        <v>1</v>
      </c>
    </row>
    <row r="55">
      <c r="B55" s="22" t="inlineStr">
        <is>
          <t>Воздушный фильтр вторичный</t>
        </is>
      </c>
      <c r="C55" s="44" t="n">
        <v>37.65</v>
      </c>
      <c r="D55" s="44" t="n">
        <v>3</v>
      </c>
      <c r="E55" s="42">
        <f>E$25/INDEX($C$27:$C$32,$P55)*D55*C55/1000</f>
        <v>3.1626</v>
      </c>
      <c r="F55" s="42">
        <f>F$25/INDEX($C$27:$C$32,$P55)*D55*C55/1000</f>
        <v>3.1626</v>
      </c>
      <c r="G55" s="42">
        <f>G$25/INDEX($C$27:$C$32,$P55)*D55*C55/1000</f>
        <v>3.1626</v>
      </c>
      <c r="H55" s="42">
        <f>H$25/INDEX($C$27:$C$32,$P55)*D55*C55/1000</f>
        <v>3.1626</v>
      </c>
      <c r="I55" s="42">
        <f>I$25/INDEX($C$27:$C$32,$P55)*D55*C55/1000</f>
        <v>3.1626</v>
      </c>
      <c r="J55" s="42">
        <f>J$25/INDEX($C$27:$C$32,$P55)*D55*C55/1000</f>
        <v>3.1626</v>
      </c>
      <c r="K55" s="42">
        <f>K$25/INDEX($C$27:$C$32,$P55)*D55*C55/1000</f>
        <v>3.1626</v>
      </c>
      <c r="L55" s="42">
        <f>L$25/INDEX($C$27:$C$32,$P55)*D55*C55/1000</f>
        <v>3.1626</v>
      </c>
      <c r="M55" s="42">
        <f>M$25/INDEX($C$27:$C$32,$P55)*D55*C55/1000</f>
        <v>3.1626</v>
      </c>
      <c r="N55" s="42">
        <f>N$25/INDEX($C$27:$C$32,$P55)*D55*C55/1000</f>
        <v>3.1626</v>
      </c>
      <c r="P55" s="43" t="n">
        <v>1</v>
      </c>
    </row>
    <row r="56">
      <c r="B56" s="22" t="inlineStr">
        <is>
          <t>Фильтр системы охл. ДВС</t>
        </is>
      </c>
      <c r="C56" s="44" t="n">
        <v>27.113</v>
      </c>
      <c r="D56" s="44" t="n">
        <v>2</v>
      </c>
      <c r="E56" s="42">
        <f>E$25/INDEX($C$27:$C$32,$P56)*D56*C56/1000</f>
        <v>1.518328</v>
      </c>
      <c r="F56" s="42">
        <f>F$25/INDEX($C$27:$C$32,$P56)*D56*C56/1000</f>
        <v>1.518328</v>
      </c>
      <c r="G56" s="42">
        <f>G$25/INDEX($C$27:$C$32,$P56)*D56*C56/1000</f>
        <v>1.518328</v>
      </c>
      <c r="H56" s="42">
        <f>H$25/INDEX($C$27:$C$32,$P56)*D56*C56/1000</f>
        <v>1.518328</v>
      </c>
      <c r="I56" s="42">
        <f>I$25/INDEX($C$27:$C$32,$P56)*D56*C56/1000</f>
        <v>1.518328</v>
      </c>
      <c r="J56" s="42">
        <f>J$25/INDEX($C$27:$C$32,$P56)*D56*C56/1000</f>
        <v>1.518328</v>
      </c>
      <c r="K56" s="42">
        <f>K$25/INDEX($C$27:$C$32,$P56)*D56*C56/1000</f>
        <v>1.518328</v>
      </c>
      <c r="L56" s="42">
        <f>L$25/INDEX($C$27:$C$32,$P56)*D56*C56/1000</f>
        <v>1.518328</v>
      </c>
      <c r="M56" s="42">
        <f>M$25/INDEX($C$27:$C$32,$P56)*D56*C56/1000</f>
        <v>1.518328</v>
      </c>
      <c r="N56" s="42">
        <f>N$25/INDEX($C$27:$C$32,$P56)*D56*C56/1000</f>
        <v>1.518328</v>
      </c>
      <c r="P56" s="43" t="n">
        <v>1</v>
      </c>
    </row>
    <row r="57">
      <c r="B57" s="22" t="inlineStr">
        <is>
          <t>Топливный фильтр первичный</t>
        </is>
      </c>
      <c r="C57" s="44" t="n">
        <v>65.66200000000001</v>
      </c>
      <c r="D57" s="44" t="n">
        <v>1</v>
      </c>
      <c r="E57" s="42">
        <f>E$25/INDEX($C$27:$C$32,$P57)*D57*C57/1000</f>
        <v>1.838536</v>
      </c>
      <c r="F57" s="42">
        <f>F$25/INDEX($C$27:$C$32,$P57)*D57*C57/1000</f>
        <v>1.838536</v>
      </c>
      <c r="G57" s="42">
        <f>G$25/INDEX($C$27:$C$32,$P57)*D57*C57/1000</f>
        <v>1.838536</v>
      </c>
      <c r="H57" s="42">
        <f>H$25/INDEX($C$27:$C$32,$P57)*D57*C57/1000</f>
        <v>1.838536</v>
      </c>
      <c r="I57" s="42">
        <f>I$25/INDEX($C$27:$C$32,$P57)*D57*C57/1000</f>
        <v>1.838536</v>
      </c>
      <c r="J57" s="42">
        <f>J$25/INDEX($C$27:$C$32,$P57)*D57*C57/1000</f>
        <v>1.838536</v>
      </c>
      <c r="K57" s="42">
        <f>K$25/INDEX($C$27:$C$32,$P57)*D57*C57/1000</f>
        <v>1.838536</v>
      </c>
      <c r="L57" s="42">
        <f>L$25/INDEX($C$27:$C$32,$P57)*D57*C57/1000</f>
        <v>1.838536</v>
      </c>
      <c r="M57" s="42">
        <f>M$25/INDEX($C$27:$C$32,$P57)*D57*C57/1000</f>
        <v>1.838536</v>
      </c>
      <c r="N57" s="42">
        <f>N$25/INDEX($C$27:$C$32,$P57)*D57*C57/1000</f>
        <v>1.838536</v>
      </c>
      <c r="P57" s="43" t="n">
        <v>1</v>
      </c>
    </row>
    <row r="58">
      <c r="B58" s="22" t="inlineStr">
        <is>
          <t>Топливный фильтр вторичный</t>
        </is>
      </c>
      <c r="C58" s="44" t="n">
        <v>127.662</v>
      </c>
      <c r="D58" s="44" t="n">
        <v>1</v>
      </c>
      <c r="E58" s="42">
        <f>E$25/INDEX($C$27:$C$32,$P58)*D58*C58/1000</f>
        <v>3.574536</v>
      </c>
      <c r="F58" s="42">
        <f>F$25/INDEX($C$27:$C$32,$P58)*D58*C58/1000</f>
        <v>3.574536</v>
      </c>
      <c r="G58" s="42">
        <f>G$25/INDEX($C$27:$C$32,$P58)*D58*C58/1000</f>
        <v>3.574536</v>
      </c>
      <c r="H58" s="42">
        <f>H$25/INDEX($C$27:$C$32,$P58)*D58*C58/1000</f>
        <v>3.574536</v>
      </c>
      <c r="I58" s="42">
        <f>I$25/INDEX($C$27:$C$32,$P58)*D58*C58/1000</f>
        <v>3.574536</v>
      </c>
      <c r="J58" s="42">
        <f>J$25/INDEX($C$27:$C$32,$P58)*D58*C58/1000</f>
        <v>3.574536</v>
      </c>
      <c r="K58" s="42">
        <f>K$25/INDEX($C$27:$C$32,$P58)*D58*C58/1000</f>
        <v>3.574536</v>
      </c>
      <c r="L58" s="42">
        <f>L$25/INDEX($C$27:$C$32,$P58)*D58*C58/1000</f>
        <v>3.574536</v>
      </c>
      <c r="M58" s="42">
        <f>M$25/INDEX($C$27:$C$32,$P58)*D58*C58/1000</f>
        <v>3.574536</v>
      </c>
      <c r="N58" s="42">
        <f>N$25/INDEX($C$27:$C$32,$P58)*D58*C58/1000</f>
        <v>3.574536</v>
      </c>
      <c r="P58" s="43" t="n">
        <v>1</v>
      </c>
    </row>
    <row r="59">
      <c r="B59" s="22" t="inlineStr">
        <is>
          <t>Влагоотделитель</t>
        </is>
      </c>
      <c r="C59" s="44" t="n">
        <v>14.612</v>
      </c>
      <c r="D59" s="44" t="n">
        <v>2</v>
      </c>
      <c r="E59" s="42">
        <f>E$25/INDEX($C$27:$C$32,$P59)*D59*C59/1000</f>
        <v>0.818272</v>
      </c>
      <c r="F59" s="42">
        <f>F$25/INDEX($C$27:$C$32,$P59)*D59*C59/1000</f>
        <v>0.818272</v>
      </c>
      <c r="G59" s="42">
        <f>G$25/INDEX($C$27:$C$32,$P59)*D59*C59/1000</f>
        <v>0.818272</v>
      </c>
      <c r="H59" s="42">
        <f>H$25/INDEX($C$27:$C$32,$P59)*D59*C59/1000</f>
        <v>0.818272</v>
      </c>
      <c r="I59" s="42">
        <f>I$25/INDEX($C$27:$C$32,$P59)*D59*C59/1000</f>
        <v>0.818272</v>
      </c>
      <c r="J59" s="42">
        <f>J$25/INDEX($C$27:$C$32,$P59)*D59*C59/1000</f>
        <v>0.818272</v>
      </c>
      <c r="K59" s="42">
        <f>K$25/INDEX($C$27:$C$32,$P59)*D59*C59/1000</f>
        <v>0.818272</v>
      </c>
      <c r="L59" s="42">
        <f>L$25/INDEX($C$27:$C$32,$P59)*D59*C59/1000</f>
        <v>0.818272</v>
      </c>
      <c r="M59" s="42">
        <f>M$25/INDEX($C$27:$C$32,$P59)*D59*C59/1000</f>
        <v>0.818272</v>
      </c>
      <c r="N59" s="42">
        <f>N$25/INDEX($C$27:$C$32,$P59)*D59*C59/1000</f>
        <v>0.818272</v>
      </c>
      <c r="P59" s="43" t="n">
        <v>1</v>
      </c>
    </row>
    <row r="60">
      <c r="B60" s="22" t="inlineStr">
        <is>
          <t>Консистентная смазка</t>
        </is>
      </c>
      <c r="C60" s="44" t="n">
        <v>10.752</v>
      </c>
      <c r="D60" s="44" t="n">
        <v>2</v>
      </c>
      <c r="E60" s="42">
        <f>E$25/INDEX($C$27:$C$32,$P60)*D60*C60/1000</f>
        <v>0.6021120000000001</v>
      </c>
      <c r="F60" s="42">
        <f>F$25/INDEX($C$27:$C$32,$P60)*D60*C60/1000</f>
        <v>0.6021120000000001</v>
      </c>
      <c r="G60" s="42">
        <f>G$25/INDEX($C$27:$C$32,$P60)*D60*C60/1000</f>
        <v>0.6021120000000001</v>
      </c>
      <c r="H60" s="42">
        <f>H$25/INDEX($C$27:$C$32,$P60)*D60*C60/1000</f>
        <v>0.6021120000000001</v>
      </c>
      <c r="I60" s="42">
        <f>I$25/INDEX($C$27:$C$32,$P60)*D60*C60/1000</f>
        <v>0.6021120000000001</v>
      </c>
      <c r="J60" s="42">
        <f>J$25/INDEX($C$27:$C$32,$P60)*D60*C60/1000</f>
        <v>0.6021120000000001</v>
      </c>
      <c r="K60" s="42">
        <f>K$25/INDEX($C$27:$C$32,$P60)*D60*C60/1000</f>
        <v>0.6021120000000001</v>
      </c>
      <c r="L60" s="42">
        <f>L$25/INDEX($C$27:$C$32,$P60)*D60*C60/1000</f>
        <v>0.6021120000000001</v>
      </c>
      <c r="M60" s="42">
        <f>M$25/INDEX($C$27:$C$32,$P60)*D60*C60/1000</f>
        <v>0.6021120000000001</v>
      </c>
      <c r="N60" s="42">
        <f>N$25/INDEX($C$27:$C$32,$P60)*D60*C60/1000</f>
        <v>0.6021120000000001</v>
      </c>
      <c r="P60" s="43" t="n">
        <v>1</v>
      </c>
    </row>
    <row r="61">
      <c r="B61" s="22" t="inlineStr">
        <is>
          <t>Сапун гидробака</t>
        </is>
      </c>
      <c r="C61" s="44" t="n">
        <v>18.025</v>
      </c>
      <c r="D61" s="44" t="n">
        <v>2</v>
      </c>
      <c r="E61" s="42">
        <f>E$25/INDEX($C$27:$C$32,$P61)*D61*C61/1000</f>
        <v>0.5046999999999999</v>
      </c>
      <c r="F61" s="42">
        <f>F$25/INDEX($C$27:$C$32,$P61)*D61*C61/1000</f>
        <v>0.5046999999999999</v>
      </c>
      <c r="G61" s="42">
        <f>G$25/INDEX($C$27:$C$32,$P61)*D61*C61/1000</f>
        <v>0.5046999999999999</v>
      </c>
      <c r="H61" s="42">
        <f>H$25/INDEX($C$27:$C$32,$P61)*D61*C61/1000</f>
        <v>0.5046999999999999</v>
      </c>
      <c r="I61" s="42">
        <f>I$25/INDEX($C$27:$C$32,$P61)*D61*C61/1000</f>
        <v>0.5046999999999999</v>
      </c>
      <c r="J61" s="42">
        <f>J$25/INDEX($C$27:$C$32,$P61)*D61*C61/1000</f>
        <v>0.5046999999999999</v>
      </c>
      <c r="K61" s="42">
        <f>K$25/INDEX($C$27:$C$32,$P61)*D61*C61/1000</f>
        <v>0.5046999999999999</v>
      </c>
      <c r="L61" s="42">
        <f>L$25/INDEX($C$27:$C$32,$P61)*D61*C61/1000</f>
        <v>0.5046999999999999</v>
      </c>
      <c r="M61" s="42">
        <f>M$25/INDEX($C$27:$C$32,$P61)*D61*C61/1000</f>
        <v>0.5046999999999999</v>
      </c>
      <c r="N61" s="42">
        <f>N$25/INDEX($C$27:$C$32,$P61)*D61*C61/1000</f>
        <v>0.5046999999999999</v>
      </c>
      <c r="P61" s="43" t="n">
        <v>2</v>
      </c>
    </row>
    <row r="62">
      <c r="B62" s="22" t="inlineStr">
        <is>
          <t>Фильтра системы пылеподавления</t>
        </is>
      </c>
      <c r="C62" s="44" t="n">
        <v>58.9</v>
      </c>
      <c r="D62" s="44" t="n">
        <v>9</v>
      </c>
      <c r="E62" s="42">
        <f>E$25/INDEX($C$27:$C$32,$P62)*D62*C62/1000</f>
        <v>7.421399999999999</v>
      </c>
      <c r="F62" s="42">
        <f>F$25/INDEX($C$27:$C$32,$P62)*D62*C62/1000</f>
        <v>7.421399999999999</v>
      </c>
      <c r="G62" s="42">
        <f>G$25/INDEX($C$27:$C$32,$P62)*D62*C62/1000</f>
        <v>7.421399999999999</v>
      </c>
      <c r="H62" s="42">
        <f>H$25/INDEX($C$27:$C$32,$P62)*D62*C62/1000</f>
        <v>7.421399999999999</v>
      </c>
      <c r="I62" s="42">
        <f>I$25/INDEX($C$27:$C$32,$P62)*D62*C62/1000</f>
        <v>7.421399999999999</v>
      </c>
      <c r="J62" s="42">
        <f>J$25/INDEX($C$27:$C$32,$P62)*D62*C62/1000</f>
        <v>7.421399999999999</v>
      </c>
      <c r="K62" s="42">
        <f>K$25/INDEX($C$27:$C$32,$P62)*D62*C62/1000</f>
        <v>7.421399999999999</v>
      </c>
      <c r="L62" s="42">
        <f>L$25/INDEX($C$27:$C$32,$P62)*D62*C62/1000</f>
        <v>7.421399999999999</v>
      </c>
      <c r="M62" s="42">
        <f>M$25/INDEX($C$27:$C$32,$P62)*D62*C62/1000</f>
        <v>7.421399999999999</v>
      </c>
      <c r="N62" s="42">
        <f>N$25/INDEX($C$27:$C$32,$P62)*D62*C62/1000</f>
        <v>7.421399999999999</v>
      </c>
      <c r="P62" s="43" t="n">
        <v>2</v>
      </c>
    </row>
    <row r="63">
      <c r="B63" s="22" t="inlineStr">
        <is>
          <t>Воздушный фильтр подогревателя</t>
        </is>
      </c>
      <c r="C63" s="44" t="n">
        <v>60.512</v>
      </c>
      <c r="D63" s="44" t="n">
        <v>1</v>
      </c>
      <c r="E63" s="42">
        <f>E$25/INDEX($C$27:$C$32,$P63)*D63*C63/1000</f>
        <v>0.847168</v>
      </c>
      <c r="F63" s="42">
        <f>F$25/INDEX($C$27:$C$32,$P63)*D63*C63/1000</f>
        <v>0.847168</v>
      </c>
      <c r="G63" s="42">
        <f>G$25/INDEX($C$27:$C$32,$P63)*D63*C63/1000</f>
        <v>0.847168</v>
      </c>
      <c r="H63" s="42">
        <f>H$25/INDEX($C$27:$C$32,$P63)*D63*C63/1000</f>
        <v>0.847168</v>
      </c>
      <c r="I63" s="42">
        <f>I$25/INDEX($C$27:$C$32,$P63)*D63*C63/1000</f>
        <v>0.847168</v>
      </c>
      <c r="J63" s="42">
        <f>J$25/INDEX($C$27:$C$32,$P63)*D63*C63/1000</f>
        <v>0.847168</v>
      </c>
      <c r="K63" s="42">
        <f>K$25/INDEX($C$27:$C$32,$P63)*D63*C63/1000</f>
        <v>0.847168</v>
      </c>
      <c r="L63" s="42">
        <f>L$25/INDEX($C$27:$C$32,$P63)*D63*C63/1000</f>
        <v>0.847168</v>
      </c>
      <c r="M63" s="42">
        <f>M$25/INDEX($C$27:$C$32,$P63)*D63*C63/1000</f>
        <v>0.847168</v>
      </c>
      <c r="N63" s="42">
        <f>N$25/INDEX($C$27:$C$32,$P63)*D63*C63/1000</f>
        <v>0.847168</v>
      </c>
      <c r="P63" s="43" t="n">
        <v>2</v>
      </c>
    </row>
    <row r="64">
      <c r="B64" s="22" t="inlineStr">
        <is>
          <t>Топливный фильтр подогревателя</t>
        </is>
      </c>
      <c r="C64" s="44" t="n">
        <v>29.512</v>
      </c>
      <c r="D64" s="44" t="n">
        <v>1</v>
      </c>
      <c r="E64" s="42">
        <f>E$25/INDEX($C$27:$C$32,$P64)*D64*C64/1000</f>
        <v>0.413168</v>
      </c>
      <c r="F64" s="42">
        <f>F$25/INDEX($C$27:$C$32,$P64)*D64*C64/1000</f>
        <v>0.413168</v>
      </c>
      <c r="G64" s="42">
        <f>G$25/INDEX($C$27:$C$32,$P64)*D64*C64/1000</f>
        <v>0.413168</v>
      </c>
      <c r="H64" s="42">
        <f>H$25/INDEX($C$27:$C$32,$P64)*D64*C64/1000</f>
        <v>0.413168</v>
      </c>
      <c r="I64" s="42">
        <f>I$25/INDEX($C$27:$C$32,$P64)*D64*C64/1000</f>
        <v>0.413168</v>
      </c>
      <c r="J64" s="42">
        <f>J$25/INDEX($C$27:$C$32,$P64)*D64*C64/1000</f>
        <v>0.413168</v>
      </c>
      <c r="K64" s="42">
        <f>K$25/INDEX($C$27:$C$32,$P64)*D64*C64/1000</f>
        <v>0.413168</v>
      </c>
      <c r="L64" s="42">
        <f>L$25/INDEX($C$27:$C$32,$P64)*D64*C64/1000</f>
        <v>0.413168</v>
      </c>
      <c r="M64" s="42">
        <f>M$25/INDEX($C$27:$C$32,$P64)*D64*C64/1000</f>
        <v>0.413168</v>
      </c>
      <c r="N64" s="42">
        <f>N$25/INDEX($C$27:$C$32,$P64)*D64*C64/1000</f>
        <v>0.413168</v>
      </c>
      <c r="P64" s="43" t="n">
        <v>2</v>
      </c>
    </row>
    <row r="65">
      <c r="B65" s="22" t="inlineStr">
        <is>
          <t>Сапун топливного бака</t>
        </is>
      </c>
      <c r="C65" s="44" t="n">
        <v>81.538</v>
      </c>
      <c r="D65" s="44" t="n">
        <v>1</v>
      </c>
      <c r="E65" s="42">
        <f>E$25/INDEX($C$27:$C$32,$P65)*D65*C65/1000</f>
        <v>1.141532</v>
      </c>
      <c r="F65" s="42">
        <f>F$25/INDEX($C$27:$C$32,$P65)*D65*C65/1000</f>
        <v>1.141532</v>
      </c>
      <c r="G65" s="42">
        <f>G$25/INDEX($C$27:$C$32,$P65)*D65*C65/1000</f>
        <v>1.141532</v>
      </c>
      <c r="H65" s="42">
        <f>H$25/INDEX($C$27:$C$32,$P65)*D65*C65/1000</f>
        <v>1.141532</v>
      </c>
      <c r="I65" s="42">
        <f>I$25/INDEX($C$27:$C$32,$P65)*D65*C65/1000</f>
        <v>1.141532</v>
      </c>
      <c r="J65" s="42">
        <f>J$25/INDEX($C$27:$C$32,$P65)*D65*C65/1000</f>
        <v>1.141532</v>
      </c>
      <c r="K65" s="42">
        <f>K$25/INDEX($C$27:$C$32,$P65)*D65*C65/1000</f>
        <v>1.141532</v>
      </c>
      <c r="L65" s="42">
        <f>L$25/INDEX($C$27:$C$32,$P65)*D65*C65/1000</f>
        <v>1.141532</v>
      </c>
      <c r="M65" s="42">
        <f>M$25/INDEX($C$27:$C$32,$P65)*D65*C65/1000</f>
        <v>1.141532</v>
      </c>
      <c r="N65" s="42">
        <f>N$25/INDEX($C$27:$C$32,$P65)*D65*C65/1000</f>
        <v>1.141532</v>
      </c>
      <c r="P65" s="43" t="n">
        <v>2</v>
      </c>
    </row>
    <row r="66">
      <c r="B66" s="22" t="inlineStr">
        <is>
          <t>Масляные фильтра компрессора</t>
        </is>
      </c>
      <c r="C66" s="44" t="n">
        <v>68.09999999999999</v>
      </c>
      <c r="D66" s="44" t="n">
        <v>2</v>
      </c>
      <c r="E66" s="42">
        <f>E$25/INDEX($C$27:$C$32,$P66)*D66*C66/1000</f>
        <v>1.9067999999999998</v>
      </c>
      <c r="F66" s="42">
        <f>F$25/INDEX($C$27:$C$32,$P66)*D66*C66/1000</f>
        <v>1.9067999999999998</v>
      </c>
      <c r="G66" s="42">
        <f>G$25/INDEX($C$27:$C$32,$P66)*D66*C66/1000</f>
        <v>1.9067999999999998</v>
      </c>
      <c r="H66" s="42">
        <f>H$25/INDEX($C$27:$C$32,$P66)*D66*C66/1000</f>
        <v>1.9067999999999998</v>
      </c>
      <c r="I66" s="42">
        <f>I$25/INDEX($C$27:$C$32,$P66)*D66*C66/1000</f>
        <v>1.9067999999999998</v>
      </c>
      <c r="J66" s="42">
        <f>J$25/INDEX($C$27:$C$32,$P66)*D66*C66/1000</f>
        <v>1.9067999999999998</v>
      </c>
      <c r="K66" s="42">
        <f>K$25/INDEX($C$27:$C$32,$P66)*D66*C66/1000</f>
        <v>1.9067999999999998</v>
      </c>
      <c r="L66" s="42">
        <f>L$25/INDEX($C$27:$C$32,$P66)*D66*C66/1000</f>
        <v>1.9067999999999998</v>
      </c>
      <c r="M66" s="42">
        <f>M$25/INDEX($C$27:$C$32,$P66)*D66*C66/1000</f>
        <v>1.9067999999999998</v>
      </c>
      <c r="N66" s="42">
        <f>N$25/INDEX($C$27:$C$32,$P66)*D66*C66/1000</f>
        <v>1.9067999999999998</v>
      </c>
      <c r="P66" s="43" t="n">
        <v>2</v>
      </c>
    </row>
    <row r="67">
      <c r="B67" s="22" t="inlineStr">
        <is>
          <t>Консистентная смазка</t>
        </is>
      </c>
      <c r="C67" s="44" t="n">
        <v>10.752</v>
      </c>
      <c r="D67" s="44" t="n">
        <v>1</v>
      </c>
      <c r="E67" s="42">
        <f>E$25/INDEX($C$27:$C$32,$P67)*D67*C67/1000</f>
        <v>0.15052800000000002</v>
      </c>
      <c r="F67" s="42">
        <f>F$25/INDEX($C$27:$C$32,$P67)*D67*C67/1000</f>
        <v>0.15052800000000002</v>
      </c>
      <c r="G67" s="42">
        <f>G$25/INDEX($C$27:$C$32,$P67)*D67*C67/1000</f>
        <v>0.15052800000000002</v>
      </c>
      <c r="H67" s="42">
        <f>H$25/INDEX($C$27:$C$32,$P67)*D67*C67/1000</f>
        <v>0.15052800000000002</v>
      </c>
      <c r="I67" s="42">
        <f>I$25/INDEX($C$27:$C$32,$P67)*D67*C67/1000</f>
        <v>0.15052800000000002</v>
      </c>
      <c r="J67" s="42">
        <f>J$25/INDEX($C$27:$C$32,$P67)*D67*C67/1000</f>
        <v>0.15052800000000002</v>
      </c>
      <c r="K67" s="42">
        <f>K$25/INDEX($C$27:$C$32,$P67)*D67*C67/1000</f>
        <v>0.15052800000000002</v>
      </c>
      <c r="L67" s="42">
        <f>L$25/INDEX($C$27:$C$32,$P67)*D67*C67/1000</f>
        <v>0.15052800000000002</v>
      </c>
      <c r="M67" s="42">
        <f>M$25/INDEX($C$27:$C$32,$P67)*D67*C67/1000</f>
        <v>0.15052800000000002</v>
      </c>
      <c r="N67" s="42">
        <f>N$25/INDEX($C$27:$C$32,$P67)*D67*C67/1000</f>
        <v>0.15052800000000002</v>
      </c>
      <c r="P67" s="43" t="n">
        <v>2</v>
      </c>
    </row>
    <row r="68">
      <c r="B68" s="22" t="inlineStr">
        <is>
          <t>Масло для редуктора главного насос</t>
        </is>
      </c>
      <c r="C68" s="44" t="n">
        <v>12.706</v>
      </c>
      <c r="D68" s="44" t="n">
        <v>4.2</v>
      </c>
      <c r="E68" s="42">
        <f>E$25/INDEX($C$27:$C$32,$P68)*D68*C68/1000</f>
        <v>0.3735564</v>
      </c>
      <c r="F68" s="42">
        <f>F$25/INDEX($C$27:$C$32,$P68)*D68*C68/1000</f>
        <v>0.3735564</v>
      </c>
      <c r="G68" s="42">
        <f>G$25/INDEX($C$27:$C$32,$P68)*D68*C68/1000</f>
        <v>0.3735564</v>
      </c>
      <c r="H68" s="42">
        <f>H$25/INDEX($C$27:$C$32,$P68)*D68*C68/1000</f>
        <v>0.3735564</v>
      </c>
      <c r="I68" s="42">
        <f>I$25/INDEX($C$27:$C$32,$P68)*D68*C68/1000</f>
        <v>0.3735564</v>
      </c>
      <c r="J68" s="42">
        <f>J$25/INDEX($C$27:$C$32,$P68)*D68*C68/1000</f>
        <v>0.3735564</v>
      </c>
      <c r="K68" s="42">
        <f>K$25/INDEX($C$27:$C$32,$P68)*D68*C68/1000</f>
        <v>0.3735564</v>
      </c>
      <c r="L68" s="42">
        <f>L$25/INDEX($C$27:$C$32,$P68)*D68*C68/1000</f>
        <v>0.3735564</v>
      </c>
      <c r="M68" s="42">
        <f>M$25/INDEX($C$27:$C$32,$P68)*D68*C68/1000</f>
        <v>0.3735564</v>
      </c>
      <c r="N68" s="42">
        <f>N$25/INDEX($C$27:$C$32,$P68)*D68*C68/1000</f>
        <v>0.3735564</v>
      </c>
      <c r="P68" s="43" t="n">
        <v>3</v>
      </c>
    </row>
    <row r="69">
      <c r="B69" s="22" t="inlineStr">
        <is>
          <t>Масло для редуктора вращателя</t>
        </is>
      </c>
      <c r="C69" s="44" t="n">
        <v>12.706</v>
      </c>
      <c r="D69" s="44" t="n">
        <v>42</v>
      </c>
      <c r="E69" s="42">
        <f>E$25/INDEX($C$27:$C$32,$P69)*D69*C69/1000</f>
        <v>3.7355639999999997</v>
      </c>
      <c r="F69" s="42">
        <f>F$25/INDEX($C$27:$C$32,$P69)*D69*C69/1000</f>
        <v>3.7355639999999997</v>
      </c>
      <c r="G69" s="42">
        <f>G$25/INDEX($C$27:$C$32,$P69)*D69*C69/1000</f>
        <v>3.7355639999999997</v>
      </c>
      <c r="H69" s="42">
        <f>H$25/INDEX($C$27:$C$32,$P69)*D69*C69/1000</f>
        <v>3.7355639999999997</v>
      </c>
      <c r="I69" s="42">
        <f>I$25/INDEX($C$27:$C$32,$P69)*D69*C69/1000</f>
        <v>3.7355639999999997</v>
      </c>
      <c r="J69" s="42">
        <f>J$25/INDEX($C$27:$C$32,$P69)*D69*C69/1000</f>
        <v>3.7355639999999997</v>
      </c>
      <c r="K69" s="42">
        <f>K$25/INDEX($C$27:$C$32,$P69)*D69*C69/1000</f>
        <v>3.7355639999999997</v>
      </c>
      <c r="L69" s="42">
        <f>L$25/INDEX($C$27:$C$32,$P69)*D69*C69/1000</f>
        <v>3.7355639999999997</v>
      </c>
      <c r="M69" s="42">
        <f>M$25/INDEX($C$27:$C$32,$P69)*D69*C69/1000</f>
        <v>3.7355639999999997</v>
      </c>
      <c r="N69" s="42">
        <f>N$25/INDEX($C$27:$C$32,$P69)*D69*C69/1000</f>
        <v>3.7355639999999997</v>
      </c>
      <c r="P69" s="43" t="n">
        <v>3</v>
      </c>
    </row>
    <row r="70">
      <c r="B70" s="22" t="inlineStr">
        <is>
          <t>Масло для редуктора привода карусе</t>
        </is>
      </c>
      <c r="C70" s="44" t="n">
        <v>12.706</v>
      </c>
      <c r="D70" s="44" t="n">
        <v>1.4</v>
      </c>
      <c r="E70" s="42">
        <f>E$25/INDEX($C$27:$C$32,$P70)*D70*C70/1000</f>
        <v>0.12451879999999999</v>
      </c>
      <c r="F70" s="42">
        <f>F$25/INDEX($C$27:$C$32,$P70)*D70*C70/1000</f>
        <v>0.12451879999999999</v>
      </c>
      <c r="G70" s="42">
        <f>G$25/INDEX($C$27:$C$32,$P70)*D70*C70/1000</f>
        <v>0.12451879999999999</v>
      </c>
      <c r="H70" s="42">
        <f>H$25/INDEX($C$27:$C$32,$P70)*D70*C70/1000</f>
        <v>0.12451879999999999</v>
      </c>
      <c r="I70" s="42">
        <f>I$25/INDEX($C$27:$C$32,$P70)*D70*C70/1000</f>
        <v>0.12451879999999999</v>
      </c>
      <c r="J70" s="42">
        <f>J$25/INDEX($C$27:$C$32,$P70)*D70*C70/1000</f>
        <v>0.12451879999999999</v>
      </c>
      <c r="K70" s="42">
        <f>K$25/INDEX($C$27:$C$32,$P70)*D70*C70/1000</f>
        <v>0.12451879999999999</v>
      </c>
      <c r="L70" s="42">
        <f>L$25/INDEX($C$27:$C$32,$P70)*D70*C70/1000</f>
        <v>0.12451879999999999</v>
      </c>
      <c r="M70" s="42">
        <f>M$25/INDEX($C$27:$C$32,$P70)*D70*C70/1000</f>
        <v>0.12451879999999999</v>
      </c>
      <c r="N70" s="42">
        <f>N$25/INDEX($C$27:$C$32,$P70)*D70*C70/1000</f>
        <v>0.12451879999999999</v>
      </c>
      <c r="P70" s="43" t="n">
        <v>3</v>
      </c>
    </row>
    <row r="71">
      <c r="B71" s="22" t="inlineStr">
        <is>
          <t>Компрессорное масло</t>
        </is>
      </c>
      <c r="C71" s="44" t="n">
        <v>23.349</v>
      </c>
      <c r="D71" s="44" t="n">
        <v>123</v>
      </c>
      <c r="E71" s="42">
        <f>E$25/INDEX($C$27:$C$32,$P71)*D71*C71/1000</f>
        <v>20.103489</v>
      </c>
      <c r="F71" s="42">
        <f>F$25/INDEX($C$27:$C$32,$P71)*D71*C71/1000</f>
        <v>20.103489</v>
      </c>
      <c r="G71" s="42">
        <f>G$25/INDEX($C$27:$C$32,$P71)*D71*C71/1000</f>
        <v>20.103489</v>
      </c>
      <c r="H71" s="42">
        <f>H$25/INDEX($C$27:$C$32,$P71)*D71*C71/1000</f>
        <v>20.103489</v>
      </c>
      <c r="I71" s="42">
        <f>I$25/INDEX($C$27:$C$32,$P71)*D71*C71/1000</f>
        <v>20.103489</v>
      </c>
      <c r="J71" s="42">
        <f>J$25/INDEX($C$27:$C$32,$P71)*D71*C71/1000</f>
        <v>20.103489</v>
      </c>
      <c r="K71" s="42">
        <f>K$25/INDEX($C$27:$C$32,$P71)*D71*C71/1000</f>
        <v>20.103489</v>
      </c>
      <c r="L71" s="42">
        <f>L$25/INDEX($C$27:$C$32,$P71)*D71*C71/1000</f>
        <v>20.103489</v>
      </c>
      <c r="M71" s="42">
        <f>M$25/INDEX($C$27:$C$32,$P71)*D71*C71/1000</f>
        <v>20.103489</v>
      </c>
      <c r="N71" s="42">
        <f>N$25/INDEX($C$27:$C$32,$P71)*D71*C71/1000</f>
        <v>20.103489</v>
      </c>
      <c r="P71" s="43" t="n">
        <v>3</v>
      </c>
    </row>
    <row r="72">
      <c r="B72" s="22" t="inlineStr">
        <is>
          <t>Гидравлический фильтр</t>
        </is>
      </c>
      <c r="C72" s="44" t="n">
        <v>48.312</v>
      </c>
      <c r="D72" s="44" t="n">
        <v>2</v>
      </c>
      <c r="E72" s="42">
        <f>E$25/INDEX($C$27:$C$32,$P72)*D72*C72/1000</f>
        <v>0.676368</v>
      </c>
      <c r="F72" s="42">
        <f>F$25/INDEX($C$27:$C$32,$P72)*D72*C72/1000</f>
        <v>0.676368</v>
      </c>
      <c r="G72" s="42">
        <f>G$25/INDEX($C$27:$C$32,$P72)*D72*C72/1000</f>
        <v>0.676368</v>
      </c>
      <c r="H72" s="42">
        <f>H$25/INDEX($C$27:$C$32,$P72)*D72*C72/1000</f>
        <v>0.676368</v>
      </c>
      <c r="I72" s="42">
        <f>I$25/INDEX($C$27:$C$32,$P72)*D72*C72/1000</f>
        <v>0.676368</v>
      </c>
      <c r="J72" s="42">
        <f>J$25/INDEX($C$27:$C$32,$P72)*D72*C72/1000</f>
        <v>0.676368</v>
      </c>
      <c r="K72" s="42">
        <f>K$25/INDEX($C$27:$C$32,$P72)*D72*C72/1000</f>
        <v>0.676368</v>
      </c>
      <c r="L72" s="42">
        <f>L$25/INDEX($C$27:$C$32,$P72)*D72*C72/1000</f>
        <v>0.676368</v>
      </c>
      <c r="M72" s="42">
        <f>M$25/INDEX($C$27:$C$32,$P72)*D72*C72/1000</f>
        <v>0.676368</v>
      </c>
      <c r="N72" s="42">
        <f>N$25/INDEX($C$27:$C$32,$P72)*D72*C72/1000</f>
        <v>0.676368</v>
      </c>
      <c r="P72" s="43" t="n">
        <v>3</v>
      </c>
    </row>
    <row r="73">
      <c r="B73" s="22" t="inlineStr">
        <is>
          <t>Гидравлический фильтр (обратка)</t>
        </is>
      </c>
      <c r="C73" s="44" t="n">
        <v>156.975</v>
      </c>
      <c r="D73" s="44" t="n">
        <v>1</v>
      </c>
      <c r="E73" s="42">
        <f>E$25/INDEX($C$27:$C$32,$P73)*D73*C73/1000</f>
        <v>1.098825</v>
      </c>
      <c r="F73" s="42">
        <f>F$25/INDEX($C$27:$C$32,$P73)*D73*C73/1000</f>
        <v>1.098825</v>
      </c>
      <c r="G73" s="42">
        <f>G$25/INDEX($C$27:$C$32,$P73)*D73*C73/1000</f>
        <v>1.098825</v>
      </c>
      <c r="H73" s="42">
        <f>H$25/INDEX($C$27:$C$32,$P73)*D73*C73/1000</f>
        <v>1.098825</v>
      </c>
      <c r="I73" s="42">
        <f>I$25/INDEX($C$27:$C$32,$P73)*D73*C73/1000</f>
        <v>1.098825</v>
      </c>
      <c r="J73" s="42">
        <f>J$25/INDEX($C$27:$C$32,$P73)*D73*C73/1000</f>
        <v>1.098825</v>
      </c>
      <c r="K73" s="42">
        <f>K$25/INDEX($C$27:$C$32,$P73)*D73*C73/1000</f>
        <v>1.098825</v>
      </c>
      <c r="L73" s="42">
        <f>L$25/INDEX($C$27:$C$32,$P73)*D73*C73/1000</f>
        <v>1.098825</v>
      </c>
      <c r="M73" s="42">
        <f>M$25/INDEX($C$27:$C$32,$P73)*D73*C73/1000</f>
        <v>1.098825</v>
      </c>
      <c r="N73" s="42">
        <f>N$25/INDEX($C$27:$C$32,$P73)*D73*C73/1000</f>
        <v>1.098825</v>
      </c>
      <c r="P73" s="43" t="n">
        <v>3</v>
      </c>
    </row>
    <row r="74">
      <c r="B74" s="22" t="inlineStr">
        <is>
          <t>Фильтр кабины</t>
        </is>
      </c>
      <c r="C74" s="44" t="n">
        <v>59.175</v>
      </c>
      <c r="D74" s="44" t="n">
        <v>1</v>
      </c>
      <c r="E74" s="42">
        <f>E$25/INDEX($C$27:$C$32,$P74)*D74*C74/1000</f>
        <v>0.41422499999999995</v>
      </c>
      <c r="F74" s="42">
        <f>F$25/INDEX($C$27:$C$32,$P74)*D74*C74/1000</f>
        <v>0.41422499999999995</v>
      </c>
      <c r="G74" s="42">
        <f>G$25/INDEX($C$27:$C$32,$P74)*D74*C74/1000</f>
        <v>0.41422499999999995</v>
      </c>
      <c r="H74" s="42">
        <f>H$25/INDEX($C$27:$C$32,$P74)*D74*C74/1000</f>
        <v>0.41422499999999995</v>
      </c>
      <c r="I74" s="42">
        <f>I$25/INDEX($C$27:$C$32,$P74)*D74*C74/1000</f>
        <v>0.41422499999999995</v>
      </c>
      <c r="J74" s="42">
        <f>J$25/INDEX($C$27:$C$32,$P74)*D74*C74/1000</f>
        <v>0.41422499999999995</v>
      </c>
      <c r="K74" s="42">
        <f>K$25/INDEX($C$27:$C$32,$P74)*D74*C74/1000</f>
        <v>0.41422499999999995</v>
      </c>
      <c r="L74" s="42">
        <f>L$25/INDEX($C$27:$C$32,$P74)*D74*C74/1000</f>
        <v>0.41422499999999995</v>
      </c>
      <c r="M74" s="42">
        <f>M$25/INDEX($C$27:$C$32,$P74)*D74*C74/1000</f>
        <v>0.41422499999999995</v>
      </c>
      <c r="N74" s="42">
        <f>N$25/INDEX($C$27:$C$32,$P74)*D74*C74/1000</f>
        <v>0.41422499999999995</v>
      </c>
      <c r="P74" s="43" t="n">
        <v>3</v>
      </c>
    </row>
    <row r="75">
      <c r="B75" s="22" t="inlineStr">
        <is>
          <t>Фильтр кондиционера</t>
        </is>
      </c>
      <c r="C75" s="44" t="n">
        <v>33.663</v>
      </c>
      <c r="D75" s="44" t="n">
        <v>1</v>
      </c>
      <c r="E75" s="42">
        <f>E$25/INDEX($C$27:$C$32,$P75)*D75*C75/1000</f>
        <v>0.23564099999999996</v>
      </c>
      <c r="F75" s="42">
        <f>F$25/INDEX($C$27:$C$32,$P75)*D75*C75/1000</f>
        <v>0.23564099999999996</v>
      </c>
      <c r="G75" s="42">
        <f>G$25/INDEX($C$27:$C$32,$P75)*D75*C75/1000</f>
        <v>0.23564099999999996</v>
      </c>
      <c r="H75" s="42">
        <f>H$25/INDEX($C$27:$C$32,$P75)*D75*C75/1000</f>
        <v>0.23564099999999996</v>
      </c>
      <c r="I75" s="42">
        <f>I$25/INDEX($C$27:$C$32,$P75)*D75*C75/1000</f>
        <v>0.23564099999999996</v>
      </c>
      <c r="J75" s="42">
        <f>J$25/INDEX($C$27:$C$32,$P75)*D75*C75/1000</f>
        <v>0.23564099999999996</v>
      </c>
      <c r="K75" s="42">
        <f>K$25/INDEX($C$27:$C$32,$P75)*D75*C75/1000</f>
        <v>0.23564099999999996</v>
      </c>
      <c r="L75" s="42">
        <f>L$25/INDEX($C$27:$C$32,$P75)*D75*C75/1000</f>
        <v>0.23564099999999996</v>
      </c>
      <c r="M75" s="42">
        <f>M$25/INDEX($C$27:$C$32,$P75)*D75*C75/1000</f>
        <v>0.23564099999999996</v>
      </c>
      <c r="N75" s="42">
        <f>N$25/INDEX($C$27:$C$32,$P75)*D75*C75/1000</f>
        <v>0.23564099999999996</v>
      </c>
      <c r="P75" s="43" t="n">
        <v>3</v>
      </c>
    </row>
    <row r="76">
      <c r="B76" s="22" t="inlineStr">
        <is>
          <t>Фильтр вращателя</t>
        </is>
      </c>
      <c r="C76" s="44" t="n">
        <v>29.875</v>
      </c>
      <c r="D76" s="44" t="n">
        <v>1</v>
      </c>
      <c r="E76" s="42">
        <f>E$25/INDEX($C$27:$C$32,$P76)*D76*C76/1000</f>
        <v>0.209125</v>
      </c>
      <c r="F76" s="42">
        <f>F$25/INDEX($C$27:$C$32,$P76)*D76*C76/1000</f>
        <v>0.209125</v>
      </c>
      <c r="G76" s="42">
        <f>G$25/INDEX($C$27:$C$32,$P76)*D76*C76/1000</f>
        <v>0.209125</v>
      </c>
      <c r="H76" s="42">
        <f>H$25/INDEX($C$27:$C$32,$P76)*D76*C76/1000</f>
        <v>0.209125</v>
      </c>
      <c r="I76" s="42">
        <f>I$25/INDEX($C$27:$C$32,$P76)*D76*C76/1000</f>
        <v>0.209125</v>
      </c>
      <c r="J76" s="42">
        <f>J$25/INDEX($C$27:$C$32,$P76)*D76*C76/1000</f>
        <v>0.209125</v>
      </c>
      <c r="K76" s="42">
        <f>K$25/INDEX($C$27:$C$32,$P76)*D76*C76/1000</f>
        <v>0.209125</v>
      </c>
      <c r="L76" s="42">
        <f>L$25/INDEX($C$27:$C$32,$P76)*D76*C76/1000</f>
        <v>0.209125</v>
      </c>
      <c r="M76" s="42">
        <f>M$25/INDEX($C$27:$C$32,$P76)*D76*C76/1000</f>
        <v>0.209125</v>
      </c>
      <c r="N76" s="42">
        <f>N$25/INDEX($C$27:$C$32,$P76)*D76*C76/1000</f>
        <v>0.209125</v>
      </c>
      <c r="P76" s="43" t="n">
        <v>3</v>
      </c>
    </row>
    <row r="77">
      <c r="B77" s="22" t="inlineStr">
        <is>
          <t>Консистентная смазка</t>
        </is>
      </c>
      <c r="C77" s="44" t="n">
        <v>10.752</v>
      </c>
      <c r="D77" s="44" t="n">
        <v>0.1</v>
      </c>
      <c r="E77" s="42">
        <f>E$25/INDEX($C$27:$C$32,$P77)*D77*C77/1000</f>
        <v>0.007526400000000002</v>
      </c>
      <c r="F77" s="42">
        <f>F$25/INDEX($C$27:$C$32,$P77)*D77*C77/1000</f>
        <v>0.007526400000000002</v>
      </c>
      <c r="G77" s="42">
        <f>G$25/INDEX($C$27:$C$32,$P77)*D77*C77/1000</f>
        <v>0.007526400000000002</v>
      </c>
      <c r="H77" s="42">
        <f>H$25/INDEX($C$27:$C$32,$P77)*D77*C77/1000</f>
        <v>0.007526400000000002</v>
      </c>
      <c r="I77" s="42">
        <f>I$25/INDEX($C$27:$C$32,$P77)*D77*C77/1000</f>
        <v>0.007526400000000002</v>
      </c>
      <c r="J77" s="42">
        <f>J$25/INDEX($C$27:$C$32,$P77)*D77*C77/1000</f>
        <v>0.007526400000000002</v>
      </c>
      <c r="K77" s="42">
        <f>K$25/INDEX($C$27:$C$32,$P77)*D77*C77/1000</f>
        <v>0.007526400000000002</v>
      </c>
      <c r="L77" s="42">
        <f>L$25/INDEX($C$27:$C$32,$P77)*D77*C77/1000</f>
        <v>0.007526400000000002</v>
      </c>
      <c r="M77" s="42">
        <f>M$25/INDEX($C$27:$C$32,$P77)*D77*C77/1000</f>
        <v>0.007526400000000002</v>
      </c>
      <c r="N77" s="42">
        <f>N$25/INDEX($C$27:$C$32,$P77)*D77*C77/1000</f>
        <v>0.007526400000000002</v>
      </c>
      <c r="P77" s="43" t="n">
        <v>3</v>
      </c>
    </row>
    <row r="78">
      <c r="B78" s="22" t="inlineStr">
        <is>
          <t>Элемент сепаратора</t>
        </is>
      </c>
      <c r="C78" s="44" t="n">
        <v>561.462</v>
      </c>
      <c r="D78" s="44" t="n">
        <v>1</v>
      </c>
      <c r="E78" s="42">
        <f>E$25/INDEX($C$27:$C$32,$P78)*D78*C78/1000</f>
        <v>1.965117</v>
      </c>
      <c r="F78" s="42">
        <f>F$25/INDEX($C$27:$C$32,$P78)*D78*C78/1000</f>
        <v>1.965117</v>
      </c>
      <c r="G78" s="42">
        <f>G$25/INDEX($C$27:$C$32,$P78)*D78*C78/1000</f>
        <v>1.965117</v>
      </c>
      <c r="H78" s="42">
        <f>H$25/INDEX($C$27:$C$32,$P78)*D78*C78/1000</f>
        <v>1.965117</v>
      </c>
      <c r="I78" s="42">
        <f>I$25/INDEX($C$27:$C$32,$P78)*D78*C78/1000</f>
        <v>1.965117</v>
      </c>
      <c r="J78" s="42">
        <f>J$25/INDEX($C$27:$C$32,$P78)*D78*C78/1000</f>
        <v>1.965117</v>
      </c>
      <c r="K78" s="42">
        <f>K$25/INDEX($C$27:$C$32,$P78)*D78*C78/1000</f>
        <v>1.965117</v>
      </c>
      <c r="L78" s="42">
        <f>L$25/INDEX($C$27:$C$32,$P78)*D78*C78/1000</f>
        <v>1.965117</v>
      </c>
      <c r="M78" s="42">
        <f>M$25/INDEX($C$27:$C$32,$P78)*D78*C78/1000</f>
        <v>1.965117</v>
      </c>
      <c r="N78" s="42">
        <f>N$25/INDEX($C$27:$C$32,$P78)*D78*C78/1000</f>
        <v>1.965117</v>
      </c>
      <c r="P78" s="43" t="n">
        <v>4</v>
      </c>
    </row>
    <row r="79">
      <c r="B79" s="22" t="inlineStr">
        <is>
          <t>Масло редукторов хода</t>
        </is>
      </c>
      <c r="C79" s="44" t="n">
        <v>23.907</v>
      </c>
      <c r="D79" s="44" t="n">
        <v>7</v>
      </c>
      <c r="E79" s="42">
        <f>E$25/INDEX($C$27:$C$32,$P79)*D79*C79/1000</f>
        <v>0.5857215</v>
      </c>
      <c r="F79" s="42">
        <f>F$25/INDEX($C$27:$C$32,$P79)*D79*C79/1000</f>
        <v>0.5857215</v>
      </c>
      <c r="G79" s="42">
        <f>G$25/INDEX($C$27:$C$32,$P79)*D79*C79/1000</f>
        <v>0.5857215</v>
      </c>
      <c r="H79" s="42">
        <f>H$25/INDEX($C$27:$C$32,$P79)*D79*C79/1000</f>
        <v>0.5857215</v>
      </c>
      <c r="I79" s="42">
        <f>I$25/INDEX($C$27:$C$32,$P79)*D79*C79/1000</f>
        <v>0.5857215</v>
      </c>
      <c r="J79" s="42">
        <f>J$25/INDEX($C$27:$C$32,$P79)*D79*C79/1000</f>
        <v>0.5857215</v>
      </c>
      <c r="K79" s="42">
        <f>K$25/INDEX($C$27:$C$32,$P79)*D79*C79/1000</f>
        <v>0.5857215</v>
      </c>
      <c r="L79" s="42">
        <f>L$25/INDEX($C$27:$C$32,$P79)*D79*C79/1000</f>
        <v>0.5857215</v>
      </c>
      <c r="M79" s="42">
        <f>M$25/INDEX($C$27:$C$32,$P79)*D79*C79/1000</f>
        <v>0.5857215</v>
      </c>
      <c r="N79" s="42">
        <f>N$25/INDEX($C$27:$C$32,$P79)*D79*C79/1000</f>
        <v>0.5857215</v>
      </c>
      <c r="P79" s="43" t="n">
        <v>4</v>
      </c>
    </row>
    <row r="80">
      <c r="B80" s="22" t="inlineStr">
        <is>
          <t>Фильтр системы пылеподавления</t>
        </is>
      </c>
      <c r="C80" s="44" t="n">
        <v>19.45</v>
      </c>
      <c r="D80" s="44" t="n">
        <v>1</v>
      </c>
      <c r="E80" s="42">
        <f>E$25/INDEX($C$27:$C$32,$P80)*D80*C80/1000</f>
        <v>0.068075</v>
      </c>
      <c r="F80" s="42">
        <f>F$25/INDEX($C$27:$C$32,$P80)*D80*C80/1000</f>
        <v>0.068075</v>
      </c>
      <c r="G80" s="42">
        <f>G$25/INDEX($C$27:$C$32,$P80)*D80*C80/1000</f>
        <v>0.068075</v>
      </c>
      <c r="H80" s="42">
        <f>H$25/INDEX($C$27:$C$32,$P80)*D80*C80/1000</f>
        <v>0.068075</v>
      </c>
      <c r="I80" s="42">
        <f>I$25/INDEX($C$27:$C$32,$P80)*D80*C80/1000</f>
        <v>0.068075</v>
      </c>
      <c r="J80" s="42">
        <f>J$25/INDEX($C$27:$C$32,$P80)*D80*C80/1000</f>
        <v>0.068075</v>
      </c>
      <c r="K80" s="42">
        <f>K$25/INDEX($C$27:$C$32,$P80)*D80*C80/1000</f>
        <v>0.068075</v>
      </c>
      <c r="L80" s="42">
        <f>L$25/INDEX($C$27:$C$32,$P80)*D80*C80/1000</f>
        <v>0.068075</v>
      </c>
      <c r="M80" s="42">
        <f>M$25/INDEX($C$27:$C$32,$P80)*D80*C80/1000</f>
        <v>0.068075</v>
      </c>
      <c r="N80" s="42">
        <f>N$25/INDEX($C$27:$C$32,$P80)*D80*C80/1000</f>
        <v>0.068075</v>
      </c>
      <c r="P80" s="43" t="n">
        <v>4</v>
      </c>
    </row>
    <row r="81">
      <c r="B81" s="22" t="inlineStr">
        <is>
          <t>Уплотнение штанги</t>
        </is>
      </c>
      <c r="C81" s="44" t="n">
        <v>218.162</v>
      </c>
      <c r="D81" s="44" t="n">
        <v>1</v>
      </c>
      <c r="E81" s="42">
        <f>E$25/INDEX($C$27:$C$32,$P81)*D81*C81/1000</f>
        <v>0.763567</v>
      </c>
      <c r="F81" s="42">
        <f>F$25/INDEX($C$27:$C$32,$P81)*D81*C81/1000</f>
        <v>0.763567</v>
      </c>
      <c r="G81" s="42">
        <f>G$25/INDEX($C$27:$C$32,$P81)*D81*C81/1000</f>
        <v>0.763567</v>
      </c>
      <c r="H81" s="42">
        <f>H$25/INDEX($C$27:$C$32,$P81)*D81*C81/1000</f>
        <v>0.763567</v>
      </c>
      <c r="I81" s="42">
        <f>I$25/INDEX($C$27:$C$32,$P81)*D81*C81/1000</f>
        <v>0.763567</v>
      </c>
      <c r="J81" s="42">
        <f>J$25/INDEX($C$27:$C$32,$P81)*D81*C81/1000</f>
        <v>0.763567</v>
      </c>
      <c r="K81" s="42">
        <f>K$25/INDEX($C$27:$C$32,$P81)*D81*C81/1000</f>
        <v>0.763567</v>
      </c>
      <c r="L81" s="42">
        <f>L$25/INDEX($C$27:$C$32,$P81)*D81*C81/1000</f>
        <v>0.763567</v>
      </c>
      <c r="M81" s="42">
        <f>M$25/INDEX($C$27:$C$32,$P81)*D81*C81/1000</f>
        <v>0.763567</v>
      </c>
      <c r="N81" s="42">
        <f>N$25/INDEX($C$27:$C$32,$P81)*D81*C81/1000</f>
        <v>0.763567</v>
      </c>
      <c r="P81" s="43" t="n">
        <v>4</v>
      </c>
    </row>
    <row r="82">
      <c r="B82" s="22" t="inlineStr">
        <is>
          <t>Гидравлическое масло</t>
        </is>
      </c>
      <c r="C82" s="44" t="n">
        <v>30.236</v>
      </c>
      <c r="D82" s="44" t="n">
        <v>833</v>
      </c>
      <c r="E82" s="42">
        <f>E$25/INDEX($C$27:$C$32,$P82)*D82*C82/1000</f>
        <v>58.76870533333334</v>
      </c>
      <c r="F82" s="42">
        <f>F$25/INDEX($C$27:$C$32,$P82)*D82*C82/1000</f>
        <v>58.76870533333334</v>
      </c>
      <c r="G82" s="42">
        <f>G$25/INDEX($C$27:$C$32,$P82)*D82*C82/1000</f>
        <v>58.76870533333334</v>
      </c>
      <c r="H82" s="42">
        <f>H$25/INDEX($C$27:$C$32,$P82)*D82*C82/1000</f>
        <v>58.76870533333334</v>
      </c>
      <c r="I82" s="42">
        <f>I$25/INDEX($C$27:$C$32,$P82)*D82*C82/1000</f>
        <v>58.76870533333334</v>
      </c>
      <c r="J82" s="42">
        <f>J$25/INDEX($C$27:$C$32,$P82)*D82*C82/1000</f>
        <v>58.76870533333334</v>
      </c>
      <c r="K82" s="42">
        <f>K$25/INDEX($C$27:$C$32,$P82)*D82*C82/1000</f>
        <v>58.76870533333334</v>
      </c>
      <c r="L82" s="42">
        <f>L$25/INDEX($C$27:$C$32,$P82)*D82*C82/1000</f>
        <v>58.76870533333334</v>
      </c>
      <c r="M82" s="42">
        <f>M$25/INDEX($C$27:$C$32,$P82)*D82*C82/1000</f>
        <v>58.76870533333334</v>
      </c>
      <c r="N82" s="42">
        <f>N$25/INDEX($C$27:$C$32,$P82)*D82*C82/1000</f>
        <v>58.76870533333334</v>
      </c>
      <c r="P82" s="43" t="n">
        <v>5</v>
      </c>
    </row>
    <row r="83">
      <c r="B83" s="22" t="inlineStr">
        <is>
          <t>Охлаждающая жидкость</t>
        </is>
      </c>
      <c r="C83" s="44" t="n">
        <v>3.122</v>
      </c>
      <c r="D83" s="44" t="n">
        <v>190</v>
      </c>
      <c r="E83" s="42">
        <f>E$25/INDEX($C$27:$C$32,$P83)*D83*C83/1000</f>
        <v>0.830452</v>
      </c>
      <c r="F83" s="42">
        <f>F$25/INDEX($C$27:$C$32,$P83)*D83*C83/1000</f>
        <v>0.830452</v>
      </c>
      <c r="G83" s="42">
        <f>G$25/INDEX($C$27:$C$32,$P83)*D83*C83/1000</f>
        <v>0.830452</v>
      </c>
      <c r="H83" s="42">
        <f>H$25/INDEX($C$27:$C$32,$P83)*D83*C83/1000</f>
        <v>0.830452</v>
      </c>
      <c r="I83" s="42">
        <f>I$25/INDEX($C$27:$C$32,$P83)*D83*C83/1000</f>
        <v>0.830452</v>
      </c>
      <c r="J83" s="42">
        <f>J$25/INDEX($C$27:$C$32,$P83)*D83*C83/1000</f>
        <v>0.830452</v>
      </c>
      <c r="K83" s="42">
        <f>K$25/INDEX($C$27:$C$32,$P83)*D83*C83/1000</f>
        <v>0.830452</v>
      </c>
      <c r="L83" s="42">
        <f>L$25/INDEX($C$27:$C$32,$P83)*D83*C83/1000</f>
        <v>0.830452</v>
      </c>
      <c r="M83" s="42">
        <f>M$25/INDEX($C$27:$C$32,$P83)*D83*C83/1000</f>
        <v>0.830452</v>
      </c>
      <c r="N83" s="42">
        <f>N$25/INDEX($C$27:$C$32,$P83)*D83*C83/1000</f>
        <v>0.830452</v>
      </c>
      <c r="P83" s="43" t="n">
        <v>6</v>
      </c>
    </row>
    <row r="84">
      <c r="B84" s="22" t="inlineStr">
        <is>
          <t>Корректировка (прочее)</t>
        </is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</row>
    <row r="85">
      <c r="B85" s="39" t="inlineStr">
        <is>
          <t>ИТОГО ЗЧ ТО, тыс.вал/год</t>
        </is>
      </c>
      <c r="E85" s="42">
        <f>SUM(E51:E84)</f>
        <v>136.07378843333333</v>
      </c>
      <c r="F85" s="42">
        <f>SUM(F51:F84)</f>
        <v>136.07378843333333</v>
      </c>
      <c r="G85" s="42">
        <f>SUM(G51:G84)</f>
        <v>136.07378843333333</v>
      </c>
      <c r="H85" s="42">
        <f>SUM(H51:H84)</f>
        <v>136.07378843333333</v>
      </c>
      <c r="I85" s="42">
        <f>SUM(I51:I84)</f>
        <v>136.07378843333333</v>
      </c>
      <c r="J85" s="42">
        <f>SUM(J51:J84)</f>
        <v>136.07378843333333</v>
      </c>
      <c r="K85" s="42">
        <f>SUM(K51:K84)</f>
        <v>136.07378843333333</v>
      </c>
      <c r="L85" s="42">
        <f>SUM(L51:L84)</f>
        <v>136.07378843333333</v>
      </c>
      <c r="M85" s="42">
        <f>SUM(M51:M84)</f>
        <v>136.07378843333333</v>
      </c>
      <c r="N85" s="42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44" t="n">
        <v>98848.48</v>
      </c>
      <c r="D89" s="43" t="n">
        <v>15000</v>
      </c>
      <c r="E89" s="42">
        <f>(INT($E$25*1/$D89)-INT($E$25*(1-1)/$D89))*$C89/1000</f>
        <v>0.0</v>
      </c>
      <c r="F89" s="42">
        <f>(INT($E$25*2/$D89)-INT($E$25*(2-1)/$D89))*$C89/1000</f>
        <v>0.0</v>
      </c>
      <c r="G89" s="42">
        <f>(INT($E$25*3/$D89)-INT($E$25*(3-1)/$D89))*$C89/1000</f>
        <v>98.84848</v>
      </c>
      <c r="H89" s="42">
        <f>(INT($E$25*4/$D89)-INT($E$25*(4-1)/$D89))*$C89/1000</f>
        <v>0.0</v>
      </c>
      <c r="I89" s="42">
        <f>(INT($E$25*5/$D89)-INT($E$25*(5-1)/$D89))*$C89/1000</f>
        <v>98.84848</v>
      </c>
      <c r="J89" s="42">
        <f>(INT($E$25*6/$D89)-INT($E$25*(6-1)/$D89))*$C89/1000</f>
        <v>0.0</v>
      </c>
      <c r="K89" s="42">
        <f>(INT($E$25*7/$D89)-INT($E$25*(7-1)/$D89))*$C89/1000</f>
        <v>98.84848</v>
      </c>
      <c r="L89" s="42">
        <f>(INT($E$25*8/$D89)-INT($E$25*(8-1)/$D89))*$C89/1000</f>
        <v>0.0</v>
      </c>
      <c r="M89" s="42">
        <f>(INT($E$25*9/$D89)-INT($E$25*(9-1)/$D89))*$C89/1000</f>
        <v>98.84848</v>
      </c>
      <c r="N89" s="42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44" t="n">
        <v>32894</v>
      </c>
      <c r="D90" s="43" t="n">
        <v>16000</v>
      </c>
      <c r="E90" s="42">
        <f>(INT($E$25*1/$D90)-INT($E$25*(1-1)/$D90))*$C90/1000</f>
        <v>0.0</v>
      </c>
      <c r="F90" s="42">
        <f>(INT($E$25*2/$D90)-INT($E$25*(2-1)/$D90))*$C90/1000</f>
        <v>0.0</v>
      </c>
      <c r="G90" s="42">
        <f>(INT($E$25*3/$D90)-INT($E$25*(3-1)/$D90))*$C90/1000</f>
        <v>32.894</v>
      </c>
      <c r="H90" s="42">
        <f>(INT($E$25*4/$D90)-INT($E$25*(4-1)/$D90))*$C90/1000</f>
        <v>0.0</v>
      </c>
      <c r="I90" s="42">
        <f>(INT($E$25*5/$D90)-INT($E$25*(5-1)/$D90))*$C90/1000</f>
        <v>32.894</v>
      </c>
      <c r="J90" s="42">
        <f>(INT($E$25*6/$D90)-INT($E$25*(6-1)/$D90))*$C90/1000</f>
        <v>0.0</v>
      </c>
      <c r="K90" s="42">
        <f>(INT($E$25*7/$D90)-INT($E$25*(7-1)/$D90))*$C90/1000</f>
        <v>32.894</v>
      </c>
      <c r="L90" s="42">
        <f>(INT($E$25*8/$D90)-INT($E$25*(8-1)/$D90))*$C90/1000</f>
        <v>0.0</v>
      </c>
      <c r="M90" s="42">
        <f>(INT($E$25*9/$D90)-INT($E$25*(9-1)/$D90))*$C90/1000</f>
        <v>0.0</v>
      </c>
      <c r="N90" s="42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44" t="n">
        <v>46638</v>
      </c>
      <c r="D91" s="43" t="n">
        <v>13000</v>
      </c>
      <c r="E91" s="42">
        <f>(INT($E$25*1/$D91)-INT($E$25*(1-1)/$D91))*$C91/1000</f>
        <v>0.0</v>
      </c>
      <c r="F91" s="42">
        <f>(INT($E$25*2/$D91)-INT($E$25*(2-1)/$D91))*$C91/1000</f>
        <v>46.638</v>
      </c>
      <c r="G91" s="42">
        <f>(INT($E$25*3/$D91)-INT($E$25*(3-1)/$D91))*$C91/1000</f>
        <v>0.0</v>
      </c>
      <c r="H91" s="42">
        <f>(INT($E$25*4/$D91)-INT($E$25*(4-1)/$D91))*$C91/1000</f>
        <v>46.638</v>
      </c>
      <c r="I91" s="42">
        <f>(INT($E$25*5/$D91)-INT($E$25*(5-1)/$D91))*$C91/1000</f>
        <v>0.0</v>
      </c>
      <c r="J91" s="42">
        <f>(INT($E$25*6/$D91)-INT($E$25*(6-1)/$D91))*$C91/1000</f>
        <v>46.638</v>
      </c>
      <c r="K91" s="42">
        <f>(INT($E$25*7/$D91)-INT($E$25*(7-1)/$D91))*$C91/1000</f>
        <v>0.0</v>
      </c>
      <c r="L91" s="42">
        <f>(INT($E$25*8/$D91)-INT($E$25*(8-1)/$D91))*$C91/1000</f>
        <v>46.638</v>
      </c>
      <c r="M91" s="42">
        <f>(INT($E$25*9/$D91)-INT($E$25*(9-1)/$D91))*$C91/1000</f>
        <v>0.0</v>
      </c>
      <c r="N91" s="42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44" t="n">
        <v>4240.92</v>
      </c>
      <c r="D92" s="43" t="n">
        <v>7450</v>
      </c>
      <c r="E92" s="42">
        <f>(INT($E$25*1/$D92)-INT($E$25*(1-1)/$D92))*$C92/1000</f>
        <v>0.0</v>
      </c>
      <c r="F92" s="42">
        <f>(INT($E$25*2/$D92)-INT($E$25*(2-1)/$D92))*$C92/1000</f>
        <v>4.24092</v>
      </c>
      <c r="G92" s="42">
        <f>(INT($E$25*3/$D92)-INT($E$25*(3-1)/$D92))*$C92/1000</f>
        <v>4.24092</v>
      </c>
      <c r="H92" s="42">
        <f>(INT($E$25*4/$D92)-INT($E$25*(4-1)/$D92))*$C92/1000</f>
        <v>4.24092</v>
      </c>
      <c r="I92" s="42">
        <f>(INT($E$25*5/$D92)-INT($E$25*(5-1)/$D92))*$C92/1000</f>
        <v>4.24092</v>
      </c>
      <c r="J92" s="42">
        <f>(INT($E$25*6/$D92)-INT($E$25*(6-1)/$D92))*$C92/1000</f>
        <v>4.24092</v>
      </c>
      <c r="K92" s="42">
        <f>(INT($E$25*7/$D92)-INT($E$25*(7-1)/$D92))*$C92/1000</f>
        <v>4.24092</v>
      </c>
      <c r="L92" s="42">
        <f>(INT($E$25*8/$D92)-INT($E$25*(8-1)/$D92))*$C92/1000</f>
        <v>4.24092</v>
      </c>
      <c r="M92" s="42">
        <f>(INT($E$25*9/$D92)-INT($E$25*(9-1)/$D92))*$C92/1000</f>
        <v>4.24092</v>
      </c>
      <c r="N92" s="42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44" t="n">
        <v>4242.92</v>
      </c>
      <c r="D93" s="43" t="n">
        <v>7450</v>
      </c>
      <c r="E93" s="42">
        <f>(INT($E$25*1/$D93)-INT($E$25*(1-1)/$D93))*$C93/1000</f>
        <v>0.0</v>
      </c>
      <c r="F93" s="42">
        <f>(INT($E$25*2/$D93)-INT($E$25*(2-1)/$D93))*$C93/1000</f>
        <v>4.24292</v>
      </c>
      <c r="G93" s="42">
        <f>(INT($E$25*3/$D93)-INT($E$25*(3-1)/$D93))*$C93/1000</f>
        <v>4.24292</v>
      </c>
      <c r="H93" s="42">
        <f>(INT($E$25*4/$D93)-INT($E$25*(4-1)/$D93))*$C93/1000</f>
        <v>4.24292</v>
      </c>
      <c r="I93" s="42">
        <f>(INT($E$25*5/$D93)-INT($E$25*(5-1)/$D93))*$C93/1000</f>
        <v>4.24292</v>
      </c>
      <c r="J93" s="42">
        <f>(INT($E$25*6/$D93)-INT($E$25*(6-1)/$D93))*$C93/1000</f>
        <v>4.24292</v>
      </c>
      <c r="K93" s="42">
        <f>(INT($E$25*7/$D93)-INT($E$25*(7-1)/$D93))*$C93/1000</f>
        <v>4.24292</v>
      </c>
      <c r="L93" s="42">
        <f>(INT($E$25*8/$D93)-INT($E$25*(8-1)/$D93))*$C93/1000</f>
        <v>4.24292</v>
      </c>
      <c r="M93" s="42">
        <f>(INT($E$25*9/$D93)-INT($E$25*(9-1)/$D93))*$C93/1000</f>
        <v>4.24292</v>
      </c>
      <c r="N93" s="42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44" t="n">
        <v>3464.48</v>
      </c>
      <c r="D94" s="43" t="n">
        <v>6000</v>
      </c>
      <c r="E94" s="42">
        <f>(INT($E$25*1/$D94)-INT($E$25*(1-1)/$D94))*$C94/1000</f>
        <v>3.46448</v>
      </c>
      <c r="F94" s="42">
        <f>(INT($E$25*2/$D94)-INT($E$25*(2-1)/$D94))*$C94/1000</f>
        <v>3.46448</v>
      </c>
      <c r="G94" s="42">
        <f>(INT($E$25*3/$D94)-INT($E$25*(3-1)/$D94))*$C94/1000</f>
        <v>3.46448</v>
      </c>
      <c r="H94" s="42">
        <f>(INT($E$25*4/$D94)-INT($E$25*(4-1)/$D94))*$C94/1000</f>
        <v>3.46448</v>
      </c>
      <c r="I94" s="42">
        <f>(INT($E$25*5/$D94)-INT($E$25*(5-1)/$D94))*$C94/1000</f>
        <v>3.46448</v>
      </c>
      <c r="J94" s="42">
        <f>(INT($E$25*6/$D94)-INT($E$25*(6-1)/$D94))*$C94/1000</f>
        <v>6.92896</v>
      </c>
      <c r="K94" s="42">
        <f>(INT($E$25*7/$D94)-INT($E$25*(7-1)/$D94))*$C94/1000</f>
        <v>3.46448</v>
      </c>
      <c r="L94" s="42">
        <f>(INT($E$25*8/$D94)-INT($E$25*(8-1)/$D94))*$C94/1000</f>
        <v>3.46448</v>
      </c>
      <c r="M94" s="42">
        <f>(INT($E$25*9/$D94)-INT($E$25*(9-1)/$D94))*$C94/1000</f>
        <v>3.46448</v>
      </c>
      <c r="N94" s="42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44" t="n">
        <v>237.18</v>
      </c>
      <c r="D95" s="43" t="n">
        <v>6000</v>
      </c>
      <c r="E95" s="42">
        <f>(INT($E$25*1/$D95)-INT($E$25*(1-1)/$D95))*$C95/1000</f>
        <v>0.23718</v>
      </c>
      <c r="F95" s="42">
        <f>(INT($E$25*2/$D95)-INT($E$25*(2-1)/$D95))*$C95/1000</f>
        <v>0.23718</v>
      </c>
      <c r="G95" s="42">
        <f>(INT($E$25*3/$D95)-INT($E$25*(3-1)/$D95))*$C95/1000</f>
        <v>0.23718</v>
      </c>
      <c r="H95" s="42">
        <f>(INT($E$25*4/$D95)-INT($E$25*(4-1)/$D95))*$C95/1000</f>
        <v>0.23718</v>
      </c>
      <c r="I95" s="42">
        <f>(INT($E$25*5/$D95)-INT($E$25*(5-1)/$D95))*$C95/1000</f>
        <v>0.23718</v>
      </c>
      <c r="J95" s="42">
        <f>(INT($E$25*6/$D95)-INT($E$25*(6-1)/$D95))*$C95/1000</f>
        <v>0.47436</v>
      </c>
      <c r="K95" s="42">
        <f>(INT($E$25*7/$D95)-INT($E$25*(7-1)/$D95))*$C95/1000</f>
        <v>0.23718</v>
      </c>
      <c r="L95" s="42">
        <f>(INT($E$25*8/$D95)-INT($E$25*(8-1)/$D95))*$C95/1000</f>
        <v>0.23718</v>
      </c>
      <c r="M95" s="42">
        <f>(INT($E$25*9/$D95)-INT($E$25*(9-1)/$D95))*$C95/1000</f>
        <v>0.23718</v>
      </c>
      <c r="N95" s="42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44" t="n">
        <v>102.66</v>
      </c>
      <c r="D96" s="43" t="n">
        <v>4000</v>
      </c>
      <c r="E96" s="42">
        <f>(INT($E$25*1/$D96)-INT($E$25*(1-1)/$D96))*$C96/1000</f>
        <v>0.10266</v>
      </c>
      <c r="F96" s="42">
        <f>(INT($E$25*2/$D96)-INT($E$25*(2-1)/$D96))*$C96/1000</f>
        <v>0.20532</v>
      </c>
      <c r="G96" s="42">
        <f>(INT($E$25*3/$D96)-INT($E$25*(3-1)/$D96))*$C96/1000</f>
        <v>0.20532</v>
      </c>
      <c r="H96" s="42">
        <f>(INT($E$25*4/$D96)-INT($E$25*(4-1)/$D96))*$C96/1000</f>
        <v>0.20532</v>
      </c>
      <c r="I96" s="42">
        <f>(INT($E$25*5/$D96)-INT($E$25*(5-1)/$D96))*$C96/1000</f>
        <v>0.10266</v>
      </c>
      <c r="J96" s="42">
        <f>(INT($E$25*6/$D96)-INT($E$25*(6-1)/$D96))*$C96/1000</f>
        <v>0.20532</v>
      </c>
      <c r="K96" s="42">
        <f>(INT($E$25*7/$D96)-INT($E$25*(7-1)/$D96))*$C96/1000</f>
        <v>0.20532</v>
      </c>
      <c r="L96" s="42">
        <f>(INT($E$25*8/$D96)-INT($E$25*(8-1)/$D96))*$C96/1000</f>
        <v>0.20532</v>
      </c>
      <c r="M96" s="42">
        <f>(INT($E$25*9/$D96)-INT($E$25*(9-1)/$D96))*$C96/1000</f>
        <v>0.10266</v>
      </c>
      <c r="N96" s="42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44" t="n">
        <v>110.66</v>
      </c>
      <c r="D97" s="43" t="n">
        <v>4000</v>
      </c>
      <c r="E97" s="42">
        <f>(INT($E$25*1/$D97)-INT($E$25*(1-1)/$D97))*$C97/1000</f>
        <v>0.11066</v>
      </c>
      <c r="F97" s="42">
        <f>(INT($E$25*2/$D97)-INT($E$25*(2-1)/$D97))*$C97/1000</f>
        <v>0.22132</v>
      </c>
      <c r="G97" s="42">
        <f>(INT($E$25*3/$D97)-INT($E$25*(3-1)/$D97))*$C97/1000</f>
        <v>0.22132</v>
      </c>
      <c r="H97" s="42">
        <f>(INT($E$25*4/$D97)-INT($E$25*(4-1)/$D97))*$C97/1000</f>
        <v>0.22132</v>
      </c>
      <c r="I97" s="42">
        <f>(INT($E$25*5/$D97)-INT($E$25*(5-1)/$D97))*$C97/1000</f>
        <v>0.11066</v>
      </c>
      <c r="J97" s="42">
        <f>(INT($E$25*6/$D97)-INT($E$25*(6-1)/$D97))*$C97/1000</f>
        <v>0.22132</v>
      </c>
      <c r="K97" s="42">
        <f>(INT($E$25*7/$D97)-INT($E$25*(7-1)/$D97))*$C97/1000</f>
        <v>0.22132</v>
      </c>
      <c r="L97" s="42">
        <f>(INT($E$25*8/$D97)-INT($E$25*(8-1)/$D97))*$C97/1000</f>
        <v>0.22132</v>
      </c>
      <c r="M97" s="42">
        <f>(INT($E$25*9/$D97)-INT($E$25*(9-1)/$D97))*$C97/1000</f>
        <v>0.11066</v>
      </c>
      <c r="N97" s="42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44" t="n">
        <v>92.04000000000001</v>
      </c>
      <c r="D98" s="43" t="n">
        <v>5000</v>
      </c>
      <c r="E98" s="42">
        <f>(INT($E$25*1/$D98)-INT($E$25*(1-1)/$D98))*$C98/1000</f>
        <v>0.09204000000000001</v>
      </c>
      <c r="F98" s="42">
        <f>(INT($E$25*2/$D98)-INT($E$25*(2-1)/$D98))*$C98/1000</f>
        <v>0.09204000000000001</v>
      </c>
      <c r="G98" s="42">
        <f>(INT($E$25*3/$D98)-INT($E$25*(3-1)/$D98))*$C98/1000</f>
        <v>0.18408000000000002</v>
      </c>
      <c r="H98" s="42">
        <f>(INT($E$25*4/$D98)-INT($E$25*(4-1)/$D98))*$C98/1000</f>
        <v>0.09204000000000001</v>
      </c>
      <c r="I98" s="42">
        <f>(INT($E$25*5/$D98)-INT($E$25*(5-1)/$D98))*$C98/1000</f>
        <v>0.18408000000000002</v>
      </c>
      <c r="J98" s="42">
        <f>(INT($E$25*6/$D98)-INT($E$25*(6-1)/$D98))*$C98/1000</f>
        <v>0.09204000000000001</v>
      </c>
      <c r="K98" s="42">
        <f>(INT($E$25*7/$D98)-INT($E$25*(7-1)/$D98))*$C98/1000</f>
        <v>0.09204000000000001</v>
      </c>
      <c r="L98" s="42">
        <f>(INT($E$25*8/$D98)-INT($E$25*(8-1)/$D98))*$C98/1000</f>
        <v>0.18408000000000002</v>
      </c>
      <c r="M98" s="42">
        <f>(INT($E$25*9/$D98)-INT($E$25*(9-1)/$D98))*$C98/1000</f>
        <v>0.09204000000000001</v>
      </c>
      <c r="N98" s="42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44" t="n">
        <v>123.9</v>
      </c>
      <c r="D99" s="43" t="n">
        <v>4000</v>
      </c>
      <c r="E99" s="42">
        <f>(INT($E$25*1/$D99)-INT($E$25*(1-1)/$D99))*$C99/1000</f>
        <v>0.12390000000000001</v>
      </c>
      <c r="F99" s="42">
        <f>(INT($E$25*2/$D99)-INT($E$25*(2-1)/$D99))*$C99/1000</f>
        <v>0.24780000000000002</v>
      </c>
      <c r="G99" s="42">
        <f>(INT($E$25*3/$D99)-INT($E$25*(3-1)/$D99))*$C99/1000</f>
        <v>0.24780000000000002</v>
      </c>
      <c r="H99" s="42">
        <f>(INT($E$25*4/$D99)-INT($E$25*(4-1)/$D99))*$C99/1000</f>
        <v>0.24780000000000002</v>
      </c>
      <c r="I99" s="42">
        <f>(INT($E$25*5/$D99)-INT($E$25*(5-1)/$D99))*$C99/1000</f>
        <v>0.12390000000000001</v>
      </c>
      <c r="J99" s="42">
        <f>(INT($E$25*6/$D99)-INT($E$25*(6-1)/$D99))*$C99/1000</f>
        <v>0.24780000000000002</v>
      </c>
      <c r="K99" s="42">
        <f>(INT($E$25*7/$D99)-INT($E$25*(7-1)/$D99))*$C99/1000</f>
        <v>0.24780000000000002</v>
      </c>
      <c r="L99" s="42">
        <f>(INT($E$25*8/$D99)-INT($E$25*(8-1)/$D99))*$C99/1000</f>
        <v>0.24780000000000002</v>
      </c>
      <c r="M99" s="42">
        <f>(INT($E$25*9/$D99)-INT($E$25*(9-1)/$D99))*$C99/1000</f>
        <v>0.12390000000000001</v>
      </c>
      <c r="N99" s="42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44" t="n">
        <v>143.96</v>
      </c>
      <c r="D100" s="43" t="n">
        <v>12000</v>
      </c>
      <c r="E100" s="42">
        <f>(INT($E$25*1/$D100)-INT($E$25*(1-1)/$D100))*$C100/1000</f>
        <v>0.0</v>
      </c>
      <c r="F100" s="42">
        <f>(INT($E$25*2/$D100)-INT($E$25*(2-1)/$D100))*$C100/1000</f>
        <v>0.14396</v>
      </c>
      <c r="G100" s="42">
        <f>(INT($E$25*3/$D100)-INT($E$25*(3-1)/$D100))*$C100/1000</f>
        <v>0.0</v>
      </c>
      <c r="H100" s="42">
        <f>(INT($E$25*4/$D100)-INT($E$25*(4-1)/$D100))*$C100/1000</f>
        <v>0.14396</v>
      </c>
      <c r="I100" s="42">
        <f>(INT($E$25*5/$D100)-INT($E$25*(5-1)/$D100))*$C100/1000</f>
        <v>0.0</v>
      </c>
      <c r="J100" s="42">
        <f>(INT($E$25*6/$D100)-INT($E$25*(6-1)/$D100))*$C100/1000</f>
        <v>0.14396</v>
      </c>
      <c r="K100" s="42">
        <f>(INT($E$25*7/$D100)-INT($E$25*(7-1)/$D100))*$C100/1000</f>
        <v>0.14396</v>
      </c>
      <c r="L100" s="42">
        <f>(INT($E$25*8/$D100)-INT($E$25*(8-1)/$D100))*$C100/1000</f>
        <v>0.0</v>
      </c>
      <c r="M100" s="42">
        <f>(INT($E$25*9/$D100)-INT($E$25*(9-1)/$D100))*$C100/1000</f>
        <v>0.14396</v>
      </c>
      <c r="N100" s="42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44" t="n">
        <v>159.96</v>
      </c>
      <c r="D101" s="43" t="n">
        <v>7000</v>
      </c>
      <c r="E101" s="42">
        <f>(INT($E$25*1/$D101)-INT($E$25*(1-1)/$D101))*$C101/1000</f>
        <v>0.15996000000000002</v>
      </c>
      <c r="F101" s="42">
        <f>(INT($E$25*2/$D101)-INT($E$25*(2-1)/$D101))*$C101/1000</f>
        <v>0.15996000000000002</v>
      </c>
      <c r="G101" s="42">
        <f>(INT($E$25*3/$D101)-INT($E$25*(3-1)/$D101))*$C101/1000</f>
        <v>0.15996000000000002</v>
      </c>
      <c r="H101" s="42">
        <f>(INT($E$25*4/$D101)-INT($E$25*(4-1)/$D101))*$C101/1000</f>
        <v>0.15996000000000002</v>
      </c>
      <c r="I101" s="42">
        <f>(INT($E$25*5/$D101)-INT($E$25*(5-1)/$D101))*$C101/1000</f>
        <v>0.15996000000000002</v>
      </c>
      <c r="J101" s="42">
        <f>(INT($E$25*6/$D101)-INT($E$25*(6-1)/$D101))*$C101/1000</f>
        <v>0.15996000000000002</v>
      </c>
      <c r="K101" s="42">
        <f>(INT($E$25*7/$D101)-INT($E$25*(7-1)/$D101))*$C101/1000</f>
        <v>0.15996000000000002</v>
      </c>
      <c r="L101" s="42">
        <f>(INT($E$25*8/$D101)-INT($E$25*(8-1)/$D101))*$C101/1000</f>
        <v>0.15996000000000002</v>
      </c>
      <c r="M101" s="42">
        <f>(INT($E$25*9/$D101)-INT($E$25*(9-1)/$D101))*$C101/1000</f>
        <v>0.15996000000000002</v>
      </c>
      <c r="N101" s="42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44" t="n">
        <v>215.94</v>
      </c>
      <c r="D102" s="43" t="n">
        <v>7000</v>
      </c>
      <c r="E102" s="42">
        <f>(INT($E$25*1/$D102)-INT($E$25*(1-1)/$D102))*$C102/1000</f>
        <v>0.21594</v>
      </c>
      <c r="F102" s="42">
        <f>(INT($E$25*2/$D102)-INT($E$25*(2-1)/$D102))*$C102/1000</f>
        <v>0.21594</v>
      </c>
      <c r="G102" s="42">
        <f>(INT($E$25*3/$D102)-INT($E$25*(3-1)/$D102))*$C102/1000</f>
        <v>0.21594</v>
      </c>
      <c r="H102" s="42">
        <f>(INT($E$25*4/$D102)-INT($E$25*(4-1)/$D102))*$C102/1000</f>
        <v>0.21594</v>
      </c>
      <c r="I102" s="42">
        <f>(INT($E$25*5/$D102)-INT($E$25*(5-1)/$D102))*$C102/1000</f>
        <v>0.21594</v>
      </c>
      <c r="J102" s="42">
        <f>(INT($E$25*6/$D102)-INT($E$25*(6-1)/$D102))*$C102/1000</f>
        <v>0.21594</v>
      </c>
      <c r="K102" s="42">
        <f>(INT($E$25*7/$D102)-INT($E$25*(7-1)/$D102))*$C102/1000</f>
        <v>0.21594</v>
      </c>
      <c r="L102" s="42">
        <f>(INT($E$25*8/$D102)-INT($E$25*(8-1)/$D102))*$C102/1000</f>
        <v>0.21594</v>
      </c>
      <c r="M102" s="42">
        <f>(INT($E$25*9/$D102)-INT($E$25*(9-1)/$D102))*$C102/1000</f>
        <v>0.21594</v>
      </c>
      <c r="N102" s="42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44" t="n">
        <v>3415.51</v>
      </c>
      <c r="D103" s="43" t="n">
        <v>36000</v>
      </c>
      <c r="E103" s="42">
        <f>(INT($E$25*1/$D103)-INT($E$25*(1-1)/$D103))*$C103/1000</f>
        <v>0.0</v>
      </c>
      <c r="F103" s="42">
        <f>(INT($E$25*2/$D103)-INT($E$25*(2-1)/$D103))*$C103/1000</f>
        <v>0.0</v>
      </c>
      <c r="G103" s="42">
        <f>(INT($E$25*3/$D103)-INT($E$25*(3-1)/$D103))*$C103/1000</f>
        <v>0.0</v>
      </c>
      <c r="H103" s="42">
        <f>(INT($E$25*4/$D103)-INT($E$25*(4-1)/$D103))*$C103/1000</f>
        <v>0.0</v>
      </c>
      <c r="I103" s="42">
        <f>(INT($E$25*5/$D103)-INT($E$25*(5-1)/$D103))*$C103/1000</f>
        <v>0.0</v>
      </c>
      <c r="J103" s="42">
        <f>(INT($E$25*6/$D103)-INT($E$25*(6-1)/$D103))*$C103/1000</f>
        <v>3.4155100000000003</v>
      </c>
      <c r="K103" s="42">
        <f>(INT($E$25*7/$D103)-INT($E$25*(7-1)/$D103))*$C103/1000</f>
        <v>0.0</v>
      </c>
      <c r="L103" s="42">
        <f>(INT($E$25*8/$D103)-INT($E$25*(8-1)/$D103))*$C103/1000</f>
        <v>0.0</v>
      </c>
      <c r="M103" s="42">
        <f>(INT($E$25*9/$D103)-INT($E$25*(9-1)/$D103))*$C103/1000</f>
        <v>0.0</v>
      </c>
      <c r="N103" s="42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44" t="n">
        <v>12637.39</v>
      </c>
      <c r="D104" s="43" t="n">
        <v>65000</v>
      </c>
      <c r="E104" s="42">
        <f>(INT($E$25*1/$D104)-INT($E$25*(1-1)/$D104))*$C104/1000</f>
        <v>0.0</v>
      </c>
      <c r="F104" s="42">
        <f>(INT($E$25*2/$D104)-INT($E$25*(2-1)/$D104))*$C104/1000</f>
        <v>0.0</v>
      </c>
      <c r="G104" s="42">
        <f>(INT($E$25*3/$D104)-INT($E$25*(3-1)/$D104))*$C104/1000</f>
        <v>0.0</v>
      </c>
      <c r="H104" s="42">
        <f>(INT($E$25*4/$D104)-INT($E$25*(4-1)/$D104))*$C104/1000</f>
        <v>0.0</v>
      </c>
      <c r="I104" s="42">
        <f>(INT($E$25*5/$D104)-INT($E$25*(5-1)/$D104))*$C104/1000</f>
        <v>0.0</v>
      </c>
      <c r="J104" s="42">
        <f>(INT($E$25*6/$D104)-INT($E$25*(6-1)/$D104))*$C104/1000</f>
        <v>0.0</v>
      </c>
      <c r="K104" s="42">
        <f>(INT($E$25*7/$D104)-INT($E$25*(7-1)/$D104))*$C104/1000</f>
        <v>0.0</v>
      </c>
      <c r="L104" s="42">
        <f>(INT($E$25*8/$D104)-INT($E$25*(8-1)/$D104))*$C104/1000</f>
        <v>0.0</v>
      </c>
      <c r="M104" s="42">
        <f>(INT($E$25*9/$D104)-INT($E$25*(9-1)/$D104))*$C104/1000</f>
        <v>0.0</v>
      </c>
      <c r="N104" s="42">
        <f>(INT($E$25*10/$D104)-INT($E$25*(10-1)/$D104))*$C104/1000</f>
        <v>12.63739</v>
      </c>
    </row>
    <row r="105">
      <c r="B105" s="45" t="inlineStr">
        <is>
          <t>ИТОГО</t>
        </is>
      </c>
      <c r="E105" s="42">
        <f>SUM(E89:E104)</f>
        <v>4.506819999999999</v>
      </c>
      <c r="F105" s="42">
        <f>SUM(F89:F104)</f>
        <v>60.109840000000005</v>
      </c>
      <c r="G105" s="42">
        <f>SUM(G89:G104)</f>
        <v>145.1624</v>
      </c>
      <c r="H105" s="42">
        <f>SUM(H89:H104)</f>
        <v>60.109840000000005</v>
      </c>
      <c r="I105" s="42">
        <f>SUM(I89:I104)</f>
        <v>144.82518</v>
      </c>
      <c r="J105" s="42">
        <f>SUM(J89:J104)</f>
        <v>67.22701</v>
      </c>
      <c r="K105" s="42">
        <f>SUM(K89:K104)</f>
        <v>145.21432</v>
      </c>
      <c r="L105" s="42">
        <f>SUM(L89:L104)</f>
        <v>60.057919999999996</v>
      </c>
      <c r="M105" s="42">
        <f>SUM(M89:M104)</f>
        <v>111.9831</v>
      </c>
      <c r="N105" s="42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44" t="n">
        <v>56</v>
      </c>
      <c r="D109" s="43" t="n">
        <v>15000</v>
      </c>
      <c r="E109" s="42">
        <f>(INT($E$25*1/$D109)-INT($E$25*(1-1)/$D109))*$C109</f>
        <v>0.0</v>
      </c>
      <c r="F109" s="42">
        <f>(INT($E$25*2/$D109)-INT($E$25*(2-1)/$D109))*$C109</f>
        <v>0.0</v>
      </c>
      <c r="G109" s="42">
        <f>(INT($E$25*3/$D109)-INT($E$25*(3-1)/$D109))*$C109</f>
        <v>56.0</v>
      </c>
      <c r="H109" s="42">
        <f>(INT($E$25*4/$D109)-INT($E$25*(4-1)/$D109))*$C109</f>
        <v>0.0</v>
      </c>
      <c r="I109" s="42">
        <f>(INT($E$25*5/$D109)-INT($E$25*(5-1)/$D109))*$C109</f>
        <v>56.0</v>
      </c>
      <c r="J109" s="42">
        <f>(INT($E$25*6/$D109)-INT($E$25*(6-1)/$D109))*$C109</f>
        <v>0.0</v>
      </c>
      <c r="K109" s="42">
        <f>(INT($E$25*7/$D109)-INT($E$25*(7-1)/$D109))*$C109</f>
        <v>56.0</v>
      </c>
      <c r="L109" s="42">
        <f>(INT($E$25*8/$D109)-INT($E$25*(8-1)/$D109))*$C109</f>
        <v>0.0</v>
      </c>
      <c r="M109" s="42">
        <f>(INT($E$25*9/$D109)-INT($E$25*(9-1)/$D109))*$C109</f>
        <v>56.0</v>
      </c>
      <c r="N109" s="42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44" t="n">
        <v>4</v>
      </c>
      <c r="D110" s="43" t="n">
        <v>16000</v>
      </c>
      <c r="E110" s="42">
        <f>(INT($E$25*1/$D110)-INT($E$25*(1-1)/$D110))*$C110</f>
        <v>0.0</v>
      </c>
      <c r="F110" s="42">
        <f>(INT($E$25*2/$D110)-INT($E$25*(2-1)/$D110))*$C110</f>
        <v>0.0</v>
      </c>
      <c r="G110" s="42">
        <f>(INT($E$25*3/$D110)-INT($E$25*(3-1)/$D110))*$C110</f>
        <v>4.0</v>
      </c>
      <c r="H110" s="42">
        <f>(INT($E$25*4/$D110)-INT($E$25*(4-1)/$D110))*$C110</f>
        <v>0.0</v>
      </c>
      <c r="I110" s="42">
        <f>(INT($E$25*5/$D110)-INT($E$25*(5-1)/$D110))*$C110</f>
        <v>4.0</v>
      </c>
      <c r="J110" s="42">
        <f>(INT($E$25*6/$D110)-INT($E$25*(6-1)/$D110))*$C110</f>
        <v>0.0</v>
      </c>
      <c r="K110" s="42">
        <f>(INT($E$25*7/$D110)-INT($E$25*(7-1)/$D110))*$C110</f>
        <v>4.0</v>
      </c>
      <c r="L110" s="42">
        <f>(INT($E$25*8/$D110)-INT($E$25*(8-1)/$D110))*$C110</f>
        <v>0.0</v>
      </c>
      <c r="M110" s="42">
        <f>(INT($E$25*9/$D110)-INT($E$25*(9-1)/$D110))*$C110</f>
        <v>0.0</v>
      </c>
      <c r="N110" s="42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44" t="n">
        <v>8</v>
      </c>
      <c r="D111" s="43" t="n">
        <v>13000</v>
      </c>
      <c r="E111" s="42">
        <f>(INT($E$25*1/$D111)-INT($E$25*(1-1)/$D111))*$C111</f>
        <v>0.0</v>
      </c>
      <c r="F111" s="42">
        <f>(INT($E$25*2/$D111)-INT($E$25*(2-1)/$D111))*$C111</f>
        <v>8.0</v>
      </c>
      <c r="G111" s="42">
        <f>(INT($E$25*3/$D111)-INT($E$25*(3-1)/$D111))*$C111</f>
        <v>0.0</v>
      </c>
      <c r="H111" s="42">
        <f>(INT($E$25*4/$D111)-INT($E$25*(4-1)/$D111))*$C111</f>
        <v>8.0</v>
      </c>
      <c r="I111" s="42">
        <f>(INT($E$25*5/$D111)-INT($E$25*(5-1)/$D111))*$C111</f>
        <v>0.0</v>
      </c>
      <c r="J111" s="42">
        <f>(INT($E$25*6/$D111)-INT($E$25*(6-1)/$D111))*$C111</f>
        <v>8.0</v>
      </c>
      <c r="K111" s="42">
        <f>(INT($E$25*7/$D111)-INT($E$25*(7-1)/$D111))*$C111</f>
        <v>0.0</v>
      </c>
      <c r="L111" s="42">
        <f>(INT($E$25*8/$D111)-INT($E$25*(8-1)/$D111))*$C111</f>
        <v>8.0</v>
      </c>
      <c r="M111" s="42">
        <f>(INT($E$25*9/$D111)-INT($E$25*(9-1)/$D111))*$C111</f>
        <v>0.0</v>
      </c>
      <c r="N111" s="42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44" t="n">
        <v>36</v>
      </c>
      <c r="D112" s="43" t="n">
        <v>7450</v>
      </c>
      <c r="E112" s="42">
        <f>(INT($E$25*1/$D112)-INT($E$25*(1-1)/$D112))*$C112</f>
        <v>0.0</v>
      </c>
      <c r="F112" s="42">
        <f>(INT($E$25*2/$D112)-INT($E$25*(2-1)/$D112))*$C112</f>
        <v>36.0</v>
      </c>
      <c r="G112" s="42">
        <f>(INT($E$25*3/$D112)-INT($E$25*(3-1)/$D112))*$C112</f>
        <v>36.0</v>
      </c>
      <c r="H112" s="42">
        <f>(INT($E$25*4/$D112)-INT($E$25*(4-1)/$D112))*$C112</f>
        <v>36.0</v>
      </c>
      <c r="I112" s="42">
        <f>(INT($E$25*5/$D112)-INT($E$25*(5-1)/$D112))*$C112</f>
        <v>36.0</v>
      </c>
      <c r="J112" s="42">
        <f>(INT($E$25*6/$D112)-INT($E$25*(6-1)/$D112))*$C112</f>
        <v>36.0</v>
      </c>
      <c r="K112" s="42">
        <f>(INT($E$25*7/$D112)-INT($E$25*(7-1)/$D112))*$C112</f>
        <v>36.0</v>
      </c>
      <c r="L112" s="42">
        <f>(INT($E$25*8/$D112)-INT($E$25*(8-1)/$D112))*$C112</f>
        <v>36.0</v>
      </c>
      <c r="M112" s="42">
        <f>(INT($E$25*9/$D112)-INT($E$25*(9-1)/$D112))*$C112</f>
        <v>36.0</v>
      </c>
      <c r="N112" s="42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44" t="n">
        <v>72</v>
      </c>
      <c r="D113" s="43" t="n">
        <v>7450</v>
      </c>
      <c r="E113" s="42">
        <f>(INT($E$25*1/$D113)-INT($E$25*(1-1)/$D113))*$C113</f>
        <v>0.0</v>
      </c>
      <c r="F113" s="42">
        <f>(INT($E$25*2/$D113)-INT($E$25*(2-1)/$D113))*$C113</f>
        <v>72.0</v>
      </c>
      <c r="G113" s="42">
        <f>(INT($E$25*3/$D113)-INT($E$25*(3-1)/$D113))*$C113</f>
        <v>72.0</v>
      </c>
      <c r="H113" s="42">
        <f>(INT($E$25*4/$D113)-INT($E$25*(4-1)/$D113))*$C113</f>
        <v>72.0</v>
      </c>
      <c r="I113" s="42">
        <f>(INT($E$25*5/$D113)-INT($E$25*(5-1)/$D113))*$C113</f>
        <v>72.0</v>
      </c>
      <c r="J113" s="42">
        <f>(INT($E$25*6/$D113)-INT($E$25*(6-1)/$D113))*$C113</f>
        <v>72.0</v>
      </c>
      <c r="K113" s="42">
        <f>(INT($E$25*7/$D113)-INT($E$25*(7-1)/$D113))*$C113</f>
        <v>72.0</v>
      </c>
      <c r="L113" s="42">
        <f>(INT($E$25*8/$D113)-INT($E$25*(8-1)/$D113))*$C113</f>
        <v>72.0</v>
      </c>
      <c r="M113" s="42">
        <f>(INT($E$25*9/$D113)-INT($E$25*(9-1)/$D113))*$C113</f>
        <v>72.0</v>
      </c>
      <c r="N113" s="42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44" t="n">
        <v>28</v>
      </c>
      <c r="D114" s="43" t="n">
        <v>6000</v>
      </c>
      <c r="E114" s="42">
        <f>(INT($E$25*1/$D114)-INT($E$25*(1-1)/$D114))*$C114</f>
        <v>28.0</v>
      </c>
      <c r="F114" s="42">
        <f>(INT($E$25*2/$D114)-INT($E$25*(2-1)/$D114))*$C114</f>
        <v>28.0</v>
      </c>
      <c r="G114" s="42">
        <f>(INT($E$25*3/$D114)-INT($E$25*(3-1)/$D114))*$C114</f>
        <v>28.0</v>
      </c>
      <c r="H114" s="42">
        <f>(INT($E$25*4/$D114)-INT($E$25*(4-1)/$D114))*$C114</f>
        <v>28.0</v>
      </c>
      <c r="I114" s="42">
        <f>(INT($E$25*5/$D114)-INT($E$25*(5-1)/$D114))*$C114</f>
        <v>28.0</v>
      </c>
      <c r="J114" s="42">
        <f>(INT($E$25*6/$D114)-INT($E$25*(6-1)/$D114))*$C114</f>
        <v>56.0</v>
      </c>
      <c r="K114" s="42">
        <f>(INT($E$25*7/$D114)-INT($E$25*(7-1)/$D114))*$C114</f>
        <v>28.0</v>
      </c>
      <c r="L114" s="42">
        <f>(INT($E$25*8/$D114)-INT($E$25*(8-1)/$D114))*$C114</f>
        <v>28.0</v>
      </c>
      <c r="M114" s="42">
        <f>(INT($E$25*9/$D114)-INT($E$25*(9-1)/$D114))*$C114</f>
        <v>28.0</v>
      </c>
      <c r="N114" s="42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44" t="n">
        <v>3.5</v>
      </c>
      <c r="D115" s="43" t="n">
        <v>6000</v>
      </c>
      <c r="E115" s="42">
        <f>(INT($E$25*1/$D115)-INT($E$25*(1-1)/$D115))*$C115</f>
        <v>3.5</v>
      </c>
      <c r="F115" s="42">
        <f>(INT($E$25*2/$D115)-INT($E$25*(2-1)/$D115))*$C115</f>
        <v>3.5</v>
      </c>
      <c r="G115" s="42">
        <f>(INT($E$25*3/$D115)-INT($E$25*(3-1)/$D115))*$C115</f>
        <v>3.5</v>
      </c>
      <c r="H115" s="42">
        <f>(INT($E$25*4/$D115)-INT($E$25*(4-1)/$D115))*$C115</f>
        <v>3.5</v>
      </c>
      <c r="I115" s="42">
        <f>(INT($E$25*5/$D115)-INT($E$25*(5-1)/$D115))*$C115</f>
        <v>3.5</v>
      </c>
      <c r="J115" s="42">
        <f>(INT($E$25*6/$D115)-INT($E$25*(6-1)/$D115))*$C115</f>
        <v>7.0</v>
      </c>
      <c r="K115" s="42">
        <f>(INT($E$25*7/$D115)-INT($E$25*(7-1)/$D115))*$C115</f>
        <v>3.5</v>
      </c>
      <c r="L115" s="42">
        <f>(INT($E$25*8/$D115)-INT($E$25*(8-1)/$D115))*$C115</f>
        <v>3.5</v>
      </c>
      <c r="M115" s="42">
        <f>(INT($E$25*9/$D115)-INT($E$25*(9-1)/$D115))*$C115</f>
        <v>3.5</v>
      </c>
      <c r="N115" s="42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44" t="n">
        <v>3.5</v>
      </c>
      <c r="D116" s="43" t="n">
        <v>4000</v>
      </c>
      <c r="E116" s="42">
        <f>(INT($E$25*1/$D116)-INT($E$25*(1-1)/$D116))*$C116</f>
        <v>3.5</v>
      </c>
      <c r="F116" s="42">
        <f>(INT($E$25*2/$D116)-INT($E$25*(2-1)/$D116))*$C116</f>
        <v>7.0</v>
      </c>
      <c r="G116" s="42">
        <f>(INT($E$25*3/$D116)-INT($E$25*(3-1)/$D116))*$C116</f>
        <v>7.0</v>
      </c>
      <c r="H116" s="42">
        <f>(INT($E$25*4/$D116)-INT($E$25*(4-1)/$D116))*$C116</f>
        <v>7.0</v>
      </c>
      <c r="I116" s="42">
        <f>(INT($E$25*5/$D116)-INT($E$25*(5-1)/$D116))*$C116</f>
        <v>3.5</v>
      </c>
      <c r="J116" s="42">
        <f>(INT($E$25*6/$D116)-INT($E$25*(6-1)/$D116))*$C116</f>
        <v>7.0</v>
      </c>
      <c r="K116" s="42">
        <f>(INT($E$25*7/$D116)-INT($E$25*(7-1)/$D116))*$C116</f>
        <v>7.0</v>
      </c>
      <c r="L116" s="42">
        <f>(INT($E$25*8/$D116)-INT($E$25*(8-1)/$D116))*$C116</f>
        <v>7.0</v>
      </c>
      <c r="M116" s="42">
        <f>(INT($E$25*9/$D116)-INT($E$25*(9-1)/$D116))*$C116</f>
        <v>3.5</v>
      </c>
      <c r="N116" s="42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44" t="n">
        <v>3.5</v>
      </c>
      <c r="D117" s="43" t="n">
        <v>4000</v>
      </c>
      <c r="E117" s="42">
        <f>(INT($E$25*1/$D117)-INT($E$25*(1-1)/$D117))*$C117</f>
        <v>3.5</v>
      </c>
      <c r="F117" s="42">
        <f>(INT($E$25*2/$D117)-INT($E$25*(2-1)/$D117))*$C117</f>
        <v>7.0</v>
      </c>
      <c r="G117" s="42">
        <f>(INT($E$25*3/$D117)-INT($E$25*(3-1)/$D117))*$C117</f>
        <v>7.0</v>
      </c>
      <c r="H117" s="42">
        <f>(INT($E$25*4/$D117)-INT($E$25*(4-1)/$D117))*$C117</f>
        <v>7.0</v>
      </c>
      <c r="I117" s="42">
        <f>(INT($E$25*5/$D117)-INT($E$25*(5-1)/$D117))*$C117</f>
        <v>3.5</v>
      </c>
      <c r="J117" s="42">
        <f>(INT($E$25*6/$D117)-INT($E$25*(6-1)/$D117))*$C117</f>
        <v>7.0</v>
      </c>
      <c r="K117" s="42">
        <f>(INT($E$25*7/$D117)-INT($E$25*(7-1)/$D117))*$C117</f>
        <v>7.0</v>
      </c>
      <c r="L117" s="42">
        <f>(INT($E$25*8/$D117)-INT($E$25*(8-1)/$D117))*$C117</f>
        <v>7.0</v>
      </c>
      <c r="M117" s="42">
        <f>(INT($E$25*9/$D117)-INT($E$25*(9-1)/$D117))*$C117</f>
        <v>3.5</v>
      </c>
      <c r="N117" s="42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44" t="n">
        <v>4</v>
      </c>
      <c r="D118" s="43" t="n">
        <v>5000</v>
      </c>
      <c r="E118" s="42">
        <f>(INT($E$25*1/$D118)-INT($E$25*(1-1)/$D118))*$C118</f>
        <v>4.0</v>
      </c>
      <c r="F118" s="42">
        <f>(INT($E$25*2/$D118)-INT($E$25*(2-1)/$D118))*$C118</f>
        <v>4.0</v>
      </c>
      <c r="G118" s="42">
        <f>(INT($E$25*3/$D118)-INT($E$25*(3-1)/$D118))*$C118</f>
        <v>8.0</v>
      </c>
      <c r="H118" s="42">
        <f>(INT($E$25*4/$D118)-INT($E$25*(4-1)/$D118))*$C118</f>
        <v>4.0</v>
      </c>
      <c r="I118" s="42">
        <f>(INT($E$25*5/$D118)-INT($E$25*(5-1)/$D118))*$C118</f>
        <v>8.0</v>
      </c>
      <c r="J118" s="42">
        <f>(INT($E$25*6/$D118)-INT($E$25*(6-1)/$D118))*$C118</f>
        <v>4.0</v>
      </c>
      <c r="K118" s="42">
        <f>(INT($E$25*7/$D118)-INT($E$25*(7-1)/$D118))*$C118</f>
        <v>4.0</v>
      </c>
      <c r="L118" s="42">
        <f>(INT($E$25*8/$D118)-INT($E$25*(8-1)/$D118))*$C118</f>
        <v>8.0</v>
      </c>
      <c r="M118" s="42">
        <f>(INT($E$25*9/$D118)-INT($E$25*(9-1)/$D118))*$C118</f>
        <v>4.0</v>
      </c>
      <c r="N118" s="42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44" t="n">
        <v>0.9</v>
      </c>
      <c r="D119" s="43" t="n">
        <v>4000</v>
      </c>
      <c r="E119" s="42">
        <f>(INT($E$25*1/$D119)-INT($E$25*(1-1)/$D119))*$C119</f>
        <v>0.9</v>
      </c>
      <c r="F119" s="42">
        <f>(INT($E$25*2/$D119)-INT($E$25*(2-1)/$D119))*$C119</f>
        <v>1.8</v>
      </c>
      <c r="G119" s="42">
        <f>(INT($E$25*3/$D119)-INT($E$25*(3-1)/$D119))*$C119</f>
        <v>1.8</v>
      </c>
      <c r="H119" s="42">
        <f>(INT($E$25*4/$D119)-INT($E$25*(4-1)/$D119))*$C119</f>
        <v>1.8</v>
      </c>
      <c r="I119" s="42">
        <f>(INT($E$25*5/$D119)-INT($E$25*(5-1)/$D119))*$C119</f>
        <v>0.9</v>
      </c>
      <c r="J119" s="42">
        <f>(INT($E$25*6/$D119)-INT($E$25*(6-1)/$D119))*$C119</f>
        <v>1.8</v>
      </c>
      <c r="K119" s="42">
        <f>(INT($E$25*7/$D119)-INT($E$25*(7-1)/$D119))*$C119</f>
        <v>1.8</v>
      </c>
      <c r="L119" s="42">
        <f>(INT($E$25*8/$D119)-INT($E$25*(8-1)/$D119))*$C119</f>
        <v>1.8</v>
      </c>
      <c r="M119" s="42">
        <f>(INT($E$25*9/$D119)-INT($E$25*(9-1)/$D119))*$C119</f>
        <v>0.9</v>
      </c>
      <c r="N119" s="42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44" t="n">
        <v>2</v>
      </c>
      <c r="D120" s="43" t="n">
        <v>12000</v>
      </c>
      <c r="E120" s="42">
        <f>(INT($E$25*1/$D120)-INT($E$25*(1-1)/$D120))*$C120</f>
        <v>0.0</v>
      </c>
      <c r="F120" s="42">
        <f>(INT($E$25*2/$D120)-INT($E$25*(2-1)/$D120))*$C120</f>
        <v>2.0</v>
      </c>
      <c r="G120" s="42">
        <f>(INT($E$25*3/$D120)-INT($E$25*(3-1)/$D120))*$C120</f>
        <v>0.0</v>
      </c>
      <c r="H120" s="42">
        <f>(INT($E$25*4/$D120)-INT($E$25*(4-1)/$D120))*$C120</f>
        <v>2.0</v>
      </c>
      <c r="I120" s="42">
        <f>(INT($E$25*5/$D120)-INT($E$25*(5-1)/$D120))*$C120</f>
        <v>0.0</v>
      </c>
      <c r="J120" s="42">
        <f>(INT($E$25*6/$D120)-INT($E$25*(6-1)/$D120))*$C120</f>
        <v>2.0</v>
      </c>
      <c r="K120" s="42">
        <f>(INT($E$25*7/$D120)-INT($E$25*(7-1)/$D120))*$C120</f>
        <v>2.0</v>
      </c>
      <c r="L120" s="42">
        <f>(INT($E$25*8/$D120)-INT($E$25*(8-1)/$D120))*$C120</f>
        <v>0.0</v>
      </c>
      <c r="M120" s="42">
        <f>(INT($E$25*9/$D120)-INT($E$25*(9-1)/$D120))*$C120</f>
        <v>2.0</v>
      </c>
      <c r="N120" s="42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44" t="n">
        <v>2</v>
      </c>
      <c r="D121" s="43" t="n">
        <v>7000</v>
      </c>
      <c r="E121" s="42">
        <f>(INT($E$25*1/$D121)-INT($E$25*(1-1)/$D121))*$C121</f>
        <v>2.0</v>
      </c>
      <c r="F121" s="42">
        <f>(INT($E$25*2/$D121)-INT($E$25*(2-1)/$D121))*$C121</f>
        <v>2.0</v>
      </c>
      <c r="G121" s="42">
        <f>(INT($E$25*3/$D121)-INT($E$25*(3-1)/$D121))*$C121</f>
        <v>2.0</v>
      </c>
      <c r="H121" s="42">
        <f>(INT($E$25*4/$D121)-INT($E$25*(4-1)/$D121))*$C121</f>
        <v>2.0</v>
      </c>
      <c r="I121" s="42">
        <f>(INT($E$25*5/$D121)-INT($E$25*(5-1)/$D121))*$C121</f>
        <v>2.0</v>
      </c>
      <c r="J121" s="42">
        <f>(INT($E$25*6/$D121)-INT($E$25*(6-1)/$D121))*$C121</f>
        <v>2.0</v>
      </c>
      <c r="K121" s="42">
        <f>(INT($E$25*7/$D121)-INT($E$25*(7-1)/$D121))*$C121</f>
        <v>2.0</v>
      </c>
      <c r="L121" s="42">
        <f>(INT($E$25*8/$D121)-INT($E$25*(8-1)/$D121))*$C121</f>
        <v>2.0</v>
      </c>
      <c r="M121" s="42">
        <f>(INT($E$25*9/$D121)-INT($E$25*(9-1)/$D121))*$C121</f>
        <v>2.0</v>
      </c>
      <c r="N121" s="42">
        <f>(INT($E$25*10/$D121)-INT($E$25*(10-1)/$D121))*$C121</f>
        <v>2.0</v>
      </c>
    </row>
    <row r="122">
      <c r="B122" s="22" t="inlineStr">
        <is>
          <t>Чистка радиаторов</t>
        </is>
      </c>
      <c r="C122" s="44" t="n">
        <v>3</v>
      </c>
      <c r="D122" s="43" t="n">
        <v>7000</v>
      </c>
      <c r="E122" s="42">
        <f>(INT($E$25*1/$D122)-INT($E$25*(1-1)/$D122))*$C122</f>
        <v>3.0</v>
      </c>
      <c r="F122" s="42">
        <f>(INT($E$25*2/$D122)-INT($E$25*(2-1)/$D122))*$C122</f>
        <v>3.0</v>
      </c>
      <c r="G122" s="42">
        <f>(INT($E$25*3/$D122)-INT($E$25*(3-1)/$D122))*$C122</f>
        <v>3.0</v>
      </c>
      <c r="H122" s="42">
        <f>(INT($E$25*4/$D122)-INT($E$25*(4-1)/$D122))*$C122</f>
        <v>3.0</v>
      </c>
      <c r="I122" s="42">
        <f>(INT($E$25*5/$D122)-INT($E$25*(5-1)/$D122))*$C122</f>
        <v>3.0</v>
      </c>
      <c r="J122" s="42">
        <f>(INT($E$25*6/$D122)-INT($E$25*(6-1)/$D122))*$C122</f>
        <v>3.0</v>
      </c>
      <c r="K122" s="42">
        <f>(INT($E$25*7/$D122)-INT($E$25*(7-1)/$D122))*$C122</f>
        <v>3.0</v>
      </c>
      <c r="L122" s="42">
        <f>(INT($E$25*8/$D122)-INT($E$25*(8-1)/$D122))*$C122</f>
        <v>3.0</v>
      </c>
      <c r="M122" s="42">
        <f>(INT($E$25*9/$D122)-INT($E$25*(9-1)/$D122))*$C122</f>
        <v>3.0</v>
      </c>
      <c r="N122" s="42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44" t="n">
        <v>50</v>
      </c>
      <c r="D123" s="43" t="n">
        <v>36000</v>
      </c>
      <c r="E123" s="42">
        <f>(INT($E$25*1/$D123)-INT($E$25*(1-1)/$D123))*$C123</f>
        <v>0.0</v>
      </c>
      <c r="F123" s="42">
        <f>(INT($E$25*2/$D123)-INT($E$25*(2-1)/$D123))*$C123</f>
        <v>0.0</v>
      </c>
      <c r="G123" s="42">
        <f>(INT($E$25*3/$D123)-INT($E$25*(3-1)/$D123))*$C123</f>
        <v>0.0</v>
      </c>
      <c r="H123" s="42">
        <f>(INT($E$25*4/$D123)-INT($E$25*(4-1)/$D123))*$C123</f>
        <v>0.0</v>
      </c>
      <c r="I123" s="42">
        <f>(INT($E$25*5/$D123)-INT($E$25*(5-1)/$D123))*$C123</f>
        <v>0.0</v>
      </c>
      <c r="J123" s="42">
        <f>(INT($E$25*6/$D123)-INT($E$25*(6-1)/$D123))*$C123</f>
        <v>50.0</v>
      </c>
      <c r="K123" s="42">
        <f>(INT($E$25*7/$D123)-INT($E$25*(7-1)/$D123))*$C123</f>
        <v>0.0</v>
      </c>
      <c r="L123" s="42">
        <f>(INT($E$25*8/$D123)-INT($E$25*(8-1)/$D123))*$C123</f>
        <v>0.0</v>
      </c>
      <c r="M123" s="42">
        <f>(INT($E$25*9/$D123)-INT($E$25*(9-1)/$D123))*$C123</f>
        <v>0.0</v>
      </c>
      <c r="N123" s="42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44" t="n">
        <v>185</v>
      </c>
      <c r="D124" s="43" t="n">
        <v>65000</v>
      </c>
      <c r="E124" s="42">
        <f>(INT($E$25*1/$D124)-INT($E$25*(1-1)/$D124))*$C124</f>
        <v>0.0</v>
      </c>
      <c r="F124" s="42">
        <f>(INT($E$25*2/$D124)-INT($E$25*(2-1)/$D124))*$C124</f>
        <v>0.0</v>
      </c>
      <c r="G124" s="42">
        <f>(INT($E$25*3/$D124)-INT($E$25*(3-1)/$D124))*$C124</f>
        <v>0.0</v>
      </c>
      <c r="H124" s="42">
        <f>(INT($E$25*4/$D124)-INT($E$25*(4-1)/$D124))*$C124</f>
        <v>0.0</v>
      </c>
      <c r="I124" s="42">
        <f>(INT($E$25*5/$D124)-INT($E$25*(5-1)/$D124))*$C124</f>
        <v>0.0</v>
      </c>
      <c r="J124" s="42">
        <f>(INT($E$25*6/$D124)-INT($E$25*(6-1)/$D124))*$C124</f>
        <v>0.0</v>
      </c>
      <c r="K124" s="42">
        <f>(INT($E$25*7/$D124)-INT($E$25*(7-1)/$D124))*$C124</f>
        <v>0.0</v>
      </c>
      <c r="L124" s="42">
        <f>(INT($E$25*8/$D124)-INT($E$25*(8-1)/$D124))*$C124</f>
        <v>0.0</v>
      </c>
      <c r="M124" s="42">
        <f>(INT($E$25*9/$D124)-INT($E$25*(9-1)/$D124))*$C124</f>
        <v>0.0</v>
      </c>
      <c r="N124" s="42">
        <f>(INT($E$25*10/$D124)-INT($E$25*(10-1)/$D124))*$C124</f>
        <v>185.0</v>
      </c>
    </row>
    <row r="125">
      <c r="B125" s="45" t="inlineStr">
        <is>
          <t>ИТОГО</t>
        </is>
      </c>
      <c r="E125" s="42">
        <f>SUM(E109:E124)</f>
        <v>48.4</v>
      </c>
      <c r="F125" s="42">
        <f>SUM(F109:F124)</f>
        <v>174.3</v>
      </c>
      <c r="G125" s="42">
        <f>SUM(G109:G124)</f>
        <v>228.3</v>
      </c>
      <c r="H125" s="42">
        <f>SUM(H109:H124)</f>
        <v>174.3</v>
      </c>
      <c r="I125" s="42">
        <f>SUM(I109:I124)</f>
        <v>220.4</v>
      </c>
      <c r="J125" s="42">
        <f>SUM(J109:J124)</f>
        <v>255.8</v>
      </c>
      <c r="K125" s="42">
        <f>SUM(K109:K124)</f>
        <v>226.3</v>
      </c>
      <c r="L125" s="42">
        <f>SUM(L109:L124)</f>
        <v>176.3</v>
      </c>
      <c r="M125" s="42">
        <f>SUM(M109:M124)</f>
        <v>214.4</v>
      </c>
      <c r="N125" s="42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44" t="n">
        <v>37124</v>
      </c>
      <c r="D129" s="43" t="n">
        <v>12000</v>
      </c>
      <c r="E129" s="42">
        <f>(INT($E$25*1/$D129)-INT($E$25*(1-1)/$D129))*$C129/1000</f>
        <v>0.0</v>
      </c>
      <c r="F129" s="42">
        <f>(INT($E$25*2/$D129)-INT($E$25*(2-1)/$D129))*$C129/1000</f>
        <v>37.124</v>
      </c>
      <c r="G129" s="42">
        <f>(INT($E$25*3/$D129)-INT($E$25*(3-1)/$D129))*$C129/1000</f>
        <v>0.0</v>
      </c>
      <c r="H129" s="42">
        <f>(INT($E$25*4/$D129)-INT($E$25*(4-1)/$D129))*$C129/1000</f>
        <v>37.124</v>
      </c>
      <c r="I129" s="42">
        <f>(INT($E$25*5/$D129)-INT($E$25*(5-1)/$D129))*$C129/1000</f>
        <v>0.0</v>
      </c>
      <c r="J129" s="42">
        <f>(INT($E$25*6/$D129)-INT($E$25*(6-1)/$D129))*$C129/1000</f>
        <v>37.124</v>
      </c>
      <c r="K129" s="42">
        <f>(INT($E$25*7/$D129)-INT($E$25*(7-1)/$D129))*$C129/1000</f>
        <v>37.124</v>
      </c>
      <c r="L129" s="42">
        <f>(INT($E$25*8/$D129)-INT($E$25*(8-1)/$D129))*$C129/1000</f>
        <v>0.0</v>
      </c>
      <c r="M129" s="42">
        <f>(INT($E$25*9/$D129)-INT($E$25*(9-1)/$D129))*$C129/1000</f>
        <v>37.124</v>
      </c>
      <c r="N129" s="42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44" t="n">
        <v>1226.17</v>
      </c>
      <c r="D130" s="43" t="n">
        <v>11000</v>
      </c>
      <c r="E130" s="42">
        <f>(INT($E$25*1/$D130)-INT($E$25*(1-1)/$D130))*$C130/1000</f>
        <v>0.0</v>
      </c>
      <c r="F130" s="42">
        <f>(INT($E$25*2/$D130)-INT($E$25*(2-1)/$D130))*$C130/1000</f>
        <v>1.22617</v>
      </c>
      <c r="G130" s="42">
        <f>(INT($E$25*3/$D130)-INT($E$25*(3-1)/$D130))*$C130/1000</f>
        <v>0.0</v>
      </c>
      <c r="H130" s="42">
        <f>(INT($E$25*4/$D130)-INT($E$25*(4-1)/$D130))*$C130/1000</f>
        <v>1.22617</v>
      </c>
      <c r="I130" s="42">
        <f>(INT($E$25*5/$D130)-INT($E$25*(5-1)/$D130))*$C130/1000</f>
        <v>1.22617</v>
      </c>
      <c r="J130" s="42">
        <f>(INT($E$25*6/$D130)-INT($E$25*(6-1)/$D130))*$C130/1000</f>
        <v>0.0</v>
      </c>
      <c r="K130" s="42">
        <f>(INT($E$25*7/$D130)-INT($E$25*(7-1)/$D130))*$C130/1000</f>
        <v>1.22617</v>
      </c>
      <c r="L130" s="42">
        <f>(INT($E$25*8/$D130)-INT($E$25*(8-1)/$D130))*$C130/1000</f>
        <v>1.22617</v>
      </c>
      <c r="M130" s="42">
        <f>(INT($E$25*9/$D130)-INT($E$25*(9-1)/$D130))*$C130/1000</f>
        <v>0.0</v>
      </c>
      <c r="N130" s="42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44" t="n">
        <v>18096.84</v>
      </c>
      <c r="D131" s="43" t="n">
        <v>12000</v>
      </c>
      <c r="E131" s="42">
        <f>(INT($E$25*1/$D131)-INT($E$25*(1-1)/$D131))*$C131/1000</f>
        <v>0.0</v>
      </c>
      <c r="F131" s="42">
        <f>(INT($E$25*2/$D131)-INT($E$25*(2-1)/$D131))*$C131/1000</f>
        <v>18.09684</v>
      </c>
      <c r="G131" s="42">
        <f>(INT($E$25*3/$D131)-INT($E$25*(3-1)/$D131))*$C131/1000</f>
        <v>0.0</v>
      </c>
      <c r="H131" s="42">
        <f>(INT($E$25*4/$D131)-INT($E$25*(4-1)/$D131))*$C131/1000</f>
        <v>18.09684</v>
      </c>
      <c r="I131" s="42">
        <f>(INT($E$25*5/$D131)-INT($E$25*(5-1)/$D131))*$C131/1000</f>
        <v>0.0</v>
      </c>
      <c r="J131" s="42">
        <f>(INT($E$25*6/$D131)-INT($E$25*(6-1)/$D131))*$C131/1000</f>
        <v>18.09684</v>
      </c>
      <c r="K131" s="42">
        <f>(INT($E$25*7/$D131)-INT($E$25*(7-1)/$D131))*$C131/1000</f>
        <v>18.09684</v>
      </c>
      <c r="L131" s="42">
        <f>(INT($E$25*8/$D131)-INT($E$25*(8-1)/$D131))*$C131/1000</f>
        <v>0.0</v>
      </c>
      <c r="M131" s="42">
        <f>(INT($E$25*9/$D131)-INT($E$25*(9-1)/$D131))*$C131/1000</f>
        <v>18.09684</v>
      </c>
      <c r="N131" s="42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44" t="n">
        <v>6929.74</v>
      </c>
      <c r="D132" s="43" t="n">
        <v>8000</v>
      </c>
      <c r="E132" s="42">
        <f>(INT($E$25*1/$D132)-INT($E$25*(1-1)/$D132))*$C132/1000</f>
        <v>0.0</v>
      </c>
      <c r="F132" s="42">
        <f>(INT($E$25*2/$D132)-INT($E$25*(2-1)/$D132))*$C132/1000</f>
        <v>6.92974</v>
      </c>
      <c r="G132" s="42">
        <f>(INT($E$25*3/$D132)-INT($E$25*(3-1)/$D132))*$C132/1000</f>
        <v>6.92974</v>
      </c>
      <c r="H132" s="42">
        <f>(INT($E$25*4/$D132)-INT($E$25*(4-1)/$D132))*$C132/1000</f>
        <v>6.92974</v>
      </c>
      <c r="I132" s="42">
        <f>(INT($E$25*5/$D132)-INT($E$25*(5-1)/$D132))*$C132/1000</f>
        <v>6.92974</v>
      </c>
      <c r="J132" s="42">
        <f>(INT($E$25*6/$D132)-INT($E$25*(6-1)/$D132))*$C132/1000</f>
        <v>6.92974</v>
      </c>
      <c r="K132" s="42">
        <f>(INT($E$25*7/$D132)-INT($E$25*(7-1)/$D132))*$C132/1000</f>
        <v>6.92974</v>
      </c>
      <c r="L132" s="42">
        <f>(INT($E$25*8/$D132)-INT($E$25*(8-1)/$D132))*$C132/1000</f>
        <v>6.92974</v>
      </c>
      <c r="M132" s="42">
        <f>(INT($E$25*9/$D132)-INT($E$25*(9-1)/$D132))*$C132/1000</f>
        <v>0.0</v>
      </c>
      <c r="N132" s="42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44" t="n">
        <v>19766.43</v>
      </c>
      <c r="D133" s="43" t="n">
        <v>25000</v>
      </c>
      <c r="E133" s="42">
        <f>(INT($E$25*1/$D133)-INT($E$25*(1-1)/$D133))*$C133/1000</f>
        <v>0.0</v>
      </c>
      <c r="F133" s="42">
        <f>(INT($E$25*2/$D133)-INT($E$25*(2-1)/$D133))*$C133/1000</f>
        <v>0.0</v>
      </c>
      <c r="G133" s="42">
        <f>(INT($E$25*3/$D133)-INT($E$25*(3-1)/$D133))*$C133/1000</f>
        <v>0.0</v>
      </c>
      <c r="H133" s="42">
        <f>(INT($E$25*4/$D133)-INT($E$25*(4-1)/$D133))*$C133/1000</f>
        <v>19.76643</v>
      </c>
      <c r="I133" s="42">
        <f>(INT($E$25*5/$D133)-INT($E$25*(5-1)/$D133))*$C133/1000</f>
        <v>0.0</v>
      </c>
      <c r="J133" s="42">
        <f>(INT($E$25*6/$D133)-INT($E$25*(6-1)/$D133))*$C133/1000</f>
        <v>0.0</v>
      </c>
      <c r="K133" s="42">
        <f>(INT($E$25*7/$D133)-INT($E$25*(7-1)/$D133))*$C133/1000</f>
        <v>0.0</v>
      </c>
      <c r="L133" s="42">
        <f>(INT($E$25*8/$D133)-INT($E$25*(8-1)/$D133))*$C133/1000</f>
        <v>19.76643</v>
      </c>
      <c r="M133" s="42">
        <f>(INT($E$25*9/$D133)-INT($E$25*(9-1)/$D133))*$C133/1000</f>
        <v>0.0</v>
      </c>
      <c r="N133" s="42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44" t="n">
        <v>556.4400000000001</v>
      </c>
      <c r="D134" s="43" t="n">
        <v>22000</v>
      </c>
      <c r="E134" s="42">
        <f>(INT($E$25*1/$D134)-INT($E$25*(1-1)/$D134))*$C134/1000</f>
        <v>0.0</v>
      </c>
      <c r="F134" s="42">
        <f>(INT($E$25*2/$D134)-INT($E$25*(2-1)/$D134))*$C134/1000</f>
        <v>0.0</v>
      </c>
      <c r="G134" s="42">
        <f>(INT($E$25*3/$D134)-INT($E$25*(3-1)/$D134))*$C134/1000</f>
        <v>0.0</v>
      </c>
      <c r="H134" s="42">
        <f>(INT($E$25*4/$D134)-INT($E$25*(4-1)/$D134))*$C134/1000</f>
        <v>0.55644</v>
      </c>
      <c r="I134" s="42">
        <f>(INT($E$25*5/$D134)-INT($E$25*(5-1)/$D134))*$C134/1000</f>
        <v>0.0</v>
      </c>
      <c r="J134" s="42">
        <f>(INT($E$25*6/$D134)-INT($E$25*(6-1)/$D134))*$C134/1000</f>
        <v>0.0</v>
      </c>
      <c r="K134" s="42">
        <f>(INT($E$25*7/$D134)-INT($E$25*(7-1)/$D134))*$C134/1000</f>
        <v>0.55644</v>
      </c>
      <c r="L134" s="42">
        <f>(INT($E$25*8/$D134)-INT($E$25*(8-1)/$D134))*$C134/1000</f>
        <v>0.0</v>
      </c>
      <c r="M134" s="42">
        <f>(INT($E$25*9/$D134)-INT($E$25*(9-1)/$D134))*$C134/1000</f>
        <v>0.0</v>
      </c>
      <c r="N134" s="42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44" t="n">
        <v>12656.36</v>
      </c>
      <c r="D135" s="43" t="n">
        <v>15000</v>
      </c>
      <c r="E135" s="42">
        <f>(INT($E$25*1/$D135)-INT($E$25*(1-1)/$D135))*$C135/1000</f>
        <v>0.0</v>
      </c>
      <c r="F135" s="42">
        <f>(INT($E$25*2/$D135)-INT($E$25*(2-1)/$D135))*$C135/1000</f>
        <v>0.0</v>
      </c>
      <c r="G135" s="42">
        <f>(INT($E$25*3/$D135)-INT($E$25*(3-1)/$D135))*$C135/1000</f>
        <v>12.656360000000001</v>
      </c>
      <c r="H135" s="42">
        <f>(INT($E$25*4/$D135)-INT($E$25*(4-1)/$D135))*$C135/1000</f>
        <v>0.0</v>
      </c>
      <c r="I135" s="42">
        <f>(INT($E$25*5/$D135)-INT($E$25*(5-1)/$D135))*$C135/1000</f>
        <v>12.656360000000001</v>
      </c>
      <c r="J135" s="42">
        <f>(INT($E$25*6/$D135)-INT($E$25*(6-1)/$D135))*$C135/1000</f>
        <v>0.0</v>
      </c>
      <c r="K135" s="42">
        <f>(INT($E$25*7/$D135)-INT($E$25*(7-1)/$D135))*$C135/1000</f>
        <v>12.656360000000001</v>
      </c>
      <c r="L135" s="42">
        <f>(INT($E$25*8/$D135)-INT($E$25*(8-1)/$D135))*$C135/1000</f>
        <v>0.0</v>
      </c>
      <c r="M135" s="42">
        <f>(INT($E$25*9/$D135)-INT($E$25*(9-1)/$D135))*$C135/1000</f>
        <v>12.656360000000001</v>
      </c>
      <c r="N135" s="42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44" t="n">
        <v>14284.3</v>
      </c>
      <c r="D136" s="43" t="n">
        <v>12500</v>
      </c>
      <c r="E136" s="42">
        <f>(INT($E$25*1/$D136)-INT($E$25*(1-1)/$D136))*$C136/1000</f>
        <v>0.0</v>
      </c>
      <c r="F136" s="42">
        <f>(INT($E$25*2/$D136)-INT($E$25*(2-1)/$D136))*$C136/1000</f>
        <v>14.2843</v>
      </c>
      <c r="G136" s="42">
        <f>(INT($E$25*3/$D136)-INT($E$25*(3-1)/$D136))*$C136/1000</f>
        <v>0.0</v>
      </c>
      <c r="H136" s="42">
        <f>(INT($E$25*4/$D136)-INT($E$25*(4-1)/$D136))*$C136/1000</f>
        <v>14.2843</v>
      </c>
      <c r="I136" s="42">
        <f>(INT($E$25*5/$D136)-INT($E$25*(5-1)/$D136))*$C136/1000</f>
        <v>0.0</v>
      </c>
      <c r="J136" s="42">
        <f>(INT($E$25*6/$D136)-INT($E$25*(6-1)/$D136))*$C136/1000</f>
        <v>14.2843</v>
      </c>
      <c r="K136" s="42">
        <f>(INT($E$25*7/$D136)-INT($E$25*(7-1)/$D136))*$C136/1000</f>
        <v>0.0</v>
      </c>
      <c r="L136" s="42">
        <f>(INT($E$25*8/$D136)-INT($E$25*(8-1)/$D136))*$C136/1000</f>
        <v>14.2843</v>
      </c>
      <c r="M136" s="42">
        <f>(INT($E$25*9/$D136)-INT($E$25*(9-1)/$D136))*$C136/1000</f>
        <v>14.2843</v>
      </c>
      <c r="N136" s="42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44" t="n">
        <v>1440.96</v>
      </c>
      <c r="D137" s="43" t="n">
        <v>18000</v>
      </c>
      <c r="E137" s="42">
        <f>(INT($E$25*1/$D137)-INT($E$25*(1-1)/$D137))*$C137/1000</f>
        <v>0.0</v>
      </c>
      <c r="F137" s="42">
        <f>(INT($E$25*2/$D137)-INT($E$25*(2-1)/$D137))*$C137/1000</f>
        <v>0.0</v>
      </c>
      <c r="G137" s="42">
        <f>(INT($E$25*3/$D137)-INT($E$25*(3-1)/$D137))*$C137/1000</f>
        <v>1.44096</v>
      </c>
      <c r="H137" s="42">
        <f>(INT($E$25*4/$D137)-INT($E$25*(4-1)/$D137))*$C137/1000</f>
        <v>0.0</v>
      </c>
      <c r="I137" s="42">
        <f>(INT($E$25*5/$D137)-INT($E$25*(5-1)/$D137))*$C137/1000</f>
        <v>0.0</v>
      </c>
      <c r="J137" s="42">
        <f>(INT($E$25*6/$D137)-INT($E$25*(6-1)/$D137))*$C137/1000</f>
        <v>1.44096</v>
      </c>
      <c r="K137" s="42">
        <f>(INT($E$25*7/$D137)-INT($E$25*(7-1)/$D137))*$C137/1000</f>
        <v>0.0</v>
      </c>
      <c r="L137" s="42">
        <f>(INT($E$25*8/$D137)-INT($E$25*(8-1)/$D137))*$C137/1000</f>
        <v>1.44096</v>
      </c>
      <c r="M137" s="42">
        <f>(INT($E$25*9/$D137)-INT($E$25*(9-1)/$D137))*$C137/1000</f>
        <v>0.0</v>
      </c>
      <c r="N137" s="42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44" t="n">
        <v>11889.72</v>
      </c>
      <c r="D138" s="43" t="n">
        <v>25000</v>
      </c>
      <c r="E138" s="42">
        <f>(INT($E$25*1/$D138)-INT($E$25*(1-1)/$D138))*$C138/1000</f>
        <v>0.0</v>
      </c>
      <c r="F138" s="42">
        <f>(INT($E$25*2/$D138)-INT($E$25*(2-1)/$D138))*$C138/1000</f>
        <v>0.0</v>
      </c>
      <c r="G138" s="42">
        <f>(INT($E$25*3/$D138)-INT($E$25*(3-1)/$D138))*$C138/1000</f>
        <v>0.0</v>
      </c>
      <c r="H138" s="42">
        <f>(INT($E$25*4/$D138)-INT($E$25*(4-1)/$D138))*$C138/1000</f>
        <v>11.889719999999999</v>
      </c>
      <c r="I138" s="42">
        <f>(INT($E$25*5/$D138)-INT($E$25*(5-1)/$D138))*$C138/1000</f>
        <v>0.0</v>
      </c>
      <c r="J138" s="42">
        <f>(INT($E$25*6/$D138)-INT($E$25*(6-1)/$D138))*$C138/1000</f>
        <v>0.0</v>
      </c>
      <c r="K138" s="42">
        <f>(INT($E$25*7/$D138)-INT($E$25*(7-1)/$D138))*$C138/1000</f>
        <v>0.0</v>
      </c>
      <c r="L138" s="42">
        <f>(INT($E$25*8/$D138)-INT($E$25*(8-1)/$D138))*$C138/1000</f>
        <v>11.889719999999999</v>
      </c>
      <c r="M138" s="42">
        <f>(INT($E$25*9/$D138)-INT($E$25*(9-1)/$D138))*$C138/1000</f>
        <v>0.0</v>
      </c>
      <c r="N138" s="42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44" t="n">
        <v>8918.02</v>
      </c>
      <c r="D139" s="43" t="n">
        <v>15100</v>
      </c>
      <c r="E139" s="42">
        <f>(INT($E$25*1/$D139)-INT($E$25*(1-1)/$D139))*$C139/1000</f>
        <v>0.0</v>
      </c>
      <c r="F139" s="42">
        <f>(INT($E$25*2/$D139)-INT($E$25*(2-1)/$D139))*$C139/1000</f>
        <v>0.0</v>
      </c>
      <c r="G139" s="42">
        <f>(INT($E$25*3/$D139)-INT($E$25*(3-1)/$D139))*$C139/1000</f>
        <v>8.91802</v>
      </c>
      <c r="H139" s="42">
        <f>(INT($E$25*4/$D139)-INT($E$25*(4-1)/$D139))*$C139/1000</f>
        <v>0.0</v>
      </c>
      <c r="I139" s="42">
        <f>(INT($E$25*5/$D139)-INT($E$25*(5-1)/$D139))*$C139/1000</f>
        <v>8.91802</v>
      </c>
      <c r="J139" s="42">
        <f>(INT($E$25*6/$D139)-INT($E$25*(6-1)/$D139))*$C139/1000</f>
        <v>0.0</v>
      </c>
      <c r="K139" s="42">
        <f>(INT($E$25*7/$D139)-INT($E$25*(7-1)/$D139))*$C139/1000</f>
        <v>8.91802</v>
      </c>
      <c r="L139" s="42">
        <f>(INT($E$25*8/$D139)-INT($E$25*(8-1)/$D139))*$C139/1000</f>
        <v>0.0</v>
      </c>
      <c r="M139" s="42">
        <f>(INT($E$25*9/$D139)-INT($E$25*(9-1)/$D139))*$C139/1000</f>
        <v>8.91802</v>
      </c>
      <c r="N139" s="42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44" t="n">
        <v>15102.84</v>
      </c>
      <c r="D140" s="43" t="n">
        <v>15100</v>
      </c>
      <c r="E140" s="42">
        <f>(INT($E$25*1/$D140)-INT($E$25*(1-1)/$D140))*$C140/1000</f>
        <v>0.0</v>
      </c>
      <c r="F140" s="42">
        <f>(INT($E$25*2/$D140)-INT($E$25*(2-1)/$D140))*$C140/1000</f>
        <v>0.0</v>
      </c>
      <c r="G140" s="42">
        <f>(INT($E$25*3/$D140)-INT($E$25*(3-1)/$D140))*$C140/1000</f>
        <v>15.10284</v>
      </c>
      <c r="H140" s="42">
        <f>(INT($E$25*4/$D140)-INT($E$25*(4-1)/$D140))*$C140/1000</f>
        <v>0.0</v>
      </c>
      <c r="I140" s="42">
        <f>(INT($E$25*5/$D140)-INT($E$25*(5-1)/$D140))*$C140/1000</f>
        <v>15.10284</v>
      </c>
      <c r="J140" s="42">
        <f>(INT($E$25*6/$D140)-INT($E$25*(6-1)/$D140))*$C140/1000</f>
        <v>0.0</v>
      </c>
      <c r="K140" s="42">
        <f>(INT($E$25*7/$D140)-INT($E$25*(7-1)/$D140))*$C140/1000</f>
        <v>15.10284</v>
      </c>
      <c r="L140" s="42">
        <f>(INT($E$25*8/$D140)-INT($E$25*(8-1)/$D140))*$C140/1000</f>
        <v>0.0</v>
      </c>
      <c r="M140" s="42">
        <f>(INT($E$25*9/$D140)-INT($E$25*(9-1)/$D140))*$C140/1000</f>
        <v>15.10284</v>
      </c>
      <c r="N140" s="42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44" t="n">
        <v>10422.27</v>
      </c>
      <c r="D141" s="43" t="n">
        <v>10100</v>
      </c>
      <c r="E141" s="42">
        <f>(INT($E$25*1/$D141)-INT($E$25*(1-1)/$D141))*$C141/1000</f>
        <v>0.0</v>
      </c>
      <c r="F141" s="42">
        <f>(INT($E$25*2/$D141)-INT($E$25*(2-1)/$D141))*$C141/1000</f>
        <v>10.422270000000001</v>
      </c>
      <c r="G141" s="42">
        <f>(INT($E$25*3/$D141)-INT($E$25*(3-1)/$D141))*$C141/1000</f>
        <v>10.422270000000001</v>
      </c>
      <c r="H141" s="42">
        <f>(INT($E$25*4/$D141)-INT($E$25*(4-1)/$D141))*$C141/1000</f>
        <v>0.0</v>
      </c>
      <c r="I141" s="42">
        <f>(INT($E$25*5/$D141)-INT($E$25*(5-1)/$D141))*$C141/1000</f>
        <v>10.422270000000001</v>
      </c>
      <c r="J141" s="42">
        <f>(INT($E$25*6/$D141)-INT($E$25*(6-1)/$D141))*$C141/1000</f>
        <v>10.422270000000001</v>
      </c>
      <c r="K141" s="42">
        <f>(INT($E$25*7/$D141)-INT($E$25*(7-1)/$D141))*$C141/1000</f>
        <v>0.0</v>
      </c>
      <c r="L141" s="42">
        <f>(INT($E$25*8/$D141)-INT($E$25*(8-1)/$D141))*$C141/1000</f>
        <v>10.422270000000001</v>
      </c>
      <c r="M141" s="42">
        <f>(INT($E$25*9/$D141)-INT($E$25*(9-1)/$D141))*$C141/1000</f>
        <v>10.422270000000001</v>
      </c>
      <c r="N141" s="42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44" t="n">
        <v>32219.39</v>
      </c>
      <c r="D142" s="43" t="n">
        <v>15000</v>
      </c>
      <c r="E142" s="42">
        <f>(INT($E$25*1/$D142)-INT($E$25*(1-1)/$D142))*$C142/1000</f>
        <v>0.0</v>
      </c>
      <c r="F142" s="42">
        <f>(INT($E$25*2/$D142)-INT($E$25*(2-1)/$D142))*$C142/1000</f>
        <v>0.0</v>
      </c>
      <c r="G142" s="42">
        <f>(INT($E$25*3/$D142)-INT($E$25*(3-1)/$D142))*$C142/1000</f>
        <v>32.21939</v>
      </c>
      <c r="H142" s="42">
        <f>(INT($E$25*4/$D142)-INT($E$25*(4-1)/$D142))*$C142/1000</f>
        <v>0.0</v>
      </c>
      <c r="I142" s="42">
        <f>(INT($E$25*5/$D142)-INT($E$25*(5-1)/$D142))*$C142/1000</f>
        <v>32.21939</v>
      </c>
      <c r="J142" s="42">
        <f>(INT($E$25*6/$D142)-INT($E$25*(6-1)/$D142))*$C142/1000</f>
        <v>0.0</v>
      </c>
      <c r="K142" s="42">
        <f>(INT($E$25*7/$D142)-INT($E$25*(7-1)/$D142))*$C142/1000</f>
        <v>32.21939</v>
      </c>
      <c r="L142" s="42">
        <f>(INT($E$25*8/$D142)-INT($E$25*(8-1)/$D142))*$C142/1000</f>
        <v>0.0</v>
      </c>
      <c r="M142" s="42">
        <f>(INT($E$25*9/$D142)-INT($E$25*(9-1)/$D142))*$C142/1000</f>
        <v>32.21939</v>
      </c>
      <c r="N142" s="42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44" t="n">
        <v>1720.05</v>
      </c>
      <c r="D143" s="43" t="n">
        <v>15000</v>
      </c>
      <c r="E143" s="42">
        <f>(INT($E$25*1/$D143)-INT($E$25*(1-1)/$D143))*$C143/1000</f>
        <v>0.0</v>
      </c>
      <c r="F143" s="42">
        <f>(INT($E$25*2/$D143)-INT($E$25*(2-1)/$D143))*$C143/1000</f>
        <v>0.0</v>
      </c>
      <c r="G143" s="42">
        <f>(INT($E$25*3/$D143)-INT($E$25*(3-1)/$D143))*$C143/1000</f>
        <v>1.7200499999999999</v>
      </c>
      <c r="H143" s="42">
        <f>(INT($E$25*4/$D143)-INT($E$25*(4-1)/$D143))*$C143/1000</f>
        <v>0.0</v>
      </c>
      <c r="I143" s="42">
        <f>(INT($E$25*5/$D143)-INT($E$25*(5-1)/$D143))*$C143/1000</f>
        <v>1.7200499999999999</v>
      </c>
      <c r="J143" s="42">
        <f>(INT($E$25*6/$D143)-INT($E$25*(6-1)/$D143))*$C143/1000</f>
        <v>0.0</v>
      </c>
      <c r="K143" s="42">
        <f>(INT($E$25*7/$D143)-INT($E$25*(7-1)/$D143))*$C143/1000</f>
        <v>1.7200499999999999</v>
      </c>
      <c r="L143" s="42">
        <f>(INT($E$25*8/$D143)-INT($E$25*(8-1)/$D143))*$C143/1000</f>
        <v>0.0</v>
      </c>
      <c r="M143" s="42">
        <f>(INT($E$25*9/$D143)-INT($E$25*(9-1)/$D143))*$C143/1000</f>
        <v>1.7200499999999999</v>
      </c>
      <c r="N143" s="42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44" t="n">
        <v>2773.01</v>
      </c>
      <c r="D144" s="43" t="n">
        <v>8000</v>
      </c>
      <c r="E144" s="42">
        <f>(INT($E$25*1/$D144)-INT($E$25*(1-1)/$D144))*$C144/1000</f>
        <v>0.0</v>
      </c>
      <c r="F144" s="42">
        <f>(INT($E$25*2/$D144)-INT($E$25*(2-1)/$D144))*$C144/1000</f>
        <v>2.77301</v>
      </c>
      <c r="G144" s="42">
        <f>(INT($E$25*3/$D144)-INT($E$25*(3-1)/$D144))*$C144/1000</f>
        <v>2.77301</v>
      </c>
      <c r="H144" s="42">
        <f>(INT($E$25*4/$D144)-INT($E$25*(4-1)/$D144))*$C144/1000</f>
        <v>2.77301</v>
      </c>
      <c r="I144" s="42">
        <f>(INT($E$25*5/$D144)-INT($E$25*(5-1)/$D144))*$C144/1000</f>
        <v>2.77301</v>
      </c>
      <c r="J144" s="42">
        <f>(INT($E$25*6/$D144)-INT($E$25*(6-1)/$D144))*$C144/1000</f>
        <v>2.77301</v>
      </c>
      <c r="K144" s="42">
        <f>(INT($E$25*7/$D144)-INT($E$25*(7-1)/$D144))*$C144/1000</f>
        <v>2.77301</v>
      </c>
      <c r="L144" s="42">
        <f>(INT($E$25*8/$D144)-INT($E$25*(8-1)/$D144))*$C144/1000</f>
        <v>2.77301</v>
      </c>
      <c r="M144" s="42">
        <f>(INT($E$25*9/$D144)-INT($E$25*(9-1)/$D144))*$C144/1000</f>
        <v>0.0</v>
      </c>
      <c r="N144" s="42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44" t="n">
        <v>41350.19</v>
      </c>
      <c r="D145" s="43" t="n">
        <v>14900</v>
      </c>
      <c r="E145" s="42">
        <f>(INT($E$25*1/$D145)-INT($E$25*(1-1)/$D145))*$C145/1000</f>
        <v>0.0</v>
      </c>
      <c r="F145" s="42">
        <f>(INT($E$25*2/$D145)-INT($E$25*(2-1)/$D145))*$C145/1000</f>
        <v>0.0</v>
      </c>
      <c r="G145" s="42">
        <f>(INT($E$25*3/$D145)-INT($E$25*(3-1)/$D145))*$C145/1000</f>
        <v>41.350190000000005</v>
      </c>
      <c r="H145" s="42">
        <f>(INT($E$25*4/$D145)-INT($E$25*(4-1)/$D145))*$C145/1000</f>
        <v>0.0</v>
      </c>
      <c r="I145" s="42">
        <f>(INT($E$25*5/$D145)-INT($E$25*(5-1)/$D145))*$C145/1000</f>
        <v>41.350190000000005</v>
      </c>
      <c r="J145" s="42">
        <f>(INT($E$25*6/$D145)-INT($E$25*(6-1)/$D145))*$C145/1000</f>
        <v>0.0</v>
      </c>
      <c r="K145" s="42">
        <f>(INT($E$25*7/$D145)-INT($E$25*(7-1)/$D145))*$C145/1000</f>
        <v>41.350190000000005</v>
      </c>
      <c r="L145" s="42">
        <f>(INT($E$25*8/$D145)-INT($E$25*(8-1)/$D145))*$C145/1000</f>
        <v>0.0</v>
      </c>
      <c r="M145" s="42">
        <f>(INT($E$25*9/$D145)-INT($E$25*(9-1)/$D145))*$C145/1000</f>
        <v>41.350190000000005</v>
      </c>
      <c r="N145" s="42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44" t="n">
        <v>29233.73</v>
      </c>
      <c r="D146" s="43" t="n">
        <v>14900</v>
      </c>
      <c r="E146" s="42">
        <f>(INT($E$25*1/$D146)-INT($E$25*(1-1)/$D146))*$C146/1000</f>
        <v>0.0</v>
      </c>
      <c r="F146" s="42">
        <f>(INT($E$25*2/$D146)-INT($E$25*(2-1)/$D146))*$C146/1000</f>
        <v>0.0</v>
      </c>
      <c r="G146" s="42">
        <f>(INT($E$25*3/$D146)-INT($E$25*(3-1)/$D146))*$C146/1000</f>
        <v>29.23373</v>
      </c>
      <c r="H146" s="42">
        <f>(INT($E$25*4/$D146)-INT($E$25*(4-1)/$D146))*$C146/1000</f>
        <v>0.0</v>
      </c>
      <c r="I146" s="42">
        <f>(INT($E$25*5/$D146)-INT($E$25*(5-1)/$D146))*$C146/1000</f>
        <v>29.23373</v>
      </c>
      <c r="J146" s="42">
        <f>(INT($E$25*6/$D146)-INT($E$25*(6-1)/$D146))*$C146/1000</f>
        <v>0.0</v>
      </c>
      <c r="K146" s="42">
        <f>(INT($E$25*7/$D146)-INT($E$25*(7-1)/$D146))*$C146/1000</f>
        <v>29.23373</v>
      </c>
      <c r="L146" s="42">
        <f>(INT($E$25*8/$D146)-INT($E$25*(8-1)/$D146))*$C146/1000</f>
        <v>0.0</v>
      </c>
      <c r="M146" s="42">
        <f>(INT($E$25*9/$D146)-INT($E$25*(9-1)/$D146))*$C146/1000</f>
        <v>29.23373</v>
      </c>
      <c r="N146" s="42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44" t="n">
        <v>17877.9</v>
      </c>
      <c r="D147" s="43" t="n">
        <v>10400</v>
      </c>
      <c r="E147" s="42">
        <f>(INT($E$25*1/$D147)-INT($E$25*(1-1)/$D147))*$C147/1000</f>
        <v>0.0</v>
      </c>
      <c r="F147" s="42">
        <f>(INT($E$25*2/$D147)-INT($E$25*(2-1)/$D147))*$C147/1000</f>
        <v>17.8779</v>
      </c>
      <c r="G147" s="42">
        <f>(INT($E$25*3/$D147)-INT($E$25*(3-1)/$D147))*$C147/1000</f>
        <v>17.8779</v>
      </c>
      <c r="H147" s="42">
        <f>(INT($E$25*4/$D147)-INT($E$25*(4-1)/$D147))*$C147/1000</f>
        <v>0.0</v>
      </c>
      <c r="I147" s="42">
        <f>(INT($E$25*5/$D147)-INT($E$25*(5-1)/$D147))*$C147/1000</f>
        <v>17.8779</v>
      </c>
      <c r="J147" s="42">
        <f>(INT($E$25*6/$D147)-INT($E$25*(6-1)/$D147))*$C147/1000</f>
        <v>17.8779</v>
      </c>
      <c r="K147" s="42">
        <f>(INT($E$25*7/$D147)-INT($E$25*(7-1)/$D147))*$C147/1000</f>
        <v>0.0</v>
      </c>
      <c r="L147" s="42">
        <f>(INT($E$25*8/$D147)-INT($E$25*(8-1)/$D147))*$C147/1000</f>
        <v>17.8779</v>
      </c>
      <c r="M147" s="42">
        <f>(INT($E$25*9/$D147)-INT($E$25*(9-1)/$D147))*$C147/1000</f>
        <v>17.8779</v>
      </c>
      <c r="N147" s="42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44" t="n">
        <v>4406.44</v>
      </c>
      <c r="D148" s="43" t="n">
        <v>12000</v>
      </c>
      <c r="E148" s="42">
        <f>(INT($E$25*1/$D148)-INT($E$25*(1-1)/$D148))*$C148/1000</f>
        <v>0.0</v>
      </c>
      <c r="F148" s="42">
        <f>(INT($E$25*2/$D148)-INT($E$25*(2-1)/$D148))*$C148/1000</f>
        <v>4.40644</v>
      </c>
      <c r="G148" s="42">
        <f>(INT($E$25*3/$D148)-INT($E$25*(3-1)/$D148))*$C148/1000</f>
        <v>0.0</v>
      </c>
      <c r="H148" s="42">
        <f>(INT($E$25*4/$D148)-INT($E$25*(4-1)/$D148))*$C148/1000</f>
        <v>4.40644</v>
      </c>
      <c r="I148" s="42">
        <f>(INT($E$25*5/$D148)-INT($E$25*(5-1)/$D148))*$C148/1000</f>
        <v>0.0</v>
      </c>
      <c r="J148" s="42">
        <f>(INT($E$25*6/$D148)-INT($E$25*(6-1)/$D148))*$C148/1000</f>
        <v>4.40644</v>
      </c>
      <c r="K148" s="42">
        <f>(INT($E$25*7/$D148)-INT($E$25*(7-1)/$D148))*$C148/1000</f>
        <v>4.40644</v>
      </c>
      <c r="L148" s="42">
        <f>(INT($E$25*8/$D148)-INT($E$25*(8-1)/$D148))*$C148/1000</f>
        <v>0.0</v>
      </c>
      <c r="M148" s="42">
        <f>(INT($E$25*9/$D148)-INT($E$25*(9-1)/$D148))*$C148/1000</f>
        <v>4.40644</v>
      </c>
      <c r="N148" s="42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44" t="n">
        <v>359.34</v>
      </c>
      <c r="D149" s="43" t="n">
        <v>8000</v>
      </c>
      <c r="E149" s="42">
        <f>(INT($E$25*1/$D149)-INT($E$25*(1-1)/$D149))*$C149/1000</f>
        <v>0.0</v>
      </c>
      <c r="F149" s="42">
        <f>(INT($E$25*2/$D149)-INT($E$25*(2-1)/$D149))*$C149/1000</f>
        <v>0.35934</v>
      </c>
      <c r="G149" s="42">
        <f>(INT($E$25*3/$D149)-INT($E$25*(3-1)/$D149))*$C149/1000</f>
        <v>0.35934</v>
      </c>
      <c r="H149" s="42">
        <f>(INT($E$25*4/$D149)-INT($E$25*(4-1)/$D149))*$C149/1000</f>
        <v>0.35934</v>
      </c>
      <c r="I149" s="42">
        <f>(INT($E$25*5/$D149)-INT($E$25*(5-1)/$D149))*$C149/1000</f>
        <v>0.35934</v>
      </c>
      <c r="J149" s="42">
        <f>(INT($E$25*6/$D149)-INT($E$25*(6-1)/$D149))*$C149/1000</f>
        <v>0.35934</v>
      </c>
      <c r="K149" s="42">
        <f>(INT($E$25*7/$D149)-INT($E$25*(7-1)/$D149))*$C149/1000</f>
        <v>0.35934</v>
      </c>
      <c r="L149" s="42">
        <f>(INT($E$25*8/$D149)-INT($E$25*(8-1)/$D149))*$C149/1000</f>
        <v>0.35934</v>
      </c>
      <c r="M149" s="42">
        <f>(INT($E$25*9/$D149)-INT($E$25*(9-1)/$D149))*$C149/1000</f>
        <v>0.0</v>
      </c>
      <c r="N149" s="42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44" t="n">
        <v>1855.63</v>
      </c>
      <c r="D150" s="43" t="n">
        <v>8000</v>
      </c>
      <c r="E150" s="42">
        <f>(INT($E$25*1/$D150)-INT($E$25*(1-1)/$D150))*$C150/1000</f>
        <v>0.0</v>
      </c>
      <c r="F150" s="42">
        <f>(INT($E$25*2/$D150)-INT($E$25*(2-1)/$D150))*$C150/1000</f>
        <v>1.8556300000000001</v>
      </c>
      <c r="G150" s="42">
        <f>(INT($E$25*3/$D150)-INT($E$25*(3-1)/$D150))*$C150/1000</f>
        <v>1.8556300000000001</v>
      </c>
      <c r="H150" s="42">
        <f>(INT($E$25*4/$D150)-INT($E$25*(4-1)/$D150))*$C150/1000</f>
        <v>1.8556300000000001</v>
      </c>
      <c r="I150" s="42">
        <f>(INT($E$25*5/$D150)-INT($E$25*(5-1)/$D150))*$C150/1000</f>
        <v>1.8556300000000001</v>
      </c>
      <c r="J150" s="42">
        <f>(INT($E$25*6/$D150)-INT($E$25*(6-1)/$D150))*$C150/1000</f>
        <v>1.8556300000000001</v>
      </c>
      <c r="K150" s="42">
        <f>(INT($E$25*7/$D150)-INT($E$25*(7-1)/$D150))*$C150/1000</f>
        <v>1.8556300000000001</v>
      </c>
      <c r="L150" s="42">
        <f>(INT($E$25*8/$D150)-INT($E$25*(8-1)/$D150))*$C150/1000</f>
        <v>1.8556300000000001</v>
      </c>
      <c r="M150" s="42">
        <f>(INT($E$25*9/$D150)-INT($E$25*(9-1)/$D150))*$C150/1000</f>
        <v>0.0</v>
      </c>
      <c r="N150" s="42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44" t="n">
        <v>1750.07</v>
      </c>
      <c r="D151" s="43" t="n">
        <v>10400</v>
      </c>
      <c r="E151" s="42">
        <f>(INT($E$25*1/$D151)-INT($E$25*(1-1)/$D151))*$C151/1000</f>
        <v>0.0</v>
      </c>
      <c r="F151" s="42">
        <f>(INT($E$25*2/$D151)-INT($E$25*(2-1)/$D151))*$C151/1000</f>
        <v>1.75007</v>
      </c>
      <c r="G151" s="42">
        <f>(INT($E$25*3/$D151)-INT($E$25*(3-1)/$D151))*$C151/1000</f>
        <v>1.75007</v>
      </c>
      <c r="H151" s="42">
        <f>(INT($E$25*4/$D151)-INT($E$25*(4-1)/$D151))*$C151/1000</f>
        <v>0.0</v>
      </c>
      <c r="I151" s="42">
        <f>(INT($E$25*5/$D151)-INT($E$25*(5-1)/$D151))*$C151/1000</f>
        <v>1.75007</v>
      </c>
      <c r="J151" s="42">
        <f>(INT($E$25*6/$D151)-INT($E$25*(6-1)/$D151))*$C151/1000</f>
        <v>1.75007</v>
      </c>
      <c r="K151" s="42">
        <f>(INT($E$25*7/$D151)-INT($E$25*(7-1)/$D151))*$C151/1000</f>
        <v>0.0</v>
      </c>
      <c r="L151" s="42">
        <f>(INT($E$25*8/$D151)-INT($E$25*(8-1)/$D151))*$C151/1000</f>
        <v>1.75007</v>
      </c>
      <c r="M151" s="42">
        <f>(INT($E$25*9/$D151)-INT($E$25*(9-1)/$D151))*$C151/1000</f>
        <v>1.75007</v>
      </c>
      <c r="N151" s="42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44" t="n">
        <v>1208.21</v>
      </c>
      <c r="D152" s="43" t="n">
        <v>8000</v>
      </c>
      <c r="E152" s="42">
        <f>(INT($E$25*1/$D152)-INT($E$25*(1-1)/$D152))*$C152/1000</f>
        <v>0.0</v>
      </c>
      <c r="F152" s="42">
        <f>(INT($E$25*2/$D152)-INT($E$25*(2-1)/$D152))*$C152/1000</f>
        <v>1.20821</v>
      </c>
      <c r="G152" s="42">
        <f>(INT($E$25*3/$D152)-INT($E$25*(3-1)/$D152))*$C152/1000</f>
        <v>1.20821</v>
      </c>
      <c r="H152" s="42">
        <f>(INT($E$25*4/$D152)-INT($E$25*(4-1)/$D152))*$C152/1000</f>
        <v>1.20821</v>
      </c>
      <c r="I152" s="42">
        <f>(INT($E$25*5/$D152)-INT($E$25*(5-1)/$D152))*$C152/1000</f>
        <v>1.20821</v>
      </c>
      <c r="J152" s="42">
        <f>(INT($E$25*6/$D152)-INT($E$25*(6-1)/$D152))*$C152/1000</f>
        <v>1.20821</v>
      </c>
      <c r="K152" s="42">
        <f>(INT($E$25*7/$D152)-INT($E$25*(7-1)/$D152))*$C152/1000</f>
        <v>1.20821</v>
      </c>
      <c r="L152" s="42">
        <f>(INT($E$25*8/$D152)-INT($E$25*(8-1)/$D152))*$C152/1000</f>
        <v>1.20821</v>
      </c>
      <c r="M152" s="42">
        <f>(INT($E$25*9/$D152)-INT($E$25*(9-1)/$D152))*$C152/1000</f>
        <v>0.0</v>
      </c>
      <c r="N152" s="42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44" t="n">
        <v>10570.4</v>
      </c>
      <c r="D153" s="43" t="n">
        <v>18000</v>
      </c>
      <c r="E153" s="42">
        <f>(INT($E$25*1/$D153)-INT($E$25*(1-1)/$D153))*$C153/1000</f>
        <v>0.0</v>
      </c>
      <c r="F153" s="42">
        <f>(INT($E$25*2/$D153)-INT($E$25*(2-1)/$D153))*$C153/1000</f>
        <v>0.0</v>
      </c>
      <c r="G153" s="42">
        <f>(INT($E$25*3/$D153)-INT($E$25*(3-1)/$D153))*$C153/1000</f>
        <v>10.5704</v>
      </c>
      <c r="H153" s="42">
        <f>(INT($E$25*4/$D153)-INT($E$25*(4-1)/$D153))*$C153/1000</f>
        <v>0.0</v>
      </c>
      <c r="I153" s="42">
        <f>(INT($E$25*5/$D153)-INT($E$25*(5-1)/$D153))*$C153/1000</f>
        <v>0.0</v>
      </c>
      <c r="J153" s="42">
        <f>(INT($E$25*6/$D153)-INT($E$25*(6-1)/$D153))*$C153/1000</f>
        <v>10.5704</v>
      </c>
      <c r="K153" s="42">
        <f>(INT($E$25*7/$D153)-INT($E$25*(7-1)/$D153))*$C153/1000</f>
        <v>0.0</v>
      </c>
      <c r="L153" s="42">
        <f>(INT($E$25*8/$D153)-INT($E$25*(8-1)/$D153))*$C153/1000</f>
        <v>10.5704</v>
      </c>
      <c r="M153" s="42">
        <f>(INT($E$25*9/$D153)-INT($E$25*(9-1)/$D153))*$C153/1000</f>
        <v>0.0</v>
      </c>
      <c r="N153" s="42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44" t="n">
        <v>149339.64</v>
      </c>
      <c r="D154" s="43" t="n">
        <v>30000</v>
      </c>
      <c r="E154" s="42">
        <f>(INT($E$25*1/$D154)-INT($E$25*(1-1)/$D154))*$C154/1000</f>
        <v>0.0</v>
      </c>
      <c r="F154" s="42">
        <f>(INT($E$25*2/$D154)-INT($E$25*(2-1)/$D154))*$C154/1000</f>
        <v>0.0</v>
      </c>
      <c r="G154" s="42">
        <f>(INT($E$25*3/$D154)-INT($E$25*(3-1)/$D154))*$C154/1000</f>
        <v>0.0</v>
      </c>
      <c r="H154" s="42">
        <f>(INT($E$25*4/$D154)-INT($E$25*(4-1)/$D154))*$C154/1000</f>
        <v>0.0</v>
      </c>
      <c r="I154" s="42">
        <f>(INT($E$25*5/$D154)-INT($E$25*(5-1)/$D154))*$C154/1000</f>
        <v>149.33964</v>
      </c>
      <c r="J154" s="42">
        <f>(INT($E$25*6/$D154)-INT($E$25*(6-1)/$D154))*$C154/1000</f>
        <v>0.0</v>
      </c>
      <c r="K154" s="42">
        <f>(INT($E$25*7/$D154)-INT($E$25*(7-1)/$D154))*$C154/1000</f>
        <v>0.0</v>
      </c>
      <c r="L154" s="42">
        <f>(INT($E$25*8/$D154)-INT($E$25*(8-1)/$D154))*$C154/1000</f>
        <v>0.0</v>
      </c>
      <c r="M154" s="42">
        <f>(INT($E$25*9/$D154)-INT($E$25*(9-1)/$D154))*$C154/1000</f>
        <v>149.33964</v>
      </c>
      <c r="N154" s="42">
        <f>(INT($E$25*10/$D154)-INT($E$25*(10-1)/$D154))*$C154/1000</f>
        <v>0.0</v>
      </c>
    </row>
    <row r="155">
      <c r="B155" s="22" t="inlineStr">
        <is>
          <t>COUPLING (муфта)</t>
        </is>
      </c>
      <c r="C155" s="44" t="n">
        <v>10830.34</v>
      </c>
      <c r="D155" s="43" t="n">
        <v>20000</v>
      </c>
      <c r="E155" s="42">
        <f>(INT($E$25*1/$D155)-INT($E$25*(1-1)/$D155))*$C155/1000</f>
        <v>0.0</v>
      </c>
      <c r="F155" s="42">
        <f>(INT($E$25*2/$D155)-INT($E$25*(2-1)/$D155))*$C155/1000</f>
        <v>0.0</v>
      </c>
      <c r="G155" s="42">
        <f>(INT($E$25*3/$D155)-INT($E$25*(3-1)/$D155))*$C155/1000</f>
        <v>10.83034</v>
      </c>
      <c r="H155" s="42">
        <f>(INT($E$25*4/$D155)-INT($E$25*(4-1)/$D155))*$C155/1000</f>
        <v>0.0</v>
      </c>
      <c r="I155" s="42">
        <f>(INT($E$25*5/$D155)-INT($E$25*(5-1)/$D155))*$C155/1000</f>
        <v>0.0</v>
      </c>
      <c r="J155" s="42">
        <f>(INT($E$25*6/$D155)-INT($E$25*(6-1)/$D155))*$C155/1000</f>
        <v>10.83034</v>
      </c>
      <c r="K155" s="42">
        <f>(INT($E$25*7/$D155)-INT($E$25*(7-1)/$D155))*$C155/1000</f>
        <v>0.0</v>
      </c>
      <c r="L155" s="42">
        <f>(INT($E$25*8/$D155)-INT($E$25*(8-1)/$D155))*$C155/1000</f>
        <v>0.0</v>
      </c>
      <c r="M155" s="42">
        <f>(INT($E$25*9/$D155)-INT($E$25*(9-1)/$D155))*$C155/1000</f>
        <v>10.83034</v>
      </c>
      <c r="N155" s="42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44" t="n">
        <v>1593.95</v>
      </c>
      <c r="D156" s="43" t="n">
        <v>10000</v>
      </c>
      <c r="E156" s="42">
        <f>(INT($E$25*1/$D156)-INT($E$25*(1-1)/$D156))*$C156/1000</f>
        <v>0.0</v>
      </c>
      <c r="F156" s="42">
        <f>(INT($E$25*2/$D156)-INT($E$25*(2-1)/$D156))*$C156/1000</f>
        <v>1.59395</v>
      </c>
      <c r="G156" s="42">
        <f>(INT($E$25*3/$D156)-INT($E$25*(3-1)/$D156))*$C156/1000</f>
        <v>1.59395</v>
      </c>
      <c r="H156" s="42">
        <f>(INT($E$25*4/$D156)-INT($E$25*(4-1)/$D156))*$C156/1000</f>
        <v>0.0</v>
      </c>
      <c r="I156" s="42">
        <f>(INT($E$25*5/$D156)-INT($E$25*(5-1)/$D156))*$C156/1000</f>
        <v>1.59395</v>
      </c>
      <c r="J156" s="42">
        <f>(INT($E$25*6/$D156)-INT($E$25*(6-1)/$D156))*$C156/1000</f>
        <v>1.59395</v>
      </c>
      <c r="K156" s="42">
        <f>(INT($E$25*7/$D156)-INT($E$25*(7-1)/$D156))*$C156/1000</f>
        <v>0.0</v>
      </c>
      <c r="L156" s="42">
        <f>(INT($E$25*8/$D156)-INT($E$25*(8-1)/$D156))*$C156/1000</f>
        <v>1.59395</v>
      </c>
      <c r="M156" s="42">
        <f>(INT($E$25*9/$D156)-INT($E$25*(9-1)/$D156))*$C156/1000</f>
        <v>1.59395</v>
      </c>
      <c r="N156" s="42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44" t="n">
        <v>4616.49</v>
      </c>
      <c r="D157" s="43" t="n">
        <v>20000</v>
      </c>
      <c r="E157" s="42">
        <f>(INT($E$25*1/$D157)-INT($E$25*(1-1)/$D157))*$C157/1000</f>
        <v>0.0</v>
      </c>
      <c r="F157" s="42">
        <f>(INT($E$25*2/$D157)-INT($E$25*(2-1)/$D157))*$C157/1000</f>
        <v>0.0</v>
      </c>
      <c r="G157" s="42">
        <f>(INT($E$25*3/$D157)-INT($E$25*(3-1)/$D157))*$C157/1000</f>
        <v>4.61649</v>
      </c>
      <c r="H157" s="42">
        <f>(INT($E$25*4/$D157)-INT($E$25*(4-1)/$D157))*$C157/1000</f>
        <v>0.0</v>
      </c>
      <c r="I157" s="42">
        <f>(INT($E$25*5/$D157)-INT($E$25*(5-1)/$D157))*$C157/1000</f>
        <v>0.0</v>
      </c>
      <c r="J157" s="42">
        <f>(INT($E$25*6/$D157)-INT($E$25*(6-1)/$D157))*$C157/1000</f>
        <v>4.61649</v>
      </c>
      <c r="K157" s="42">
        <f>(INT($E$25*7/$D157)-INT($E$25*(7-1)/$D157))*$C157/1000</f>
        <v>0.0</v>
      </c>
      <c r="L157" s="42">
        <f>(INT($E$25*8/$D157)-INT($E$25*(8-1)/$D157))*$C157/1000</f>
        <v>0.0</v>
      </c>
      <c r="M157" s="42">
        <f>(INT($E$25*9/$D157)-INT($E$25*(9-1)/$D157))*$C157/1000</f>
        <v>4.61649</v>
      </c>
      <c r="N157" s="42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44" t="n">
        <v>238.88</v>
      </c>
      <c r="D158" s="43" t="n">
        <v>22000</v>
      </c>
      <c r="E158" s="42">
        <f>(INT($E$25*1/$D158)-INT($E$25*(1-1)/$D158))*$C158/1000</f>
        <v>0.0</v>
      </c>
      <c r="F158" s="42">
        <f>(INT($E$25*2/$D158)-INT($E$25*(2-1)/$D158))*$C158/1000</f>
        <v>0.0</v>
      </c>
      <c r="G158" s="42">
        <f>(INT($E$25*3/$D158)-INT($E$25*(3-1)/$D158))*$C158/1000</f>
        <v>0.0</v>
      </c>
      <c r="H158" s="42">
        <f>(INT($E$25*4/$D158)-INT($E$25*(4-1)/$D158))*$C158/1000</f>
        <v>0.23888</v>
      </c>
      <c r="I158" s="42">
        <f>(INT($E$25*5/$D158)-INT($E$25*(5-1)/$D158))*$C158/1000</f>
        <v>0.0</v>
      </c>
      <c r="J158" s="42">
        <f>(INT($E$25*6/$D158)-INT($E$25*(6-1)/$D158))*$C158/1000</f>
        <v>0.0</v>
      </c>
      <c r="K158" s="42">
        <f>(INT($E$25*7/$D158)-INT($E$25*(7-1)/$D158))*$C158/1000</f>
        <v>0.23888</v>
      </c>
      <c r="L158" s="42">
        <f>(INT($E$25*8/$D158)-INT($E$25*(8-1)/$D158))*$C158/1000</f>
        <v>0.0</v>
      </c>
      <c r="M158" s="42">
        <f>(INT($E$25*9/$D158)-INT($E$25*(9-1)/$D158))*$C158/1000</f>
        <v>0.0</v>
      </c>
      <c r="N158" s="42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44" t="n">
        <v>620.8200000000001</v>
      </c>
      <c r="D159" s="43" t="n">
        <v>20000</v>
      </c>
      <c r="E159" s="42">
        <f>(INT($E$25*1/$D159)-INT($E$25*(1-1)/$D159))*$C159/1000</f>
        <v>0.0</v>
      </c>
      <c r="F159" s="42">
        <f>(INT($E$25*2/$D159)-INT($E$25*(2-1)/$D159))*$C159/1000</f>
        <v>0.0</v>
      </c>
      <c r="G159" s="42">
        <f>(INT($E$25*3/$D159)-INT($E$25*(3-1)/$D159))*$C159/1000</f>
        <v>0.62082</v>
      </c>
      <c r="H159" s="42">
        <f>(INT($E$25*4/$D159)-INT($E$25*(4-1)/$D159))*$C159/1000</f>
        <v>0.0</v>
      </c>
      <c r="I159" s="42">
        <f>(INT($E$25*5/$D159)-INT($E$25*(5-1)/$D159))*$C159/1000</f>
        <v>0.0</v>
      </c>
      <c r="J159" s="42">
        <f>(INT($E$25*6/$D159)-INT($E$25*(6-1)/$D159))*$C159/1000</f>
        <v>0.62082</v>
      </c>
      <c r="K159" s="42">
        <f>(INT($E$25*7/$D159)-INT($E$25*(7-1)/$D159))*$C159/1000</f>
        <v>0.0</v>
      </c>
      <c r="L159" s="42">
        <f>(INT($E$25*8/$D159)-INT($E$25*(8-1)/$D159))*$C159/1000</f>
        <v>0.0</v>
      </c>
      <c r="M159" s="42">
        <f>(INT($E$25*9/$D159)-INT($E$25*(9-1)/$D159))*$C159/1000</f>
        <v>0.62082</v>
      </c>
      <c r="N159" s="42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44" t="n">
        <v>16243.37</v>
      </c>
      <c r="D160" s="43" t="n">
        <v>13000</v>
      </c>
      <c r="E160" s="42">
        <f>(INT($E$25*1/$D160)-INT($E$25*(1-1)/$D160))*$C160/1000</f>
        <v>0.0</v>
      </c>
      <c r="F160" s="42">
        <f>(INT($E$25*2/$D160)-INT($E$25*(2-1)/$D160))*$C160/1000</f>
        <v>16.243370000000002</v>
      </c>
      <c r="G160" s="42">
        <f>(INT($E$25*3/$D160)-INT($E$25*(3-1)/$D160))*$C160/1000</f>
        <v>0.0</v>
      </c>
      <c r="H160" s="42">
        <f>(INT($E$25*4/$D160)-INT($E$25*(4-1)/$D160))*$C160/1000</f>
        <v>16.243370000000002</v>
      </c>
      <c r="I160" s="42">
        <f>(INT($E$25*5/$D160)-INT($E$25*(5-1)/$D160))*$C160/1000</f>
        <v>0.0</v>
      </c>
      <c r="J160" s="42">
        <f>(INT($E$25*6/$D160)-INT($E$25*(6-1)/$D160))*$C160/1000</f>
        <v>16.243370000000002</v>
      </c>
      <c r="K160" s="42">
        <f>(INT($E$25*7/$D160)-INT($E$25*(7-1)/$D160))*$C160/1000</f>
        <v>0.0</v>
      </c>
      <c r="L160" s="42">
        <f>(INT($E$25*8/$D160)-INT($E$25*(8-1)/$D160))*$C160/1000</f>
        <v>16.243370000000002</v>
      </c>
      <c r="M160" s="42">
        <f>(INT($E$25*9/$D160)-INT($E$25*(9-1)/$D160))*$C160/1000</f>
        <v>0.0</v>
      </c>
      <c r="N160" s="42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44" t="n">
        <v>176926.4</v>
      </c>
      <c r="D161" s="43" t="n">
        <v>30000</v>
      </c>
      <c r="E161" s="42">
        <f>(INT($E$25*1/$D161)-INT($E$25*(1-1)/$D161))*$C161/1000</f>
        <v>0.0</v>
      </c>
      <c r="F161" s="42">
        <f>(INT($E$25*2/$D161)-INT($E$25*(2-1)/$D161))*$C161/1000</f>
        <v>0.0</v>
      </c>
      <c r="G161" s="42">
        <f>(INT($E$25*3/$D161)-INT($E$25*(3-1)/$D161))*$C161/1000</f>
        <v>0.0</v>
      </c>
      <c r="H161" s="42">
        <f>(INT($E$25*4/$D161)-INT($E$25*(4-1)/$D161))*$C161/1000</f>
        <v>0.0</v>
      </c>
      <c r="I161" s="42">
        <f>(INT($E$25*5/$D161)-INT($E$25*(5-1)/$D161))*$C161/1000</f>
        <v>176.9264</v>
      </c>
      <c r="J161" s="42">
        <f>(INT($E$25*6/$D161)-INT($E$25*(6-1)/$D161))*$C161/1000</f>
        <v>0.0</v>
      </c>
      <c r="K161" s="42">
        <f>(INT($E$25*7/$D161)-INT($E$25*(7-1)/$D161))*$C161/1000</f>
        <v>0.0</v>
      </c>
      <c r="L161" s="42">
        <f>(INT($E$25*8/$D161)-INT($E$25*(8-1)/$D161))*$C161/1000</f>
        <v>0.0</v>
      </c>
      <c r="M161" s="42">
        <f>(INT($E$25*9/$D161)-INT($E$25*(9-1)/$D161))*$C161/1000</f>
        <v>176.9264</v>
      </c>
      <c r="N161" s="42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44" t="n">
        <v>2480.1</v>
      </c>
      <c r="D162" s="43" t="n">
        <v>11000</v>
      </c>
      <c r="E162" s="42">
        <f>(INT($E$25*1/$D162)-INT($E$25*(1-1)/$D162))*$C162/1000</f>
        <v>0.0</v>
      </c>
      <c r="F162" s="42">
        <f>(INT($E$25*2/$D162)-INT($E$25*(2-1)/$D162))*$C162/1000</f>
        <v>2.4800999999999997</v>
      </c>
      <c r="G162" s="42">
        <f>(INT($E$25*3/$D162)-INT($E$25*(3-1)/$D162))*$C162/1000</f>
        <v>0.0</v>
      </c>
      <c r="H162" s="42">
        <f>(INT($E$25*4/$D162)-INT($E$25*(4-1)/$D162))*$C162/1000</f>
        <v>2.4800999999999997</v>
      </c>
      <c r="I162" s="42">
        <f>(INT($E$25*5/$D162)-INT($E$25*(5-1)/$D162))*$C162/1000</f>
        <v>2.4800999999999997</v>
      </c>
      <c r="J162" s="42">
        <f>(INT($E$25*6/$D162)-INT($E$25*(6-1)/$D162))*$C162/1000</f>
        <v>0.0</v>
      </c>
      <c r="K162" s="42">
        <f>(INT($E$25*7/$D162)-INT($E$25*(7-1)/$D162))*$C162/1000</f>
        <v>2.4800999999999997</v>
      </c>
      <c r="L162" s="42">
        <f>(INT($E$25*8/$D162)-INT($E$25*(8-1)/$D162))*$C162/1000</f>
        <v>2.4800999999999997</v>
      </c>
      <c r="M162" s="42">
        <f>(INT($E$25*9/$D162)-INT($E$25*(9-1)/$D162))*$C162/1000</f>
        <v>0.0</v>
      </c>
      <c r="N162" s="42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44" t="n">
        <v>2068.08</v>
      </c>
      <c r="D163" s="43" t="n">
        <v>11000</v>
      </c>
      <c r="E163" s="42">
        <f>(INT($E$25*1/$D163)-INT($E$25*(1-1)/$D163))*$C163/1000</f>
        <v>0.0</v>
      </c>
      <c r="F163" s="42">
        <f>(INT($E$25*2/$D163)-INT($E$25*(2-1)/$D163))*$C163/1000</f>
        <v>2.06808</v>
      </c>
      <c r="G163" s="42">
        <f>(INT($E$25*3/$D163)-INT($E$25*(3-1)/$D163))*$C163/1000</f>
        <v>0.0</v>
      </c>
      <c r="H163" s="42">
        <f>(INT($E$25*4/$D163)-INT($E$25*(4-1)/$D163))*$C163/1000</f>
        <v>2.06808</v>
      </c>
      <c r="I163" s="42">
        <f>(INT($E$25*5/$D163)-INT($E$25*(5-1)/$D163))*$C163/1000</f>
        <v>2.06808</v>
      </c>
      <c r="J163" s="42">
        <f>(INT($E$25*6/$D163)-INT($E$25*(6-1)/$D163))*$C163/1000</f>
        <v>0.0</v>
      </c>
      <c r="K163" s="42">
        <f>(INT($E$25*7/$D163)-INT($E$25*(7-1)/$D163))*$C163/1000</f>
        <v>2.06808</v>
      </c>
      <c r="L163" s="42">
        <f>(INT($E$25*8/$D163)-INT($E$25*(8-1)/$D163))*$C163/1000</f>
        <v>2.06808</v>
      </c>
      <c r="M163" s="42">
        <f>(INT($E$25*9/$D163)-INT($E$25*(9-1)/$D163))*$C163/1000</f>
        <v>0.0</v>
      </c>
      <c r="N163" s="42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44" t="n">
        <v>14077.02</v>
      </c>
      <c r="D164" s="43" t="n">
        <v>11900</v>
      </c>
      <c r="E164" s="42">
        <f>(INT($E$25*1/$D164)-INT($E$25*(1-1)/$D164))*$C164/1000</f>
        <v>0.0</v>
      </c>
      <c r="F164" s="42">
        <f>(INT($E$25*2/$D164)-INT($E$25*(2-1)/$D164))*$C164/1000</f>
        <v>14.077020000000001</v>
      </c>
      <c r="G164" s="42">
        <f>(INT($E$25*3/$D164)-INT($E$25*(3-1)/$D164))*$C164/1000</f>
        <v>0.0</v>
      </c>
      <c r="H164" s="42">
        <f>(INT($E$25*4/$D164)-INT($E$25*(4-1)/$D164))*$C164/1000</f>
        <v>14.077020000000001</v>
      </c>
      <c r="I164" s="42">
        <f>(INT($E$25*5/$D164)-INT($E$25*(5-1)/$D164))*$C164/1000</f>
        <v>0.0</v>
      </c>
      <c r="J164" s="42">
        <f>(INT($E$25*6/$D164)-INT($E$25*(6-1)/$D164))*$C164/1000</f>
        <v>14.077020000000001</v>
      </c>
      <c r="K164" s="42">
        <f>(INT($E$25*7/$D164)-INT($E$25*(7-1)/$D164))*$C164/1000</f>
        <v>14.077020000000001</v>
      </c>
      <c r="L164" s="42">
        <f>(INT($E$25*8/$D164)-INT($E$25*(8-1)/$D164))*$C164/1000</f>
        <v>0.0</v>
      </c>
      <c r="M164" s="42">
        <f>(INT($E$25*9/$D164)-INT($E$25*(9-1)/$D164))*$C164/1000</f>
        <v>14.077020000000001</v>
      </c>
      <c r="N164" s="42">
        <f>(INT($E$25*10/$D164)-INT($E$25*(10-1)/$D164))*$C164/1000</f>
        <v>0.0</v>
      </c>
    </row>
    <row r="165">
      <c r="B165" s="22" t="inlineStr">
        <is>
          <t>DRIVE SHAFT (кардан)</t>
        </is>
      </c>
      <c r="C165" s="44" t="n">
        <v>1626.09</v>
      </c>
      <c r="D165" s="43" t="n">
        <v>15000</v>
      </c>
      <c r="E165" s="42">
        <f>(INT($E$25*1/$D165)-INT($E$25*(1-1)/$D165))*$C165/1000</f>
        <v>0.0</v>
      </c>
      <c r="F165" s="42">
        <f>(INT($E$25*2/$D165)-INT($E$25*(2-1)/$D165))*$C165/1000</f>
        <v>0.0</v>
      </c>
      <c r="G165" s="42">
        <f>(INT($E$25*3/$D165)-INT($E$25*(3-1)/$D165))*$C165/1000</f>
        <v>1.6260899999999998</v>
      </c>
      <c r="H165" s="42">
        <f>(INT($E$25*4/$D165)-INT($E$25*(4-1)/$D165))*$C165/1000</f>
        <v>0.0</v>
      </c>
      <c r="I165" s="42">
        <f>(INT($E$25*5/$D165)-INT($E$25*(5-1)/$D165))*$C165/1000</f>
        <v>1.6260899999999998</v>
      </c>
      <c r="J165" s="42">
        <f>(INT($E$25*6/$D165)-INT($E$25*(6-1)/$D165))*$C165/1000</f>
        <v>0.0</v>
      </c>
      <c r="K165" s="42">
        <f>(INT($E$25*7/$D165)-INT($E$25*(7-1)/$D165))*$C165/1000</f>
        <v>1.6260899999999998</v>
      </c>
      <c r="L165" s="42">
        <f>(INT($E$25*8/$D165)-INT($E$25*(8-1)/$D165))*$C165/1000</f>
        <v>0.0</v>
      </c>
      <c r="M165" s="42">
        <f>(INT($E$25*9/$D165)-INT($E$25*(9-1)/$D165))*$C165/1000</f>
        <v>1.6260899999999998</v>
      </c>
      <c r="N165" s="42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44" t="n">
        <v>83945.98</v>
      </c>
      <c r="D166" s="43" t="n">
        <v>18000</v>
      </c>
      <c r="E166" s="42">
        <f>(INT($E$25*1/$D166)-INT($E$25*(1-1)/$D166))*$C166/1000</f>
        <v>0.0</v>
      </c>
      <c r="F166" s="42">
        <f>(INT($E$25*2/$D166)-INT($E$25*(2-1)/$D166))*$C166/1000</f>
        <v>0.0</v>
      </c>
      <c r="G166" s="42">
        <f>(INT($E$25*3/$D166)-INT($E$25*(3-1)/$D166))*$C166/1000</f>
        <v>83.94597999999999</v>
      </c>
      <c r="H166" s="42">
        <f>(INT($E$25*4/$D166)-INT($E$25*(4-1)/$D166))*$C166/1000</f>
        <v>0.0</v>
      </c>
      <c r="I166" s="42">
        <f>(INT($E$25*5/$D166)-INT($E$25*(5-1)/$D166))*$C166/1000</f>
        <v>0.0</v>
      </c>
      <c r="J166" s="42">
        <f>(INT($E$25*6/$D166)-INT($E$25*(6-1)/$D166))*$C166/1000</f>
        <v>83.94597999999999</v>
      </c>
      <c r="K166" s="42">
        <f>(INT($E$25*7/$D166)-INT($E$25*(7-1)/$D166))*$C166/1000</f>
        <v>0.0</v>
      </c>
      <c r="L166" s="42">
        <f>(INT($E$25*8/$D166)-INT($E$25*(8-1)/$D166))*$C166/1000</f>
        <v>83.94597999999999</v>
      </c>
      <c r="M166" s="42">
        <f>(INT($E$25*9/$D166)-INT($E$25*(9-1)/$D166))*$C166/1000</f>
        <v>0.0</v>
      </c>
      <c r="N166" s="42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44" t="n">
        <v>4856.64</v>
      </c>
      <c r="D167" s="43" t="n">
        <v>14000</v>
      </c>
      <c r="E167" s="42">
        <f>(INT($E$25*1/$D167)-INT($E$25*(1-1)/$D167))*$C167/1000</f>
        <v>0.0</v>
      </c>
      <c r="F167" s="42">
        <f>(INT($E$25*2/$D167)-INT($E$25*(2-1)/$D167))*$C167/1000</f>
        <v>4.8566400000000005</v>
      </c>
      <c r="G167" s="42">
        <f>(INT($E$25*3/$D167)-INT($E$25*(3-1)/$D167))*$C167/1000</f>
        <v>0.0</v>
      </c>
      <c r="H167" s="42">
        <f>(INT($E$25*4/$D167)-INT($E$25*(4-1)/$D167))*$C167/1000</f>
        <v>4.8566400000000005</v>
      </c>
      <c r="I167" s="42">
        <f>(INT($E$25*5/$D167)-INT($E$25*(5-1)/$D167))*$C167/1000</f>
        <v>0.0</v>
      </c>
      <c r="J167" s="42">
        <f>(INT($E$25*6/$D167)-INT($E$25*(6-1)/$D167))*$C167/1000</f>
        <v>4.8566400000000005</v>
      </c>
      <c r="K167" s="42">
        <f>(INT($E$25*7/$D167)-INT($E$25*(7-1)/$D167))*$C167/1000</f>
        <v>0.0</v>
      </c>
      <c r="L167" s="42">
        <f>(INT($E$25*8/$D167)-INT($E$25*(8-1)/$D167))*$C167/1000</f>
        <v>4.8566400000000005</v>
      </c>
      <c r="M167" s="42">
        <f>(INT($E$25*9/$D167)-INT($E$25*(9-1)/$D167))*$C167/1000</f>
        <v>0.0</v>
      </c>
      <c r="N167" s="42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44" t="n">
        <v>10503.76</v>
      </c>
      <c r="D168" s="43" t="n">
        <v>12000</v>
      </c>
      <c r="E168" s="42">
        <f>(INT($E$25*1/$D168)-INT($E$25*(1-1)/$D168))*$C168/1000</f>
        <v>0.0</v>
      </c>
      <c r="F168" s="42">
        <f>(INT($E$25*2/$D168)-INT($E$25*(2-1)/$D168))*$C168/1000</f>
        <v>10.50376</v>
      </c>
      <c r="G168" s="42">
        <f>(INT($E$25*3/$D168)-INT($E$25*(3-1)/$D168))*$C168/1000</f>
        <v>0.0</v>
      </c>
      <c r="H168" s="42">
        <f>(INT($E$25*4/$D168)-INT($E$25*(4-1)/$D168))*$C168/1000</f>
        <v>10.50376</v>
      </c>
      <c r="I168" s="42">
        <f>(INT($E$25*5/$D168)-INT($E$25*(5-1)/$D168))*$C168/1000</f>
        <v>0.0</v>
      </c>
      <c r="J168" s="42">
        <f>(INT($E$25*6/$D168)-INT($E$25*(6-1)/$D168))*$C168/1000</f>
        <v>10.50376</v>
      </c>
      <c r="K168" s="42">
        <f>(INT($E$25*7/$D168)-INT($E$25*(7-1)/$D168))*$C168/1000</f>
        <v>10.50376</v>
      </c>
      <c r="L168" s="42">
        <f>(INT($E$25*8/$D168)-INT($E$25*(8-1)/$D168))*$C168/1000</f>
        <v>0.0</v>
      </c>
      <c r="M168" s="42">
        <f>(INT($E$25*9/$D168)-INT($E$25*(9-1)/$D168))*$C168/1000</f>
        <v>10.50376</v>
      </c>
      <c r="N168" s="42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44" t="n">
        <v>33088.43</v>
      </c>
      <c r="D169" s="43" t="n">
        <v>21000</v>
      </c>
      <c r="E169" s="42">
        <f>(INT($E$25*1/$D169)-INT($E$25*(1-1)/$D169))*$C169/1000</f>
        <v>0.0</v>
      </c>
      <c r="F169" s="42">
        <f>(INT($E$25*2/$D169)-INT($E$25*(2-1)/$D169))*$C169/1000</f>
        <v>0.0</v>
      </c>
      <c r="G169" s="42">
        <f>(INT($E$25*3/$D169)-INT($E$25*(3-1)/$D169))*$C169/1000</f>
        <v>33.08843</v>
      </c>
      <c r="H169" s="42">
        <f>(INT($E$25*4/$D169)-INT($E$25*(4-1)/$D169))*$C169/1000</f>
        <v>0.0</v>
      </c>
      <c r="I169" s="42">
        <f>(INT($E$25*5/$D169)-INT($E$25*(5-1)/$D169))*$C169/1000</f>
        <v>0.0</v>
      </c>
      <c r="J169" s="42">
        <f>(INT($E$25*6/$D169)-INT($E$25*(6-1)/$D169))*$C169/1000</f>
        <v>33.08843</v>
      </c>
      <c r="K169" s="42">
        <f>(INT($E$25*7/$D169)-INT($E$25*(7-1)/$D169))*$C169/1000</f>
        <v>0.0</v>
      </c>
      <c r="L169" s="42">
        <f>(INT($E$25*8/$D169)-INT($E$25*(8-1)/$D169))*$C169/1000</f>
        <v>0.0</v>
      </c>
      <c r="M169" s="42">
        <f>(INT($E$25*9/$D169)-INT($E$25*(9-1)/$D169))*$C169/1000</f>
        <v>33.08843</v>
      </c>
      <c r="N169" s="42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44" t="n">
        <v>798.38</v>
      </c>
      <c r="D170" s="43" t="n">
        <v>14000</v>
      </c>
      <c r="E170" s="42">
        <f>(INT($E$25*1/$D170)-INT($E$25*(1-1)/$D170))*$C170/1000</f>
        <v>0.0</v>
      </c>
      <c r="F170" s="42">
        <f>(INT($E$25*2/$D170)-INT($E$25*(2-1)/$D170))*$C170/1000</f>
        <v>0.79838</v>
      </c>
      <c r="G170" s="42">
        <f>(INT($E$25*3/$D170)-INT($E$25*(3-1)/$D170))*$C170/1000</f>
        <v>0.0</v>
      </c>
      <c r="H170" s="42">
        <f>(INT($E$25*4/$D170)-INT($E$25*(4-1)/$D170))*$C170/1000</f>
        <v>0.79838</v>
      </c>
      <c r="I170" s="42">
        <f>(INT($E$25*5/$D170)-INT($E$25*(5-1)/$D170))*$C170/1000</f>
        <v>0.0</v>
      </c>
      <c r="J170" s="42">
        <f>(INT($E$25*6/$D170)-INT($E$25*(6-1)/$D170))*$C170/1000</f>
        <v>0.79838</v>
      </c>
      <c r="K170" s="42">
        <f>(INT($E$25*7/$D170)-INT($E$25*(7-1)/$D170))*$C170/1000</f>
        <v>0.0</v>
      </c>
      <c r="L170" s="42">
        <f>(INT($E$25*8/$D170)-INT($E$25*(8-1)/$D170))*$C170/1000</f>
        <v>0.79838</v>
      </c>
      <c r="M170" s="42">
        <f>(INT($E$25*9/$D170)-INT($E$25*(9-1)/$D170))*$C170/1000</f>
        <v>0.0</v>
      </c>
      <c r="N170" s="42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44" t="n">
        <v>2803.81</v>
      </c>
      <c r="D171" s="43" t="n">
        <v>6000</v>
      </c>
      <c r="E171" s="42">
        <f>(INT($E$25*1/$D171)-INT($E$25*(1-1)/$D171))*$C171/1000</f>
        <v>2.80381</v>
      </c>
      <c r="F171" s="42">
        <f>(INT($E$25*2/$D171)-INT($E$25*(2-1)/$D171))*$C171/1000</f>
        <v>2.80381</v>
      </c>
      <c r="G171" s="42">
        <f>(INT($E$25*3/$D171)-INT($E$25*(3-1)/$D171))*$C171/1000</f>
        <v>2.80381</v>
      </c>
      <c r="H171" s="42">
        <f>(INT($E$25*4/$D171)-INT($E$25*(4-1)/$D171))*$C171/1000</f>
        <v>2.80381</v>
      </c>
      <c r="I171" s="42">
        <f>(INT($E$25*5/$D171)-INT($E$25*(5-1)/$D171))*$C171/1000</f>
        <v>2.80381</v>
      </c>
      <c r="J171" s="42">
        <f>(INT($E$25*6/$D171)-INT($E$25*(6-1)/$D171))*$C171/1000</f>
        <v>5.60762</v>
      </c>
      <c r="K171" s="42">
        <f>(INT($E$25*7/$D171)-INT($E$25*(7-1)/$D171))*$C171/1000</f>
        <v>2.80381</v>
      </c>
      <c r="L171" s="42">
        <f>(INT($E$25*8/$D171)-INT($E$25*(8-1)/$D171))*$C171/1000</f>
        <v>2.80381</v>
      </c>
      <c r="M171" s="42">
        <f>(INT($E$25*9/$D171)-INT($E$25*(9-1)/$D171))*$C171/1000</f>
        <v>2.80381</v>
      </c>
      <c r="N171" s="42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44" t="n">
        <v>2803.81</v>
      </c>
      <c r="D172" s="43" t="n">
        <v>6000</v>
      </c>
      <c r="E172" s="42">
        <f>(INT($E$25*1/$D172)-INT($E$25*(1-1)/$D172))*$C172/1000</f>
        <v>2.80381</v>
      </c>
      <c r="F172" s="42">
        <f>(INT($E$25*2/$D172)-INT($E$25*(2-1)/$D172))*$C172/1000</f>
        <v>2.80381</v>
      </c>
      <c r="G172" s="42">
        <f>(INT($E$25*3/$D172)-INT($E$25*(3-1)/$D172))*$C172/1000</f>
        <v>2.80381</v>
      </c>
      <c r="H172" s="42">
        <f>(INT($E$25*4/$D172)-INT($E$25*(4-1)/$D172))*$C172/1000</f>
        <v>2.80381</v>
      </c>
      <c r="I172" s="42">
        <f>(INT($E$25*5/$D172)-INT($E$25*(5-1)/$D172))*$C172/1000</f>
        <v>2.80381</v>
      </c>
      <c r="J172" s="42">
        <f>(INT($E$25*6/$D172)-INT($E$25*(6-1)/$D172))*$C172/1000</f>
        <v>5.60762</v>
      </c>
      <c r="K172" s="42">
        <f>(INT($E$25*7/$D172)-INT($E$25*(7-1)/$D172))*$C172/1000</f>
        <v>2.80381</v>
      </c>
      <c r="L172" s="42">
        <f>(INT($E$25*8/$D172)-INT($E$25*(8-1)/$D172))*$C172/1000</f>
        <v>2.80381</v>
      </c>
      <c r="M172" s="42">
        <f>(INT($E$25*9/$D172)-INT($E$25*(9-1)/$D172))*$C172/1000</f>
        <v>2.80381</v>
      </c>
      <c r="N172" s="42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44" t="n">
        <v>11684.45</v>
      </c>
      <c r="D173" s="43" t="n">
        <v>12000</v>
      </c>
      <c r="E173" s="42">
        <f>(INT($E$25*1/$D173)-INT($E$25*(1-1)/$D173))*$C173/1000</f>
        <v>0.0</v>
      </c>
      <c r="F173" s="42">
        <f>(INT($E$25*2/$D173)-INT($E$25*(2-1)/$D173))*$C173/1000</f>
        <v>11.68445</v>
      </c>
      <c r="G173" s="42">
        <f>(INT($E$25*3/$D173)-INT($E$25*(3-1)/$D173))*$C173/1000</f>
        <v>0.0</v>
      </c>
      <c r="H173" s="42">
        <f>(INT($E$25*4/$D173)-INT($E$25*(4-1)/$D173))*$C173/1000</f>
        <v>11.68445</v>
      </c>
      <c r="I173" s="42">
        <f>(INT($E$25*5/$D173)-INT($E$25*(5-1)/$D173))*$C173/1000</f>
        <v>0.0</v>
      </c>
      <c r="J173" s="42">
        <f>(INT($E$25*6/$D173)-INT($E$25*(6-1)/$D173))*$C173/1000</f>
        <v>11.68445</v>
      </c>
      <c r="K173" s="42">
        <f>(INT($E$25*7/$D173)-INT($E$25*(7-1)/$D173))*$C173/1000</f>
        <v>11.68445</v>
      </c>
      <c r="L173" s="42">
        <f>(INT($E$25*8/$D173)-INT($E$25*(8-1)/$D173))*$C173/1000</f>
        <v>0.0</v>
      </c>
      <c r="M173" s="42">
        <f>(INT($E$25*9/$D173)-INT($E$25*(9-1)/$D173))*$C173/1000</f>
        <v>11.68445</v>
      </c>
      <c r="N173" s="42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44" t="n">
        <v>15375.35</v>
      </c>
      <c r="D174" s="43" t="n">
        <v>21000</v>
      </c>
      <c r="E174" s="42">
        <f>(INT($E$25*1/$D174)-INT($E$25*(1-1)/$D174))*$C174/1000</f>
        <v>0.0</v>
      </c>
      <c r="F174" s="42">
        <f>(INT($E$25*2/$D174)-INT($E$25*(2-1)/$D174))*$C174/1000</f>
        <v>0.0</v>
      </c>
      <c r="G174" s="42">
        <f>(INT($E$25*3/$D174)-INT($E$25*(3-1)/$D174))*$C174/1000</f>
        <v>15.375350000000001</v>
      </c>
      <c r="H174" s="42">
        <f>(INT($E$25*4/$D174)-INT($E$25*(4-1)/$D174))*$C174/1000</f>
        <v>0.0</v>
      </c>
      <c r="I174" s="42">
        <f>(INT($E$25*5/$D174)-INT($E$25*(5-1)/$D174))*$C174/1000</f>
        <v>0.0</v>
      </c>
      <c r="J174" s="42">
        <f>(INT($E$25*6/$D174)-INT($E$25*(6-1)/$D174))*$C174/1000</f>
        <v>15.375350000000001</v>
      </c>
      <c r="K174" s="42">
        <f>(INT($E$25*7/$D174)-INT($E$25*(7-1)/$D174))*$C174/1000</f>
        <v>0.0</v>
      </c>
      <c r="L174" s="42">
        <f>(INT($E$25*8/$D174)-INT($E$25*(8-1)/$D174))*$C174/1000</f>
        <v>0.0</v>
      </c>
      <c r="M174" s="42">
        <f>(INT($E$25*9/$D174)-INT($E$25*(9-1)/$D174))*$C174/1000</f>
        <v>15.375350000000001</v>
      </c>
      <c r="N174" s="42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44" t="n">
        <v>4036.53</v>
      </c>
      <c r="D175" s="43" t="n">
        <v>15000</v>
      </c>
      <c r="E175" s="42">
        <f>(INT($E$25*1/$D175)-INT($E$25*(1-1)/$D175))*$C175/1000</f>
        <v>0.0</v>
      </c>
      <c r="F175" s="42">
        <f>(INT($E$25*2/$D175)-INT($E$25*(2-1)/$D175))*$C175/1000</f>
        <v>0.0</v>
      </c>
      <c r="G175" s="42">
        <f>(INT($E$25*3/$D175)-INT($E$25*(3-1)/$D175))*$C175/1000</f>
        <v>4.03653</v>
      </c>
      <c r="H175" s="42">
        <f>(INT($E$25*4/$D175)-INT($E$25*(4-1)/$D175))*$C175/1000</f>
        <v>0.0</v>
      </c>
      <c r="I175" s="42">
        <f>(INT($E$25*5/$D175)-INT($E$25*(5-1)/$D175))*$C175/1000</f>
        <v>4.03653</v>
      </c>
      <c r="J175" s="42">
        <f>(INT($E$25*6/$D175)-INT($E$25*(6-1)/$D175))*$C175/1000</f>
        <v>0.0</v>
      </c>
      <c r="K175" s="42">
        <f>(INT($E$25*7/$D175)-INT($E$25*(7-1)/$D175))*$C175/1000</f>
        <v>4.03653</v>
      </c>
      <c r="L175" s="42">
        <f>(INT($E$25*8/$D175)-INT($E$25*(8-1)/$D175))*$C175/1000</f>
        <v>0.0</v>
      </c>
      <c r="M175" s="42">
        <f>(INT($E$25*9/$D175)-INT($E$25*(9-1)/$D175))*$C175/1000</f>
        <v>4.03653</v>
      </c>
      <c r="N175" s="42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44" t="n">
        <v>65763.14</v>
      </c>
      <c r="D176" s="43" t="n">
        <v>15000</v>
      </c>
      <c r="E176" s="42">
        <f>(INT($E$25*1/$D176)-INT($E$25*(1-1)/$D176))*$C176/1000</f>
        <v>0.0</v>
      </c>
      <c r="F176" s="42">
        <f>(INT($E$25*2/$D176)-INT($E$25*(2-1)/$D176))*$C176/1000</f>
        <v>0.0</v>
      </c>
      <c r="G176" s="42">
        <f>(INT($E$25*3/$D176)-INT($E$25*(3-1)/$D176))*$C176/1000</f>
        <v>65.76313999999999</v>
      </c>
      <c r="H176" s="42">
        <f>(INT($E$25*4/$D176)-INT($E$25*(4-1)/$D176))*$C176/1000</f>
        <v>0.0</v>
      </c>
      <c r="I176" s="42">
        <f>(INT($E$25*5/$D176)-INT($E$25*(5-1)/$D176))*$C176/1000</f>
        <v>65.76313999999999</v>
      </c>
      <c r="J176" s="42">
        <f>(INT($E$25*6/$D176)-INT($E$25*(6-1)/$D176))*$C176/1000</f>
        <v>0.0</v>
      </c>
      <c r="K176" s="42">
        <f>(INT($E$25*7/$D176)-INT($E$25*(7-1)/$D176))*$C176/1000</f>
        <v>65.76313999999999</v>
      </c>
      <c r="L176" s="42">
        <f>(INT($E$25*8/$D176)-INT($E$25*(8-1)/$D176))*$C176/1000</f>
        <v>0.0</v>
      </c>
      <c r="M176" s="42">
        <f>(INT($E$25*9/$D176)-INT($E$25*(9-1)/$D176))*$C176/1000</f>
        <v>65.76313999999999</v>
      </c>
      <c r="N176" s="42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44" t="n">
        <v>229791.16</v>
      </c>
      <c r="D177" s="43" t="n">
        <v>22000</v>
      </c>
      <c r="E177" s="42">
        <f>(INT($E$25*1/$D177)-INT($E$25*(1-1)/$D177))*$C177/1000</f>
        <v>0.0</v>
      </c>
      <c r="F177" s="42">
        <f>(INT($E$25*2/$D177)-INT($E$25*(2-1)/$D177))*$C177/1000</f>
        <v>0.0</v>
      </c>
      <c r="G177" s="42">
        <f>(INT($E$25*3/$D177)-INT($E$25*(3-1)/$D177))*$C177/1000</f>
        <v>0.0</v>
      </c>
      <c r="H177" s="42">
        <f>(INT($E$25*4/$D177)-INT($E$25*(4-1)/$D177))*$C177/1000</f>
        <v>229.79116</v>
      </c>
      <c r="I177" s="42">
        <f>(INT($E$25*5/$D177)-INT($E$25*(5-1)/$D177))*$C177/1000</f>
        <v>0.0</v>
      </c>
      <c r="J177" s="42">
        <f>(INT($E$25*6/$D177)-INT($E$25*(6-1)/$D177))*$C177/1000</f>
        <v>0.0</v>
      </c>
      <c r="K177" s="42">
        <f>(INT($E$25*7/$D177)-INT($E$25*(7-1)/$D177))*$C177/1000</f>
        <v>229.79116</v>
      </c>
      <c r="L177" s="42">
        <f>(INT($E$25*8/$D177)-INT($E$25*(8-1)/$D177))*$C177/1000</f>
        <v>0.0</v>
      </c>
      <c r="M177" s="42">
        <f>(INT($E$25*9/$D177)-INT($E$25*(9-1)/$D177))*$C177/1000</f>
        <v>0.0</v>
      </c>
      <c r="N177" s="42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44" t="n">
        <v>1056.97</v>
      </c>
      <c r="D178" s="43" t="n">
        <v>6000</v>
      </c>
      <c r="E178" s="42">
        <f>(INT($E$25*1/$D178)-INT($E$25*(1-1)/$D178))*$C178/1000</f>
        <v>1.05697</v>
      </c>
      <c r="F178" s="42">
        <f>(INT($E$25*2/$D178)-INT($E$25*(2-1)/$D178))*$C178/1000</f>
        <v>1.05697</v>
      </c>
      <c r="G178" s="42">
        <f>(INT($E$25*3/$D178)-INT($E$25*(3-1)/$D178))*$C178/1000</f>
        <v>1.05697</v>
      </c>
      <c r="H178" s="42">
        <f>(INT($E$25*4/$D178)-INT($E$25*(4-1)/$D178))*$C178/1000</f>
        <v>1.05697</v>
      </c>
      <c r="I178" s="42">
        <f>(INT($E$25*5/$D178)-INT($E$25*(5-1)/$D178))*$C178/1000</f>
        <v>1.05697</v>
      </c>
      <c r="J178" s="42">
        <f>(INT($E$25*6/$D178)-INT($E$25*(6-1)/$D178))*$C178/1000</f>
        <v>2.11394</v>
      </c>
      <c r="K178" s="42">
        <f>(INT($E$25*7/$D178)-INT($E$25*(7-1)/$D178))*$C178/1000</f>
        <v>1.05697</v>
      </c>
      <c r="L178" s="42">
        <f>(INT($E$25*8/$D178)-INT($E$25*(8-1)/$D178))*$C178/1000</f>
        <v>1.05697</v>
      </c>
      <c r="M178" s="42">
        <f>(INT($E$25*9/$D178)-INT($E$25*(9-1)/$D178))*$C178/1000</f>
        <v>1.05697</v>
      </c>
      <c r="N178" s="42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44" t="n">
        <v>86.47</v>
      </c>
      <c r="D179" s="43" t="n">
        <v>6000</v>
      </c>
      <c r="E179" s="42">
        <f>(INT($E$25*1/$D179)-INT($E$25*(1-1)/$D179))*$C179/1000</f>
        <v>0.08647</v>
      </c>
      <c r="F179" s="42">
        <f>(INT($E$25*2/$D179)-INT($E$25*(2-1)/$D179))*$C179/1000</f>
        <v>0.08647</v>
      </c>
      <c r="G179" s="42">
        <f>(INT($E$25*3/$D179)-INT($E$25*(3-1)/$D179))*$C179/1000</f>
        <v>0.08647</v>
      </c>
      <c r="H179" s="42">
        <f>(INT($E$25*4/$D179)-INT($E$25*(4-1)/$D179))*$C179/1000</f>
        <v>0.08647</v>
      </c>
      <c r="I179" s="42">
        <f>(INT($E$25*5/$D179)-INT($E$25*(5-1)/$D179))*$C179/1000</f>
        <v>0.08647</v>
      </c>
      <c r="J179" s="42">
        <f>(INT($E$25*6/$D179)-INT($E$25*(6-1)/$D179))*$C179/1000</f>
        <v>0.17294</v>
      </c>
      <c r="K179" s="42">
        <f>(INT($E$25*7/$D179)-INT($E$25*(7-1)/$D179))*$C179/1000</f>
        <v>0.08647</v>
      </c>
      <c r="L179" s="42">
        <f>(INT($E$25*8/$D179)-INT($E$25*(8-1)/$D179))*$C179/1000</f>
        <v>0.08647</v>
      </c>
      <c r="M179" s="42">
        <f>(INT($E$25*9/$D179)-INT($E$25*(9-1)/$D179))*$C179/1000</f>
        <v>0.08647</v>
      </c>
      <c r="N179" s="42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44" t="n">
        <v>528.48</v>
      </c>
      <c r="D180" s="43" t="n">
        <v>6000</v>
      </c>
      <c r="E180" s="42">
        <f>(INT($E$25*1/$D180)-INT($E$25*(1-1)/$D180))*$C180/1000</f>
        <v>0.5284800000000001</v>
      </c>
      <c r="F180" s="42">
        <f>(INT($E$25*2/$D180)-INT($E$25*(2-1)/$D180))*$C180/1000</f>
        <v>0.5284800000000001</v>
      </c>
      <c r="G180" s="42">
        <f>(INT($E$25*3/$D180)-INT($E$25*(3-1)/$D180))*$C180/1000</f>
        <v>0.5284800000000001</v>
      </c>
      <c r="H180" s="42">
        <f>(INT($E$25*4/$D180)-INT($E$25*(4-1)/$D180))*$C180/1000</f>
        <v>0.5284800000000001</v>
      </c>
      <c r="I180" s="42">
        <f>(INT($E$25*5/$D180)-INT($E$25*(5-1)/$D180))*$C180/1000</f>
        <v>0.5284800000000001</v>
      </c>
      <c r="J180" s="42">
        <f>(INT($E$25*6/$D180)-INT($E$25*(6-1)/$D180))*$C180/1000</f>
        <v>1.0569600000000001</v>
      </c>
      <c r="K180" s="42">
        <f>(INT($E$25*7/$D180)-INT($E$25*(7-1)/$D180))*$C180/1000</f>
        <v>0.5284800000000001</v>
      </c>
      <c r="L180" s="42">
        <f>(INT($E$25*8/$D180)-INT($E$25*(8-1)/$D180))*$C180/1000</f>
        <v>0.5284800000000001</v>
      </c>
      <c r="M180" s="42">
        <f>(INT($E$25*9/$D180)-INT($E$25*(9-1)/$D180))*$C180/1000</f>
        <v>0.5284800000000001</v>
      </c>
      <c r="N180" s="42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44" t="n">
        <v>102.84</v>
      </c>
      <c r="D181" s="43" t="n">
        <v>6000</v>
      </c>
      <c r="E181" s="42">
        <f>(INT($E$25*1/$D181)-INT($E$25*(1-1)/$D181))*$C181/1000</f>
        <v>0.10284</v>
      </c>
      <c r="F181" s="42">
        <f>(INT($E$25*2/$D181)-INT($E$25*(2-1)/$D181))*$C181/1000</f>
        <v>0.10284</v>
      </c>
      <c r="G181" s="42">
        <f>(INT($E$25*3/$D181)-INT($E$25*(3-1)/$D181))*$C181/1000</f>
        <v>0.10284</v>
      </c>
      <c r="H181" s="42">
        <f>(INT($E$25*4/$D181)-INT($E$25*(4-1)/$D181))*$C181/1000</f>
        <v>0.10284</v>
      </c>
      <c r="I181" s="42">
        <f>(INT($E$25*5/$D181)-INT($E$25*(5-1)/$D181))*$C181/1000</f>
        <v>0.10284</v>
      </c>
      <c r="J181" s="42">
        <f>(INT($E$25*6/$D181)-INT($E$25*(6-1)/$D181))*$C181/1000</f>
        <v>0.20568</v>
      </c>
      <c r="K181" s="42">
        <f>(INT($E$25*7/$D181)-INT($E$25*(7-1)/$D181))*$C181/1000</f>
        <v>0.10284</v>
      </c>
      <c r="L181" s="42">
        <f>(INT($E$25*8/$D181)-INT($E$25*(8-1)/$D181))*$C181/1000</f>
        <v>0.10284</v>
      </c>
      <c r="M181" s="42">
        <f>(INT($E$25*9/$D181)-INT($E$25*(9-1)/$D181))*$C181/1000</f>
        <v>0.10284</v>
      </c>
      <c r="N181" s="42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44" t="n">
        <v>9255.559999999999</v>
      </c>
      <c r="D182" s="43" t="n">
        <v>12000</v>
      </c>
      <c r="E182" s="42">
        <f>(INT($E$25*1/$D182)-INT($E$25*(1-1)/$D182))*$C182/1000</f>
        <v>0.0</v>
      </c>
      <c r="F182" s="42">
        <f>(INT($E$25*2/$D182)-INT($E$25*(2-1)/$D182))*$C182/1000</f>
        <v>9.25556</v>
      </c>
      <c r="G182" s="42">
        <f>(INT($E$25*3/$D182)-INT($E$25*(3-1)/$D182))*$C182/1000</f>
        <v>0.0</v>
      </c>
      <c r="H182" s="42">
        <f>(INT($E$25*4/$D182)-INT($E$25*(4-1)/$D182))*$C182/1000</f>
        <v>9.25556</v>
      </c>
      <c r="I182" s="42">
        <f>(INT($E$25*5/$D182)-INT($E$25*(5-1)/$D182))*$C182/1000</f>
        <v>0.0</v>
      </c>
      <c r="J182" s="42">
        <f>(INT($E$25*6/$D182)-INT($E$25*(6-1)/$D182))*$C182/1000</f>
        <v>9.25556</v>
      </c>
      <c r="K182" s="42">
        <f>(INT($E$25*7/$D182)-INT($E$25*(7-1)/$D182))*$C182/1000</f>
        <v>9.25556</v>
      </c>
      <c r="L182" s="42">
        <f>(INT($E$25*8/$D182)-INT($E$25*(8-1)/$D182))*$C182/1000</f>
        <v>0.0</v>
      </c>
      <c r="M182" s="42">
        <f>(INT($E$25*9/$D182)-INT($E$25*(9-1)/$D182))*$C182/1000</f>
        <v>9.25556</v>
      </c>
      <c r="N182" s="42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44" t="n">
        <v>5299.62</v>
      </c>
      <c r="D183" s="43" t="n">
        <v>15000</v>
      </c>
      <c r="E183" s="42">
        <f>(INT($E$25*1/$D183)-INT($E$25*(1-1)/$D183))*$C183/1000</f>
        <v>0.0</v>
      </c>
      <c r="F183" s="42">
        <f>(INT($E$25*2/$D183)-INT($E$25*(2-1)/$D183))*$C183/1000</f>
        <v>0.0</v>
      </c>
      <c r="G183" s="42">
        <f>(INT($E$25*3/$D183)-INT($E$25*(3-1)/$D183))*$C183/1000</f>
        <v>5.29962</v>
      </c>
      <c r="H183" s="42">
        <f>(INT($E$25*4/$D183)-INT($E$25*(4-1)/$D183))*$C183/1000</f>
        <v>0.0</v>
      </c>
      <c r="I183" s="42">
        <f>(INT($E$25*5/$D183)-INT($E$25*(5-1)/$D183))*$C183/1000</f>
        <v>5.29962</v>
      </c>
      <c r="J183" s="42">
        <f>(INT($E$25*6/$D183)-INT($E$25*(6-1)/$D183))*$C183/1000</f>
        <v>0.0</v>
      </c>
      <c r="K183" s="42">
        <f>(INT($E$25*7/$D183)-INT($E$25*(7-1)/$D183))*$C183/1000</f>
        <v>5.29962</v>
      </c>
      <c r="L183" s="42">
        <f>(INT($E$25*8/$D183)-INT($E$25*(8-1)/$D183))*$C183/1000</f>
        <v>0.0</v>
      </c>
      <c r="M183" s="42">
        <f>(INT($E$25*9/$D183)-INT($E$25*(9-1)/$D183))*$C183/1000</f>
        <v>5.29962</v>
      </c>
      <c r="N183" s="42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44" t="n">
        <v>2066.45</v>
      </c>
      <c r="D184" s="43" t="n">
        <v>12000</v>
      </c>
      <c r="E184" s="42">
        <f>(INT($E$25*1/$D184)-INT($E$25*(1-1)/$D184))*$C184/1000</f>
        <v>0.0</v>
      </c>
      <c r="F184" s="42">
        <f>(INT($E$25*2/$D184)-INT($E$25*(2-1)/$D184))*$C184/1000</f>
        <v>2.0664499999999997</v>
      </c>
      <c r="G184" s="42">
        <f>(INT($E$25*3/$D184)-INT($E$25*(3-1)/$D184))*$C184/1000</f>
        <v>0.0</v>
      </c>
      <c r="H184" s="42">
        <f>(INT($E$25*4/$D184)-INT($E$25*(4-1)/$D184))*$C184/1000</f>
        <v>2.0664499999999997</v>
      </c>
      <c r="I184" s="42">
        <f>(INT($E$25*5/$D184)-INT($E$25*(5-1)/$D184))*$C184/1000</f>
        <v>0.0</v>
      </c>
      <c r="J184" s="42">
        <f>(INT($E$25*6/$D184)-INT($E$25*(6-1)/$D184))*$C184/1000</f>
        <v>2.0664499999999997</v>
      </c>
      <c r="K184" s="42">
        <f>(INT($E$25*7/$D184)-INT($E$25*(7-1)/$D184))*$C184/1000</f>
        <v>2.0664499999999997</v>
      </c>
      <c r="L184" s="42">
        <f>(INT($E$25*8/$D184)-INT($E$25*(8-1)/$D184))*$C184/1000</f>
        <v>0.0</v>
      </c>
      <c r="M184" s="42">
        <f>(INT($E$25*9/$D184)-INT($E$25*(9-1)/$D184))*$C184/1000</f>
        <v>2.0664499999999997</v>
      </c>
      <c r="N184" s="42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44" t="n">
        <v>2940.89</v>
      </c>
      <c r="D185" s="43" t="n">
        <v>8000</v>
      </c>
      <c r="E185" s="42">
        <f>(INT($E$25*1/$D185)-INT($E$25*(1-1)/$D185))*$C185/1000</f>
        <v>0.0</v>
      </c>
      <c r="F185" s="42">
        <f>(INT($E$25*2/$D185)-INT($E$25*(2-1)/$D185))*$C185/1000</f>
        <v>2.94089</v>
      </c>
      <c r="G185" s="42">
        <f>(INT($E$25*3/$D185)-INT($E$25*(3-1)/$D185))*$C185/1000</f>
        <v>2.94089</v>
      </c>
      <c r="H185" s="42">
        <f>(INT($E$25*4/$D185)-INT($E$25*(4-1)/$D185))*$C185/1000</f>
        <v>2.94089</v>
      </c>
      <c r="I185" s="42">
        <f>(INT($E$25*5/$D185)-INT($E$25*(5-1)/$D185))*$C185/1000</f>
        <v>2.94089</v>
      </c>
      <c r="J185" s="42">
        <f>(INT($E$25*6/$D185)-INT($E$25*(6-1)/$D185))*$C185/1000</f>
        <v>2.94089</v>
      </c>
      <c r="K185" s="42">
        <f>(INT($E$25*7/$D185)-INT($E$25*(7-1)/$D185))*$C185/1000</f>
        <v>2.94089</v>
      </c>
      <c r="L185" s="42">
        <f>(INT($E$25*8/$D185)-INT($E$25*(8-1)/$D185))*$C185/1000</f>
        <v>2.94089</v>
      </c>
      <c r="M185" s="42">
        <f>(INT($E$25*9/$D185)-INT($E$25*(9-1)/$D185))*$C185/1000</f>
        <v>0.0</v>
      </c>
      <c r="N185" s="42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44" t="n">
        <v>3810.03</v>
      </c>
      <c r="D186" s="43" t="n">
        <v>15000</v>
      </c>
      <c r="E186" s="42">
        <f>(INT($E$25*1/$D186)-INT($E$25*(1-1)/$D186))*$C186/1000</f>
        <v>0.0</v>
      </c>
      <c r="F186" s="42">
        <f>(INT($E$25*2/$D186)-INT($E$25*(2-1)/$D186))*$C186/1000</f>
        <v>0.0</v>
      </c>
      <c r="G186" s="42">
        <f>(INT($E$25*3/$D186)-INT($E$25*(3-1)/$D186))*$C186/1000</f>
        <v>3.8100300000000002</v>
      </c>
      <c r="H186" s="42">
        <f>(INT($E$25*4/$D186)-INT($E$25*(4-1)/$D186))*$C186/1000</f>
        <v>0.0</v>
      </c>
      <c r="I186" s="42">
        <f>(INT($E$25*5/$D186)-INT($E$25*(5-1)/$D186))*$C186/1000</f>
        <v>3.8100300000000002</v>
      </c>
      <c r="J186" s="42">
        <f>(INT($E$25*6/$D186)-INT($E$25*(6-1)/$D186))*$C186/1000</f>
        <v>0.0</v>
      </c>
      <c r="K186" s="42">
        <f>(INT($E$25*7/$D186)-INT($E$25*(7-1)/$D186))*$C186/1000</f>
        <v>3.8100300000000002</v>
      </c>
      <c r="L186" s="42">
        <f>(INT($E$25*8/$D186)-INT($E$25*(8-1)/$D186))*$C186/1000</f>
        <v>0.0</v>
      </c>
      <c r="M186" s="42">
        <f>(INT($E$25*9/$D186)-INT($E$25*(9-1)/$D186))*$C186/1000</f>
        <v>3.8100300000000002</v>
      </c>
      <c r="N186" s="42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44" t="n">
        <v>1497.69</v>
      </c>
      <c r="D187" s="43" t="n">
        <v>15000</v>
      </c>
      <c r="E187" s="42">
        <f>(INT($E$25*1/$D187)-INT($E$25*(1-1)/$D187))*$C187/1000</f>
        <v>0.0</v>
      </c>
      <c r="F187" s="42">
        <f>(INT($E$25*2/$D187)-INT($E$25*(2-1)/$D187))*$C187/1000</f>
        <v>0.0</v>
      </c>
      <c r="G187" s="42">
        <f>(INT($E$25*3/$D187)-INT($E$25*(3-1)/$D187))*$C187/1000</f>
        <v>1.49769</v>
      </c>
      <c r="H187" s="42">
        <f>(INT($E$25*4/$D187)-INT($E$25*(4-1)/$D187))*$C187/1000</f>
        <v>0.0</v>
      </c>
      <c r="I187" s="42">
        <f>(INT($E$25*5/$D187)-INT($E$25*(5-1)/$D187))*$C187/1000</f>
        <v>1.49769</v>
      </c>
      <c r="J187" s="42">
        <f>(INT($E$25*6/$D187)-INT($E$25*(6-1)/$D187))*$C187/1000</f>
        <v>0.0</v>
      </c>
      <c r="K187" s="42">
        <f>(INT($E$25*7/$D187)-INT($E$25*(7-1)/$D187))*$C187/1000</f>
        <v>1.49769</v>
      </c>
      <c r="L187" s="42">
        <f>(INT($E$25*8/$D187)-INT($E$25*(8-1)/$D187))*$C187/1000</f>
        <v>0.0</v>
      </c>
      <c r="M187" s="42">
        <f>(INT($E$25*9/$D187)-INT($E$25*(9-1)/$D187))*$C187/1000</f>
        <v>1.49769</v>
      </c>
      <c r="N187" s="42">
        <f>(INT($E$25*10/$D187)-INT($E$25*(10-1)/$D187))*$C187/1000</f>
        <v>0.0</v>
      </c>
    </row>
    <row r="188">
      <c r="B188" s="45" t="inlineStr">
        <is>
          <t>ИТОГО</t>
        </is>
      </c>
      <c r="E188" s="42">
        <f>SUM(E129:E187)</f>
        <v>7.382379999999999</v>
      </c>
      <c r="F188" s="42">
        <f>SUM(F129:F187)</f>
        <v>204.26495</v>
      </c>
      <c r="G188" s="42">
        <f>SUM(G129:G187)</f>
        <v>438.81584</v>
      </c>
      <c r="H188" s="42">
        <f>SUM(H129:H187)</f>
        <v>434.86339000000004</v>
      </c>
      <c r="I188" s="42">
        <f>SUM(I129:I187)</f>
        <v>610.36746</v>
      </c>
      <c r="J188" s="42">
        <f>SUM(J129:J187)</f>
        <v>366.36175000000003</v>
      </c>
      <c r="K188" s="42">
        <f>SUM(K129:K187)</f>
        <v>590.25823</v>
      </c>
      <c r="L188" s="42">
        <f>SUM(L129:L187)</f>
        <v>224.66392</v>
      </c>
      <c r="M188" s="42">
        <f>SUM(M129:M187)</f>
        <v>774.55654</v>
      </c>
      <c r="N188" s="42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44" t="n">
        <v>8</v>
      </c>
      <c r="D192" s="43" t="n">
        <v>12000</v>
      </c>
      <c r="E192" s="42">
        <f>(INT($E$25*1/$D192)-INT($E$25*(1-1)/$D192))*$C192</f>
        <v>0.0</v>
      </c>
      <c r="F192" s="42">
        <f>(INT($E$25*2/$D192)-INT($E$25*(2-1)/$D192))*$C192</f>
        <v>8.0</v>
      </c>
      <c r="G192" s="42">
        <f>(INT($E$25*3/$D192)-INT($E$25*(3-1)/$D192))*$C192</f>
        <v>0.0</v>
      </c>
      <c r="H192" s="42">
        <f>(INT($E$25*4/$D192)-INT($E$25*(4-1)/$D192))*$C192</f>
        <v>8.0</v>
      </c>
      <c r="I192" s="42">
        <f>(INT($E$25*5/$D192)-INT($E$25*(5-1)/$D192))*$C192</f>
        <v>0.0</v>
      </c>
      <c r="J192" s="42">
        <f>(INT($E$25*6/$D192)-INT($E$25*(6-1)/$D192))*$C192</f>
        <v>8.0</v>
      </c>
      <c r="K192" s="42">
        <f>(INT($E$25*7/$D192)-INT($E$25*(7-1)/$D192))*$C192</f>
        <v>8.0</v>
      </c>
      <c r="L192" s="42">
        <f>(INT($E$25*8/$D192)-INT($E$25*(8-1)/$D192))*$C192</f>
        <v>0.0</v>
      </c>
      <c r="M192" s="42">
        <f>(INT($E$25*9/$D192)-INT($E$25*(9-1)/$D192))*$C192</f>
        <v>8.0</v>
      </c>
      <c r="N192" s="42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44" t="n">
        <v>10</v>
      </c>
      <c r="D193" s="43" t="n">
        <v>11000</v>
      </c>
      <c r="E193" s="42">
        <f>(INT($E$25*1/$D193)-INT($E$25*(1-1)/$D193))*$C193</f>
        <v>0.0</v>
      </c>
      <c r="F193" s="42">
        <f>(INT($E$25*2/$D193)-INT($E$25*(2-1)/$D193))*$C193</f>
        <v>10.0</v>
      </c>
      <c r="G193" s="42">
        <f>(INT($E$25*3/$D193)-INT($E$25*(3-1)/$D193))*$C193</f>
        <v>0.0</v>
      </c>
      <c r="H193" s="42">
        <f>(INT($E$25*4/$D193)-INT($E$25*(4-1)/$D193))*$C193</f>
        <v>10.0</v>
      </c>
      <c r="I193" s="42">
        <f>(INT($E$25*5/$D193)-INT($E$25*(5-1)/$D193))*$C193</f>
        <v>10.0</v>
      </c>
      <c r="J193" s="42">
        <f>(INT($E$25*6/$D193)-INT($E$25*(6-1)/$D193))*$C193</f>
        <v>0.0</v>
      </c>
      <c r="K193" s="42">
        <f>(INT($E$25*7/$D193)-INT($E$25*(7-1)/$D193))*$C193</f>
        <v>10.0</v>
      </c>
      <c r="L193" s="42">
        <f>(INT($E$25*8/$D193)-INT($E$25*(8-1)/$D193))*$C193</f>
        <v>10.0</v>
      </c>
      <c r="M193" s="42">
        <f>(INT($E$25*9/$D193)-INT($E$25*(9-1)/$D193))*$C193</f>
        <v>0.0</v>
      </c>
      <c r="N193" s="42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44" t="n">
        <v>2</v>
      </c>
      <c r="D194" s="43" t="n">
        <v>12000</v>
      </c>
      <c r="E194" s="42">
        <f>(INT($E$25*1/$D194)-INT($E$25*(1-1)/$D194))*$C194</f>
        <v>0.0</v>
      </c>
      <c r="F194" s="42">
        <f>(INT($E$25*2/$D194)-INT($E$25*(2-1)/$D194))*$C194</f>
        <v>2.0</v>
      </c>
      <c r="G194" s="42">
        <f>(INT($E$25*3/$D194)-INT($E$25*(3-1)/$D194))*$C194</f>
        <v>0.0</v>
      </c>
      <c r="H194" s="42">
        <f>(INT($E$25*4/$D194)-INT($E$25*(4-1)/$D194))*$C194</f>
        <v>2.0</v>
      </c>
      <c r="I194" s="42">
        <f>(INT($E$25*5/$D194)-INT($E$25*(5-1)/$D194))*$C194</f>
        <v>0.0</v>
      </c>
      <c r="J194" s="42">
        <f>(INT($E$25*6/$D194)-INT($E$25*(6-1)/$D194))*$C194</f>
        <v>2.0</v>
      </c>
      <c r="K194" s="42">
        <f>(INT($E$25*7/$D194)-INT($E$25*(7-1)/$D194))*$C194</f>
        <v>2.0</v>
      </c>
      <c r="L194" s="42">
        <f>(INT($E$25*8/$D194)-INT($E$25*(8-1)/$D194))*$C194</f>
        <v>0.0</v>
      </c>
      <c r="M194" s="42">
        <f>(INT($E$25*9/$D194)-INT($E$25*(9-1)/$D194))*$C194</f>
        <v>2.0</v>
      </c>
      <c r="N194" s="42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44" t="n">
        <v>3.5</v>
      </c>
      <c r="D195" s="43" t="n">
        <v>8000</v>
      </c>
      <c r="E195" s="42">
        <f>(INT($E$25*1/$D195)-INT($E$25*(1-1)/$D195))*$C195</f>
        <v>0.0</v>
      </c>
      <c r="F195" s="42">
        <f>(INT($E$25*2/$D195)-INT($E$25*(2-1)/$D195))*$C195</f>
        <v>3.5</v>
      </c>
      <c r="G195" s="42">
        <f>(INT($E$25*3/$D195)-INT($E$25*(3-1)/$D195))*$C195</f>
        <v>3.5</v>
      </c>
      <c r="H195" s="42">
        <f>(INT($E$25*4/$D195)-INT($E$25*(4-1)/$D195))*$C195</f>
        <v>3.5</v>
      </c>
      <c r="I195" s="42">
        <f>(INT($E$25*5/$D195)-INT($E$25*(5-1)/$D195))*$C195</f>
        <v>3.5</v>
      </c>
      <c r="J195" s="42">
        <f>(INT($E$25*6/$D195)-INT($E$25*(6-1)/$D195))*$C195</f>
        <v>3.5</v>
      </c>
      <c r="K195" s="42">
        <f>(INT($E$25*7/$D195)-INT($E$25*(7-1)/$D195))*$C195</f>
        <v>3.5</v>
      </c>
      <c r="L195" s="42">
        <f>(INT($E$25*8/$D195)-INT($E$25*(8-1)/$D195))*$C195</f>
        <v>3.5</v>
      </c>
      <c r="M195" s="42">
        <f>(INT($E$25*9/$D195)-INT($E$25*(9-1)/$D195))*$C195</f>
        <v>0.0</v>
      </c>
      <c r="N195" s="42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44" t="n">
        <v>2.3</v>
      </c>
      <c r="D196" s="43" t="n">
        <v>25000</v>
      </c>
      <c r="E196" s="42">
        <f>(INT($E$25*1/$D196)-INT($E$25*(1-1)/$D196))*$C196</f>
        <v>0.0</v>
      </c>
      <c r="F196" s="42">
        <f>(INT($E$25*2/$D196)-INT($E$25*(2-1)/$D196))*$C196</f>
        <v>0.0</v>
      </c>
      <c r="G196" s="42">
        <f>(INT($E$25*3/$D196)-INT($E$25*(3-1)/$D196))*$C196</f>
        <v>0.0</v>
      </c>
      <c r="H196" s="42">
        <f>(INT($E$25*4/$D196)-INT($E$25*(4-1)/$D196))*$C196</f>
        <v>2.3</v>
      </c>
      <c r="I196" s="42">
        <f>(INT($E$25*5/$D196)-INT($E$25*(5-1)/$D196))*$C196</f>
        <v>0.0</v>
      </c>
      <c r="J196" s="42">
        <f>(INT($E$25*6/$D196)-INT($E$25*(6-1)/$D196))*$C196</f>
        <v>0.0</v>
      </c>
      <c r="K196" s="42">
        <f>(INT($E$25*7/$D196)-INT($E$25*(7-1)/$D196))*$C196</f>
        <v>0.0</v>
      </c>
      <c r="L196" s="42">
        <f>(INT($E$25*8/$D196)-INT($E$25*(8-1)/$D196))*$C196</f>
        <v>2.3</v>
      </c>
      <c r="M196" s="42">
        <f>(INT($E$25*9/$D196)-INT($E$25*(9-1)/$D196))*$C196</f>
        <v>0.0</v>
      </c>
      <c r="N196" s="42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44" t="n">
        <v>1.9</v>
      </c>
      <c r="D197" s="43" t="n">
        <v>22000</v>
      </c>
      <c r="E197" s="42">
        <f>(INT($E$25*1/$D197)-INT($E$25*(1-1)/$D197))*$C197</f>
        <v>0.0</v>
      </c>
      <c r="F197" s="42">
        <f>(INT($E$25*2/$D197)-INT($E$25*(2-1)/$D197))*$C197</f>
        <v>0.0</v>
      </c>
      <c r="G197" s="42">
        <f>(INT($E$25*3/$D197)-INT($E$25*(3-1)/$D197))*$C197</f>
        <v>0.0</v>
      </c>
      <c r="H197" s="42">
        <f>(INT($E$25*4/$D197)-INT($E$25*(4-1)/$D197))*$C197</f>
        <v>1.9</v>
      </c>
      <c r="I197" s="42">
        <f>(INT($E$25*5/$D197)-INT($E$25*(5-1)/$D197))*$C197</f>
        <v>0.0</v>
      </c>
      <c r="J197" s="42">
        <f>(INT($E$25*6/$D197)-INT($E$25*(6-1)/$D197))*$C197</f>
        <v>0.0</v>
      </c>
      <c r="K197" s="42">
        <f>(INT($E$25*7/$D197)-INT($E$25*(7-1)/$D197))*$C197</f>
        <v>1.9</v>
      </c>
      <c r="L197" s="42">
        <f>(INT($E$25*8/$D197)-INT($E$25*(8-1)/$D197))*$C197</f>
        <v>0.0</v>
      </c>
      <c r="M197" s="42">
        <f>(INT($E$25*9/$D197)-INT($E$25*(9-1)/$D197))*$C197</f>
        <v>0.0</v>
      </c>
      <c r="N197" s="42">
        <f>(INT($E$25*10/$D197)-INT($E$25*(10-1)/$D197))*$C197</f>
        <v>1.9</v>
      </c>
    </row>
    <row r="198">
      <c r="B198" s="22" t="inlineStr">
        <is>
          <t>VALVE,REGEN-HP (клапан)</t>
        </is>
      </c>
      <c r="C198" s="44" t="n">
        <v>1.5</v>
      </c>
      <c r="D198" s="43" t="n">
        <v>15000</v>
      </c>
      <c r="E198" s="42">
        <f>(INT($E$25*1/$D198)-INT($E$25*(1-1)/$D198))*$C198</f>
        <v>0.0</v>
      </c>
      <c r="F198" s="42">
        <f>(INT($E$25*2/$D198)-INT($E$25*(2-1)/$D198))*$C198</f>
        <v>0.0</v>
      </c>
      <c r="G198" s="42">
        <f>(INT($E$25*3/$D198)-INT($E$25*(3-1)/$D198))*$C198</f>
        <v>1.5</v>
      </c>
      <c r="H198" s="42">
        <f>(INT($E$25*4/$D198)-INT($E$25*(4-1)/$D198))*$C198</f>
        <v>0.0</v>
      </c>
      <c r="I198" s="42">
        <f>(INT($E$25*5/$D198)-INT($E$25*(5-1)/$D198))*$C198</f>
        <v>1.5</v>
      </c>
      <c r="J198" s="42">
        <f>(INT($E$25*6/$D198)-INT($E$25*(6-1)/$D198))*$C198</f>
        <v>0.0</v>
      </c>
      <c r="K198" s="42">
        <f>(INT($E$25*7/$D198)-INT($E$25*(7-1)/$D198))*$C198</f>
        <v>1.5</v>
      </c>
      <c r="L198" s="42">
        <f>(INT($E$25*8/$D198)-INT($E$25*(8-1)/$D198))*$C198</f>
        <v>0.0</v>
      </c>
      <c r="M198" s="42">
        <f>(INT($E$25*9/$D198)-INT($E$25*(9-1)/$D198))*$C198</f>
        <v>1.5</v>
      </c>
      <c r="N198" s="42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44" t="n">
        <v>10</v>
      </c>
      <c r="D199" s="43" t="n">
        <v>12500</v>
      </c>
      <c r="E199" s="42">
        <f>(INT($E$25*1/$D199)-INT($E$25*(1-1)/$D199))*$C199</f>
        <v>0.0</v>
      </c>
      <c r="F199" s="42">
        <f>(INT($E$25*2/$D199)-INT($E$25*(2-1)/$D199))*$C199</f>
        <v>10.0</v>
      </c>
      <c r="G199" s="42">
        <f>(INT($E$25*3/$D199)-INT($E$25*(3-1)/$D199))*$C199</f>
        <v>0.0</v>
      </c>
      <c r="H199" s="42">
        <f>(INT($E$25*4/$D199)-INT($E$25*(4-1)/$D199))*$C199</f>
        <v>10.0</v>
      </c>
      <c r="I199" s="42">
        <f>(INT($E$25*5/$D199)-INT($E$25*(5-1)/$D199))*$C199</f>
        <v>0.0</v>
      </c>
      <c r="J199" s="42">
        <f>(INT($E$25*6/$D199)-INT($E$25*(6-1)/$D199))*$C199</f>
        <v>10.0</v>
      </c>
      <c r="K199" s="42">
        <f>(INT($E$25*7/$D199)-INT($E$25*(7-1)/$D199))*$C199</f>
        <v>0.0</v>
      </c>
      <c r="L199" s="42">
        <f>(INT($E$25*8/$D199)-INT($E$25*(8-1)/$D199))*$C199</f>
        <v>10.0</v>
      </c>
      <c r="M199" s="42">
        <f>(INT($E$25*9/$D199)-INT($E$25*(9-1)/$D199))*$C199</f>
        <v>10.0</v>
      </c>
      <c r="N199" s="42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44" t="n">
        <v>0.8</v>
      </c>
      <c r="D200" s="43" t="n">
        <v>18000</v>
      </c>
      <c r="E200" s="42">
        <f>(INT($E$25*1/$D200)-INT($E$25*(1-1)/$D200))*$C200</f>
        <v>0.0</v>
      </c>
      <c r="F200" s="42">
        <f>(INT($E$25*2/$D200)-INT($E$25*(2-1)/$D200))*$C200</f>
        <v>0.0</v>
      </c>
      <c r="G200" s="42">
        <f>(INT($E$25*3/$D200)-INT($E$25*(3-1)/$D200))*$C200</f>
        <v>0.8</v>
      </c>
      <c r="H200" s="42">
        <f>(INT($E$25*4/$D200)-INT($E$25*(4-1)/$D200))*$C200</f>
        <v>0.0</v>
      </c>
      <c r="I200" s="42">
        <f>(INT($E$25*5/$D200)-INT($E$25*(5-1)/$D200))*$C200</f>
        <v>0.0</v>
      </c>
      <c r="J200" s="42">
        <f>(INT($E$25*6/$D200)-INT($E$25*(6-1)/$D200))*$C200</f>
        <v>0.8</v>
      </c>
      <c r="K200" s="42">
        <f>(INT($E$25*7/$D200)-INT($E$25*(7-1)/$D200))*$C200</f>
        <v>0.0</v>
      </c>
      <c r="L200" s="42">
        <f>(INT($E$25*8/$D200)-INT($E$25*(8-1)/$D200))*$C200</f>
        <v>0.8</v>
      </c>
      <c r="M200" s="42">
        <f>(INT($E$25*9/$D200)-INT($E$25*(9-1)/$D200))*$C200</f>
        <v>0.0</v>
      </c>
      <c r="N200" s="42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44" t="n">
        <v>5</v>
      </c>
      <c r="D201" s="43" t="n">
        <v>25000</v>
      </c>
      <c r="E201" s="42">
        <f>(INT($E$25*1/$D201)-INT($E$25*(1-1)/$D201))*$C201</f>
        <v>0.0</v>
      </c>
      <c r="F201" s="42">
        <f>(INT($E$25*2/$D201)-INT($E$25*(2-1)/$D201))*$C201</f>
        <v>0.0</v>
      </c>
      <c r="G201" s="42">
        <f>(INT($E$25*3/$D201)-INT($E$25*(3-1)/$D201))*$C201</f>
        <v>0.0</v>
      </c>
      <c r="H201" s="42">
        <f>(INT($E$25*4/$D201)-INT($E$25*(4-1)/$D201))*$C201</f>
        <v>5.0</v>
      </c>
      <c r="I201" s="42">
        <f>(INT($E$25*5/$D201)-INT($E$25*(5-1)/$D201))*$C201</f>
        <v>0.0</v>
      </c>
      <c r="J201" s="42">
        <f>(INT($E$25*6/$D201)-INT($E$25*(6-1)/$D201))*$C201</f>
        <v>0.0</v>
      </c>
      <c r="K201" s="42">
        <f>(INT($E$25*7/$D201)-INT($E$25*(7-1)/$D201))*$C201</f>
        <v>0.0</v>
      </c>
      <c r="L201" s="42">
        <f>(INT($E$25*8/$D201)-INT($E$25*(8-1)/$D201))*$C201</f>
        <v>5.0</v>
      </c>
      <c r="M201" s="42">
        <f>(INT($E$25*9/$D201)-INT($E$25*(9-1)/$D201))*$C201</f>
        <v>0.0</v>
      </c>
      <c r="N201" s="42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44" t="n">
        <v>2</v>
      </c>
      <c r="D202" s="43" t="n">
        <v>15100</v>
      </c>
      <c r="E202" s="42">
        <f>(INT($E$25*1/$D202)-INT($E$25*(1-1)/$D202))*$C202</f>
        <v>0.0</v>
      </c>
      <c r="F202" s="42">
        <f>(INT($E$25*2/$D202)-INT($E$25*(2-1)/$D202))*$C202</f>
        <v>0.0</v>
      </c>
      <c r="G202" s="42">
        <f>(INT($E$25*3/$D202)-INT($E$25*(3-1)/$D202))*$C202</f>
        <v>2.0</v>
      </c>
      <c r="H202" s="42">
        <f>(INT($E$25*4/$D202)-INT($E$25*(4-1)/$D202))*$C202</f>
        <v>0.0</v>
      </c>
      <c r="I202" s="42">
        <f>(INT($E$25*5/$D202)-INT($E$25*(5-1)/$D202))*$C202</f>
        <v>2.0</v>
      </c>
      <c r="J202" s="42">
        <f>(INT($E$25*6/$D202)-INT($E$25*(6-1)/$D202))*$C202</f>
        <v>0.0</v>
      </c>
      <c r="K202" s="42">
        <f>(INT($E$25*7/$D202)-INT($E$25*(7-1)/$D202))*$C202</f>
        <v>2.0</v>
      </c>
      <c r="L202" s="42">
        <f>(INT($E$25*8/$D202)-INT($E$25*(8-1)/$D202))*$C202</f>
        <v>0.0</v>
      </c>
      <c r="M202" s="42">
        <f>(INT($E$25*9/$D202)-INT($E$25*(9-1)/$D202))*$C202</f>
        <v>2.0</v>
      </c>
      <c r="N202" s="42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44" t="n">
        <v>2</v>
      </c>
      <c r="D203" s="43" t="n">
        <v>15100</v>
      </c>
      <c r="E203" s="42">
        <f>(INT($E$25*1/$D203)-INT($E$25*(1-1)/$D203))*$C203</f>
        <v>0.0</v>
      </c>
      <c r="F203" s="42">
        <f>(INT($E$25*2/$D203)-INT($E$25*(2-1)/$D203))*$C203</f>
        <v>0.0</v>
      </c>
      <c r="G203" s="42">
        <f>(INT($E$25*3/$D203)-INT($E$25*(3-1)/$D203))*$C203</f>
        <v>2.0</v>
      </c>
      <c r="H203" s="42">
        <f>(INT($E$25*4/$D203)-INT($E$25*(4-1)/$D203))*$C203</f>
        <v>0.0</v>
      </c>
      <c r="I203" s="42">
        <f>(INT($E$25*5/$D203)-INT($E$25*(5-1)/$D203))*$C203</f>
        <v>2.0</v>
      </c>
      <c r="J203" s="42">
        <f>(INT($E$25*6/$D203)-INT($E$25*(6-1)/$D203))*$C203</f>
        <v>0.0</v>
      </c>
      <c r="K203" s="42">
        <f>(INT($E$25*7/$D203)-INT($E$25*(7-1)/$D203))*$C203</f>
        <v>2.0</v>
      </c>
      <c r="L203" s="42">
        <f>(INT($E$25*8/$D203)-INT($E$25*(8-1)/$D203))*$C203</f>
        <v>0.0</v>
      </c>
      <c r="M203" s="42">
        <f>(INT($E$25*9/$D203)-INT($E$25*(9-1)/$D203))*$C203</f>
        <v>2.0</v>
      </c>
      <c r="N203" s="42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44" t="n">
        <v>3.5</v>
      </c>
      <c r="D204" s="43" t="n">
        <v>10100</v>
      </c>
      <c r="E204" s="42">
        <f>(INT($E$25*1/$D204)-INT($E$25*(1-1)/$D204))*$C204</f>
        <v>0.0</v>
      </c>
      <c r="F204" s="42">
        <f>(INT($E$25*2/$D204)-INT($E$25*(2-1)/$D204))*$C204</f>
        <v>3.5</v>
      </c>
      <c r="G204" s="42">
        <f>(INT($E$25*3/$D204)-INT($E$25*(3-1)/$D204))*$C204</f>
        <v>3.5</v>
      </c>
      <c r="H204" s="42">
        <f>(INT($E$25*4/$D204)-INT($E$25*(4-1)/$D204))*$C204</f>
        <v>0.0</v>
      </c>
      <c r="I204" s="42">
        <f>(INT($E$25*5/$D204)-INT($E$25*(5-1)/$D204))*$C204</f>
        <v>3.5</v>
      </c>
      <c r="J204" s="42">
        <f>(INT($E$25*6/$D204)-INT($E$25*(6-1)/$D204))*$C204</f>
        <v>3.5</v>
      </c>
      <c r="K204" s="42">
        <f>(INT($E$25*7/$D204)-INT($E$25*(7-1)/$D204))*$C204</f>
        <v>0.0</v>
      </c>
      <c r="L204" s="42">
        <f>(INT($E$25*8/$D204)-INT($E$25*(8-1)/$D204))*$C204</f>
        <v>3.5</v>
      </c>
      <c r="M204" s="42">
        <f>(INT($E$25*9/$D204)-INT($E$25*(9-1)/$D204))*$C204</f>
        <v>3.5</v>
      </c>
      <c r="N204" s="42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44" t="n">
        <v>2</v>
      </c>
      <c r="D205" s="43" t="n">
        <v>15000</v>
      </c>
      <c r="E205" s="42">
        <f>(INT($E$25*1/$D205)-INT($E$25*(1-1)/$D205))*$C205</f>
        <v>0.0</v>
      </c>
      <c r="F205" s="42">
        <f>(INT($E$25*2/$D205)-INT($E$25*(2-1)/$D205))*$C205</f>
        <v>0.0</v>
      </c>
      <c r="G205" s="42">
        <f>(INT($E$25*3/$D205)-INT($E$25*(3-1)/$D205))*$C205</f>
        <v>2.0</v>
      </c>
      <c r="H205" s="42">
        <f>(INT($E$25*4/$D205)-INT($E$25*(4-1)/$D205))*$C205</f>
        <v>0.0</v>
      </c>
      <c r="I205" s="42">
        <f>(INT($E$25*5/$D205)-INT($E$25*(5-1)/$D205))*$C205</f>
        <v>2.0</v>
      </c>
      <c r="J205" s="42">
        <f>(INT($E$25*6/$D205)-INT($E$25*(6-1)/$D205))*$C205</f>
        <v>0.0</v>
      </c>
      <c r="K205" s="42">
        <f>(INT($E$25*7/$D205)-INT($E$25*(7-1)/$D205))*$C205</f>
        <v>2.0</v>
      </c>
      <c r="L205" s="42">
        <f>(INT($E$25*8/$D205)-INT($E$25*(8-1)/$D205))*$C205</f>
        <v>0.0</v>
      </c>
      <c r="M205" s="42">
        <f>(INT($E$25*9/$D205)-INT($E$25*(9-1)/$D205))*$C205</f>
        <v>2.0</v>
      </c>
      <c r="N205" s="42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44" t="n">
        <v>2.97</v>
      </c>
      <c r="D206" s="43" t="n">
        <v>15000</v>
      </c>
      <c r="E206" s="42">
        <f>(INT($E$25*1/$D206)-INT($E$25*(1-1)/$D206))*$C206</f>
        <v>0.0</v>
      </c>
      <c r="F206" s="42">
        <f>(INT($E$25*2/$D206)-INT($E$25*(2-1)/$D206))*$C206</f>
        <v>0.0</v>
      </c>
      <c r="G206" s="42">
        <f>(INT($E$25*3/$D206)-INT($E$25*(3-1)/$D206))*$C206</f>
        <v>2.97</v>
      </c>
      <c r="H206" s="42">
        <f>(INT($E$25*4/$D206)-INT($E$25*(4-1)/$D206))*$C206</f>
        <v>0.0</v>
      </c>
      <c r="I206" s="42">
        <f>(INT($E$25*5/$D206)-INT($E$25*(5-1)/$D206))*$C206</f>
        <v>2.97</v>
      </c>
      <c r="J206" s="42">
        <f>(INT($E$25*6/$D206)-INT($E$25*(6-1)/$D206))*$C206</f>
        <v>0.0</v>
      </c>
      <c r="K206" s="42">
        <f>(INT($E$25*7/$D206)-INT($E$25*(7-1)/$D206))*$C206</f>
        <v>2.97</v>
      </c>
      <c r="L206" s="42">
        <f>(INT($E$25*8/$D206)-INT($E$25*(8-1)/$D206))*$C206</f>
        <v>0.0</v>
      </c>
      <c r="M206" s="42">
        <f>(INT($E$25*9/$D206)-INT($E$25*(9-1)/$D206))*$C206</f>
        <v>2.97</v>
      </c>
      <c r="N206" s="42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44" t="n">
        <v>1.5</v>
      </c>
      <c r="D207" s="43" t="n">
        <v>8000</v>
      </c>
      <c r="E207" s="42">
        <f>(INT($E$25*1/$D207)-INT($E$25*(1-1)/$D207))*$C207</f>
        <v>0.0</v>
      </c>
      <c r="F207" s="42">
        <f>(INT($E$25*2/$D207)-INT($E$25*(2-1)/$D207))*$C207</f>
        <v>1.5</v>
      </c>
      <c r="G207" s="42">
        <f>(INT($E$25*3/$D207)-INT($E$25*(3-1)/$D207))*$C207</f>
        <v>1.5</v>
      </c>
      <c r="H207" s="42">
        <f>(INT($E$25*4/$D207)-INT($E$25*(4-1)/$D207))*$C207</f>
        <v>1.5</v>
      </c>
      <c r="I207" s="42">
        <f>(INT($E$25*5/$D207)-INT($E$25*(5-1)/$D207))*$C207</f>
        <v>1.5</v>
      </c>
      <c r="J207" s="42">
        <f>(INT($E$25*6/$D207)-INT($E$25*(6-1)/$D207))*$C207</f>
        <v>1.5</v>
      </c>
      <c r="K207" s="42">
        <f>(INT($E$25*7/$D207)-INT($E$25*(7-1)/$D207))*$C207</f>
        <v>1.5</v>
      </c>
      <c r="L207" s="42">
        <f>(INT($E$25*8/$D207)-INT($E$25*(8-1)/$D207))*$C207</f>
        <v>1.5</v>
      </c>
      <c r="M207" s="42">
        <f>(INT($E$25*9/$D207)-INT($E$25*(9-1)/$D207))*$C207</f>
        <v>0.0</v>
      </c>
      <c r="N207" s="42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44" t="n">
        <v>22.68</v>
      </c>
      <c r="D208" s="43" t="n">
        <v>14900</v>
      </c>
      <c r="E208" s="42">
        <f>(INT($E$25*1/$D208)-INT($E$25*(1-1)/$D208))*$C208</f>
        <v>0.0</v>
      </c>
      <c r="F208" s="42">
        <f>(INT($E$25*2/$D208)-INT($E$25*(2-1)/$D208))*$C208</f>
        <v>0.0</v>
      </c>
      <c r="G208" s="42">
        <f>(INT($E$25*3/$D208)-INT($E$25*(3-1)/$D208))*$C208</f>
        <v>22.68</v>
      </c>
      <c r="H208" s="42">
        <f>(INT($E$25*4/$D208)-INT($E$25*(4-1)/$D208))*$C208</f>
        <v>0.0</v>
      </c>
      <c r="I208" s="42">
        <f>(INT($E$25*5/$D208)-INT($E$25*(5-1)/$D208))*$C208</f>
        <v>22.68</v>
      </c>
      <c r="J208" s="42">
        <f>(INT($E$25*6/$D208)-INT($E$25*(6-1)/$D208))*$C208</f>
        <v>0.0</v>
      </c>
      <c r="K208" s="42">
        <f>(INT($E$25*7/$D208)-INT($E$25*(7-1)/$D208))*$C208</f>
        <v>22.68</v>
      </c>
      <c r="L208" s="42">
        <f>(INT($E$25*8/$D208)-INT($E$25*(8-1)/$D208))*$C208</f>
        <v>0.0</v>
      </c>
      <c r="M208" s="42">
        <f>(INT($E$25*9/$D208)-INT($E$25*(9-1)/$D208))*$C208</f>
        <v>22.68</v>
      </c>
      <c r="N208" s="42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44" t="n">
        <v>19.5</v>
      </c>
      <c r="D209" s="43" t="n">
        <v>14900</v>
      </c>
      <c r="E209" s="42">
        <f>(INT($E$25*1/$D209)-INT($E$25*(1-1)/$D209))*$C209</f>
        <v>0.0</v>
      </c>
      <c r="F209" s="42">
        <f>(INT($E$25*2/$D209)-INT($E$25*(2-1)/$D209))*$C209</f>
        <v>0.0</v>
      </c>
      <c r="G209" s="42">
        <f>(INT($E$25*3/$D209)-INT($E$25*(3-1)/$D209))*$C209</f>
        <v>19.5</v>
      </c>
      <c r="H209" s="42">
        <f>(INT($E$25*4/$D209)-INT($E$25*(4-1)/$D209))*$C209</f>
        <v>0.0</v>
      </c>
      <c r="I209" s="42">
        <f>(INT($E$25*5/$D209)-INT($E$25*(5-1)/$D209))*$C209</f>
        <v>19.5</v>
      </c>
      <c r="J209" s="42">
        <f>(INT($E$25*6/$D209)-INT($E$25*(6-1)/$D209))*$C209</f>
        <v>0.0</v>
      </c>
      <c r="K209" s="42">
        <f>(INT($E$25*7/$D209)-INT($E$25*(7-1)/$D209))*$C209</f>
        <v>19.5</v>
      </c>
      <c r="L209" s="42">
        <f>(INT($E$25*8/$D209)-INT($E$25*(8-1)/$D209))*$C209</f>
        <v>0.0</v>
      </c>
      <c r="M209" s="42">
        <f>(INT($E$25*9/$D209)-INT($E$25*(9-1)/$D209))*$C209</f>
        <v>19.5</v>
      </c>
      <c r="N209" s="42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44" t="n">
        <v>10.6</v>
      </c>
      <c r="D210" s="43" t="n">
        <v>10400</v>
      </c>
      <c r="E210" s="42">
        <f>(INT($E$25*1/$D210)-INT($E$25*(1-1)/$D210))*$C210</f>
        <v>0.0</v>
      </c>
      <c r="F210" s="42">
        <f>(INT($E$25*2/$D210)-INT($E$25*(2-1)/$D210))*$C210</f>
        <v>10.6</v>
      </c>
      <c r="G210" s="42">
        <f>(INT($E$25*3/$D210)-INT($E$25*(3-1)/$D210))*$C210</f>
        <v>10.6</v>
      </c>
      <c r="H210" s="42">
        <f>(INT($E$25*4/$D210)-INT($E$25*(4-1)/$D210))*$C210</f>
        <v>0.0</v>
      </c>
      <c r="I210" s="42">
        <f>(INT($E$25*5/$D210)-INT($E$25*(5-1)/$D210))*$C210</f>
        <v>10.6</v>
      </c>
      <c r="J210" s="42">
        <f>(INT($E$25*6/$D210)-INT($E$25*(6-1)/$D210))*$C210</f>
        <v>10.6</v>
      </c>
      <c r="K210" s="42">
        <f>(INT($E$25*7/$D210)-INT($E$25*(7-1)/$D210))*$C210</f>
        <v>0.0</v>
      </c>
      <c r="L210" s="42">
        <f>(INT($E$25*8/$D210)-INT($E$25*(8-1)/$D210))*$C210</f>
        <v>10.6</v>
      </c>
      <c r="M210" s="42">
        <f>(INT($E$25*9/$D210)-INT($E$25*(9-1)/$D210))*$C210</f>
        <v>10.6</v>
      </c>
      <c r="N210" s="42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44" t="n">
        <v>6.6</v>
      </c>
      <c r="D211" s="43" t="n">
        <v>12000</v>
      </c>
      <c r="E211" s="42">
        <f>(INT($E$25*1/$D211)-INT($E$25*(1-1)/$D211))*$C211</f>
        <v>0.0</v>
      </c>
      <c r="F211" s="42">
        <f>(INT($E$25*2/$D211)-INT($E$25*(2-1)/$D211))*$C211</f>
        <v>6.6</v>
      </c>
      <c r="G211" s="42">
        <f>(INT($E$25*3/$D211)-INT($E$25*(3-1)/$D211))*$C211</f>
        <v>0.0</v>
      </c>
      <c r="H211" s="42">
        <f>(INT($E$25*4/$D211)-INT($E$25*(4-1)/$D211))*$C211</f>
        <v>6.6</v>
      </c>
      <c r="I211" s="42">
        <f>(INT($E$25*5/$D211)-INT($E$25*(5-1)/$D211))*$C211</f>
        <v>0.0</v>
      </c>
      <c r="J211" s="42">
        <f>(INT($E$25*6/$D211)-INT($E$25*(6-1)/$D211))*$C211</f>
        <v>6.6</v>
      </c>
      <c r="K211" s="42">
        <f>(INT($E$25*7/$D211)-INT($E$25*(7-1)/$D211))*$C211</f>
        <v>6.6</v>
      </c>
      <c r="L211" s="42">
        <f>(INT($E$25*8/$D211)-INT($E$25*(8-1)/$D211))*$C211</f>
        <v>0.0</v>
      </c>
      <c r="M211" s="42">
        <f>(INT($E$25*9/$D211)-INT($E$25*(9-1)/$D211))*$C211</f>
        <v>6.6</v>
      </c>
      <c r="N211" s="42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44" t="n">
        <v>1.1</v>
      </c>
      <c r="D212" s="43" t="n">
        <v>8000</v>
      </c>
      <c r="E212" s="42">
        <f>(INT($E$25*1/$D212)-INT($E$25*(1-1)/$D212))*$C212</f>
        <v>0.0</v>
      </c>
      <c r="F212" s="42">
        <f>(INT($E$25*2/$D212)-INT($E$25*(2-1)/$D212))*$C212</f>
        <v>1.1</v>
      </c>
      <c r="G212" s="42">
        <f>(INT($E$25*3/$D212)-INT($E$25*(3-1)/$D212))*$C212</f>
        <v>1.1</v>
      </c>
      <c r="H212" s="42">
        <f>(INT($E$25*4/$D212)-INT($E$25*(4-1)/$D212))*$C212</f>
        <v>1.1</v>
      </c>
      <c r="I212" s="42">
        <f>(INT($E$25*5/$D212)-INT($E$25*(5-1)/$D212))*$C212</f>
        <v>1.1</v>
      </c>
      <c r="J212" s="42">
        <f>(INT($E$25*6/$D212)-INT($E$25*(6-1)/$D212))*$C212</f>
        <v>1.1</v>
      </c>
      <c r="K212" s="42">
        <f>(INT($E$25*7/$D212)-INT($E$25*(7-1)/$D212))*$C212</f>
        <v>1.1</v>
      </c>
      <c r="L212" s="42">
        <f>(INT($E$25*8/$D212)-INT($E$25*(8-1)/$D212))*$C212</f>
        <v>1.1</v>
      </c>
      <c r="M212" s="42">
        <f>(INT($E$25*9/$D212)-INT($E$25*(9-1)/$D212))*$C212</f>
        <v>0.0</v>
      </c>
      <c r="N212" s="42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44" t="n">
        <v>1.1</v>
      </c>
      <c r="D213" s="43" t="n">
        <v>8000</v>
      </c>
      <c r="E213" s="42">
        <f>(INT($E$25*1/$D213)-INT($E$25*(1-1)/$D213))*$C213</f>
        <v>0.0</v>
      </c>
      <c r="F213" s="42">
        <f>(INT($E$25*2/$D213)-INT($E$25*(2-1)/$D213))*$C213</f>
        <v>1.1</v>
      </c>
      <c r="G213" s="42">
        <f>(INT($E$25*3/$D213)-INT($E$25*(3-1)/$D213))*$C213</f>
        <v>1.1</v>
      </c>
      <c r="H213" s="42">
        <f>(INT($E$25*4/$D213)-INT($E$25*(4-1)/$D213))*$C213</f>
        <v>1.1</v>
      </c>
      <c r="I213" s="42">
        <f>(INT($E$25*5/$D213)-INT($E$25*(5-1)/$D213))*$C213</f>
        <v>1.1</v>
      </c>
      <c r="J213" s="42">
        <f>(INT($E$25*6/$D213)-INT($E$25*(6-1)/$D213))*$C213</f>
        <v>1.1</v>
      </c>
      <c r="K213" s="42">
        <f>(INT($E$25*7/$D213)-INT($E$25*(7-1)/$D213))*$C213</f>
        <v>1.1</v>
      </c>
      <c r="L213" s="42">
        <f>(INT($E$25*8/$D213)-INT($E$25*(8-1)/$D213))*$C213</f>
        <v>1.1</v>
      </c>
      <c r="M213" s="42">
        <f>(INT($E$25*9/$D213)-INT($E$25*(9-1)/$D213))*$C213</f>
        <v>0.0</v>
      </c>
      <c r="N213" s="42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44" t="n">
        <v>1.5</v>
      </c>
      <c r="D214" s="43" t="n">
        <v>10400</v>
      </c>
      <c r="E214" s="42">
        <f>(INT($E$25*1/$D214)-INT($E$25*(1-1)/$D214))*$C214</f>
        <v>0.0</v>
      </c>
      <c r="F214" s="42">
        <f>(INT($E$25*2/$D214)-INT($E$25*(2-1)/$D214))*$C214</f>
        <v>1.5</v>
      </c>
      <c r="G214" s="42">
        <f>(INT($E$25*3/$D214)-INT($E$25*(3-1)/$D214))*$C214</f>
        <v>1.5</v>
      </c>
      <c r="H214" s="42">
        <f>(INT($E$25*4/$D214)-INT($E$25*(4-1)/$D214))*$C214</f>
        <v>0.0</v>
      </c>
      <c r="I214" s="42">
        <f>(INT($E$25*5/$D214)-INT($E$25*(5-1)/$D214))*$C214</f>
        <v>1.5</v>
      </c>
      <c r="J214" s="42">
        <f>(INT($E$25*6/$D214)-INT($E$25*(6-1)/$D214))*$C214</f>
        <v>1.5</v>
      </c>
      <c r="K214" s="42">
        <f>(INT($E$25*7/$D214)-INT($E$25*(7-1)/$D214))*$C214</f>
        <v>0.0</v>
      </c>
      <c r="L214" s="42">
        <f>(INT($E$25*8/$D214)-INT($E$25*(8-1)/$D214))*$C214</f>
        <v>1.5</v>
      </c>
      <c r="M214" s="42">
        <f>(INT($E$25*9/$D214)-INT($E$25*(9-1)/$D214))*$C214</f>
        <v>1.5</v>
      </c>
      <c r="N214" s="42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44" t="n">
        <v>0.9</v>
      </c>
      <c r="D215" s="43" t="n">
        <v>8000</v>
      </c>
      <c r="E215" s="42">
        <f>(INT($E$25*1/$D215)-INT($E$25*(1-1)/$D215))*$C215</f>
        <v>0.0</v>
      </c>
      <c r="F215" s="42">
        <f>(INT($E$25*2/$D215)-INT($E$25*(2-1)/$D215))*$C215</f>
        <v>0.9</v>
      </c>
      <c r="G215" s="42">
        <f>(INT($E$25*3/$D215)-INT($E$25*(3-1)/$D215))*$C215</f>
        <v>0.9</v>
      </c>
      <c r="H215" s="42">
        <f>(INT($E$25*4/$D215)-INT($E$25*(4-1)/$D215))*$C215</f>
        <v>0.9</v>
      </c>
      <c r="I215" s="42">
        <f>(INT($E$25*5/$D215)-INT($E$25*(5-1)/$D215))*$C215</f>
        <v>0.9</v>
      </c>
      <c r="J215" s="42">
        <f>(INT($E$25*6/$D215)-INT($E$25*(6-1)/$D215))*$C215</f>
        <v>0.9</v>
      </c>
      <c r="K215" s="42">
        <f>(INT($E$25*7/$D215)-INT($E$25*(7-1)/$D215))*$C215</f>
        <v>0.9</v>
      </c>
      <c r="L215" s="42">
        <f>(INT($E$25*8/$D215)-INT($E$25*(8-1)/$D215))*$C215</f>
        <v>0.9</v>
      </c>
      <c r="M215" s="42">
        <f>(INT($E$25*9/$D215)-INT($E$25*(9-1)/$D215))*$C215</f>
        <v>0.0</v>
      </c>
      <c r="N215" s="42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44" t="n">
        <v>11</v>
      </c>
      <c r="D216" s="43" t="n">
        <v>18000</v>
      </c>
      <c r="E216" s="42">
        <f>(INT($E$25*1/$D216)-INT($E$25*(1-1)/$D216))*$C216</f>
        <v>0.0</v>
      </c>
      <c r="F216" s="42">
        <f>(INT($E$25*2/$D216)-INT($E$25*(2-1)/$D216))*$C216</f>
        <v>0.0</v>
      </c>
      <c r="G216" s="42">
        <f>(INT($E$25*3/$D216)-INT($E$25*(3-1)/$D216))*$C216</f>
        <v>11.0</v>
      </c>
      <c r="H216" s="42">
        <f>(INT($E$25*4/$D216)-INT($E$25*(4-1)/$D216))*$C216</f>
        <v>0.0</v>
      </c>
      <c r="I216" s="42">
        <f>(INT($E$25*5/$D216)-INT($E$25*(5-1)/$D216))*$C216</f>
        <v>0.0</v>
      </c>
      <c r="J216" s="42">
        <f>(INT($E$25*6/$D216)-INT($E$25*(6-1)/$D216))*$C216</f>
        <v>11.0</v>
      </c>
      <c r="K216" s="42">
        <f>(INT($E$25*7/$D216)-INT($E$25*(7-1)/$D216))*$C216</f>
        <v>0.0</v>
      </c>
      <c r="L216" s="42">
        <f>(INT($E$25*8/$D216)-INT($E$25*(8-1)/$D216))*$C216</f>
        <v>11.0</v>
      </c>
      <c r="M216" s="42">
        <f>(INT($E$25*9/$D216)-INT($E$25*(9-1)/$D216))*$C216</f>
        <v>0.0</v>
      </c>
      <c r="N216" s="42">
        <f>(INT($E$25*10/$D216)-INT($E$25*(10-1)/$D216))*$C216</f>
        <v>0.0</v>
      </c>
    </row>
    <row r="217">
      <c r="B217" s="22" t="inlineStr">
        <is>
          <t>AIREND (компрессор)</t>
        </is>
      </c>
      <c r="C217" s="44" t="n">
        <v>8</v>
      </c>
      <c r="D217" s="43" t="n">
        <v>30000</v>
      </c>
      <c r="E217" s="42">
        <f>(INT($E$25*1/$D217)-INT($E$25*(1-1)/$D217))*$C217</f>
        <v>0.0</v>
      </c>
      <c r="F217" s="42">
        <f>(INT($E$25*2/$D217)-INT($E$25*(2-1)/$D217))*$C217</f>
        <v>0.0</v>
      </c>
      <c r="G217" s="42">
        <f>(INT($E$25*3/$D217)-INT($E$25*(3-1)/$D217))*$C217</f>
        <v>0.0</v>
      </c>
      <c r="H217" s="42">
        <f>(INT($E$25*4/$D217)-INT($E$25*(4-1)/$D217))*$C217</f>
        <v>0.0</v>
      </c>
      <c r="I217" s="42">
        <f>(INT($E$25*5/$D217)-INT($E$25*(5-1)/$D217))*$C217</f>
        <v>8.0</v>
      </c>
      <c r="J217" s="42">
        <f>(INT($E$25*6/$D217)-INT($E$25*(6-1)/$D217))*$C217</f>
        <v>0.0</v>
      </c>
      <c r="K217" s="42">
        <f>(INT($E$25*7/$D217)-INT($E$25*(7-1)/$D217))*$C217</f>
        <v>0.0</v>
      </c>
      <c r="L217" s="42">
        <f>(INT($E$25*8/$D217)-INT($E$25*(8-1)/$D217))*$C217</f>
        <v>0.0</v>
      </c>
      <c r="M217" s="42">
        <f>(INT($E$25*9/$D217)-INT($E$25*(9-1)/$D217))*$C217</f>
        <v>8.0</v>
      </c>
      <c r="N217" s="42">
        <f>(INT($E$25*10/$D217)-INT($E$25*(10-1)/$D217))*$C217</f>
        <v>0.0</v>
      </c>
    </row>
    <row r="218">
      <c r="B218" s="22" t="inlineStr">
        <is>
          <t>COUPLING (муфта)</t>
        </is>
      </c>
      <c r="C218" s="44" t="n">
        <v>8.300000000000001</v>
      </c>
      <c r="D218" s="43" t="n">
        <v>20000</v>
      </c>
      <c r="E218" s="42">
        <f>(INT($E$25*1/$D218)-INT($E$25*(1-1)/$D218))*$C218</f>
        <v>0.0</v>
      </c>
      <c r="F218" s="42">
        <f>(INT($E$25*2/$D218)-INT($E$25*(2-1)/$D218))*$C218</f>
        <v>0.0</v>
      </c>
      <c r="G218" s="42">
        <f>(INT($E$25*3/$D218)-INT($E$25*(3-1)/$D218))*$C218</f>
        <v>8.3</v>
      </c>
      <c r="H218" s="42">
        <f>(INT($E$25*4/$D218)-INT($E$25*(4-1)/$D218))*$C218</f>
        <v>0.0</v>
      </c>
      <c r="I218" s="42">
        <f>(INT($E$25*5/$D218)-INT($E$25*(5-1)/$D218))*$C218</f>
        <v>0.0</v>
      </c>
      <c r="J218" s="42">
        <f>(INT($E$25*6/$D218)-INT($E$25*(6-1)/$D218))*$C218</f>
        <v>8.3</v>
      </c>
      <c r="K218" s="42">
        <f>(INT($E$25*7/$D218)-INT($E$25*(7-1)/$D218))*$C218</f>
        <v>0.0</v>
      </c>
      <c r="L218" s="42">
        <f>(INT($E$25*8/$D218)-INT($E$25*(8-1)/$D218))*$C218</f>
        <v>0.0</v>
      </c>
      <c r="M218" s="42">
        <f>(INT($E$25*9/$D218)-INT($E$25*(9-1)/$D218))*$C218</f>
        <v>8.3</v>
      </c>
      <c r="N218" s="42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44" t="n">
        <v>3.5</v>
      </c>
      <c r="D219" s="43" t="n">
        <v>10000</v>
      </c>
      <c r="E219" s="42">
        <f>(INT($E$25*1/$D219)-INT($E$25*(1-1)/$D219))*$C219</f>
        <v>0.0</v>
      </c>
      <c r="F219" s="42">
        <f>(INT($E$25*2/$D219)-INT($E$25*(2-1)/$D219))*$C219</f>
        <v>3.5</v>
      </c>
      <c r="G219" s="42">
        <f>(INT($E$25*3/$D219)-INT($E$25*(3-1)/$D219))*$C219</f>
        <v>3.5</v>
      </c>
      <c r="H219" s="42">
        <f>(INT($E$25*4/$D219)-INT($E$25*(4-1)/$D219))*$C219</f>
        <v>0.0</v>
      </c>
      <c r="I219" s="42">
        <f>(INT($E$25*5/$D219)-INT($E$25*(5-1)/$D219))*$C219</f>
        <v>3.5</v>
      </c>
      <c r="J219" s="42">
        <f>(INT($E$25*6/$D219)-INT($E$25*(6-1)/$D219))*$C219</f>
        <v>3.5</v>
      </c>
      <c r="K219" s="42">
        <f>(INT($E$25*7/$D219)-INT($E$25*(7-1)/$D219))*$C219</f>
        <v>0.0</v>
      </c>
      <c r="L219" s="42">
        <f>(INT($E$25*8/$D219)-INT($E$25*(8-1)/$D219))*$C219</f>
        <v>3.5</v>
      </c>
      <c r="M219" s="42">
        <f>(INT($E$25*9/$D219)-INT($E$25*(9-1)/$D219))*$C219</f>
        <v>3.5</v>
      </c>
      <c r="N219" s="42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44" t="n">
        <v>8</v>
      </c>
      <c r="D220" s="43" t="n">
        <v>20000</v>
      </c>
      <c r="E220" s="42">
        <f>(INT($E$25*1/$D220)-INT($E$25*(1-1)/$D220))*$C220</f>
        <v>0.0</v>
      </c>
      <c r="F220" s="42">
        <f>(INT($E$25*2/$D220)-INT($E$25*(2-1)/$D220))*$C220</f>
        <v>0.0</v>
      </c>
      <c r="G220" s="42">
        <f>(INT($E$25*3/$D220)-INT($E$25*(3-1)/$D220))*$C220</f>
        <v>8.0</v>
      </c>
      <c r="H220" s="42">
        <f>(INT($E$25*4/$D220)-INT($E$25*(4-1)/$D220))*$C220</f>
        <v>0.0</v>
      </c>
      <c r="I220" s="42">
        <f>(INT($E$25*5/$D220)-INT($E$25*(5-1)/$D220))*$C220</f>
        <v>0.0</v>
      </c>
      <c r="J220" s="42">
        <f>(INT($E$25*6/$D220)-INT($E$25*(6-1)/$D220))*$C220</f>
        <v>8.0</v>
      </c>
      <c r="K220" s="42">
        <f>(INT($E$25*7/$D220)-INT($E$25*(7-1)/$D220))*$C220</f>
        <v>0.0</v>
      </c>
      <c r="L220" s="42">
        <f>(INT($E$25*8/$D220)-INT($E$25*(8-1)/$D220))*$C220</f>
        <v>0.0</v>
      </c>
      <c r="M220" s="42">
        <f>(INT($E$25*9/$D220)-INT($E$25*(9-1)/$D220))*$C220</f>
        <v>8.0</v>
      </c>
      <c r="N220" s="42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44" t="n">
        <v>2.8</v>
      </c>
      <c r="D221" s="43" t="n">
        <v>22000</v>
      </c>
      <c r="E221" s="42">
        <f>(INT($E$25*1/$D221)-INT($E$25*(1-1)/$D221))*$C221</f>
        <v>0.0</v>
      </c>
      <c r="F221" s="42">
        <f>(INT($E$25*2/$D221)-INT($E$25*(2-1)/$D221))*$C221</f>
        <v>0.0</v>
      </c>
      <c r="G221" s="42">
        <f>(INT($E$25*3/$D221)-INT($E$25*(3-1)/$D221))*$C221</f>
        <v>0.0</v>
      </c>
      <c r="H221" s="42">
        <f>(INT($E$25*4/$D221)-INT($E$25*(4-1)/$D221))*$C221</f>
        <v>2.8</v>
      </c>
      <c r="I221" s="42">
        <f>(INT($E$25*5/$D221)-INT($E$25*(5-1)/$D221))*$C221</f>
        <v>0.0</v>
      </c>
      <c r="J221" s="42">
        <f>(INT($E$25*6/$D221)-INT($E$25*(6-1)/$D221))*$C221</f>
        <v>0.0</v>
      </c>
      <c r="K221" s="42">
        <f>(INT($E$25*7/$D221)-INT($E$25*(7-1)/$D221))*$C221</f>
        <v>2.8</v>
      </c>
      <c r="L221" s="42">
        <f>(INT($E$25*8/$D221)-INT($E$25*(8-1)/$D221))*$C221</f>
        <v>0.0</v>
      </c>
      <c r="M221" s="42">
        <f>(INT($E$25*9/$D221)-INT($E$25*(9-1)/$D221))*$C221</f>
        <v>0.0</v>
      </c>
      <c r="N221" s="42">
        <f>(INT($E$25*10/$D221)-INT($E$25*(10-1)/$D221))*$C221</f>
        <v>2.8</v>
      </c>
    </row>
    <row r="222">
      <c r="B222" s="22" t="inlineStr">
        <is>
          <t>SILENCER (глушитель)</t>
        </is>
      </c>
      <c r="C222" s="44" t="n">
        <v>2.1</v>
      </c>
      <c r="D222" s="43" t="n">
        <v>20000</v>
      </c>
      <c r="E222" s="42">
        <f>(INT($E$25*1/$D222)-INT($E$25*(1-1)/$D222))*$C222</f>
        <v>0.0</v>
      </c>
      <c r="F222" s="42">
        <f>(INT($E$25*2/$D222)-INT($E$25*(2-1)/$D222))*$C222</f>
        <v>0.0</v>
      </c>
      <c r="G222" s="42">
        <f>(INT($E$25*3/$D222)-INT($E$25*(3-1)/$D222))*$C222</f>
        <v>2.1</v>
      </c>
      <c r="H222" s="42">
        <f>(INT($E$25*4/$D222)-INT($E$25*(4-1)/$D222))*$C222</f>
        <v>0.0</v>
      </c>
      <c r="I222" s="42">
        <f>(INT($E$25*5/$D222)-INT($E$25*(5-1)/$D222))*$C222</f>
        <v>0.0</v>
      </c>
      <c r="J222" s="42">
        <f>(INT($E$25*6/$D222)-INT($E$25*(6-1)/$D222))*$C222</f>
        <v>2.1</v>
      </c>
      <c r="K222" s="42">
        <f>(INT($E$25*7/$D222)-INT($E$25*(7-1)/$D222))*$C222</f>
        <v>0.0</v>
      </c>
      <c r="L222" s="42">
        <f>(INT($E$25*8/$D222)-INT($E$25*(8-1)/$D222))*$C222</f>
        <v>0.0</v>
      </c>
      <c r="M222" s="42">
        <f>(INT($E$25*9/$D222)-INT($E$25*(9-1)/$D222))*$C222</f>
        <v>2.1</v>
      </c>
      <c r="N222" s="42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44" t="n">
        <v>1.7</v>
      </c>
      <c r="D223" s="43" t="n">
        <v>13000</v>
      </c>
      <c r="E223" s="42">
        <f>(INT($E$25*1/$D223)-INT($E$25*(1-1)/$D223))*$C223</f>
        <v>0.0</v>
      </c>
      <c r="F223" s="42">
        <f>(INT($E$25*2/$D223)-INT($E$25*(2-1)/$D223))*$C223</f>
        <v>1.7</v>
      </c>
      <c r="G223" s="42">
        <f>(INT($E$25*3/$D223)-INT($E$25*(3-1)/$D223))*$C223</f>
        <v>0.0</v>
      </c>
      <c r="H223" s="42">
        <f>(INT($E$25*4/$D223)-INT($E$25*(4-1)/$D223))*$C223</f>
        <v>1.7</v>
      </c>
      <c r="I223" s="42">
        <f>(INT($E$25*5/$D223)-INT($E$25*(5-1)/$D223))*$C223</f>
        <v>0.0</v>
      </c>
      <c r="J223" s="42">
        <f>(INT($E$25*6/$D223)-INT($E$25*(6-1)/$D223))*$C223</f>
        <v>1.7</v>
      </c>
      <c r="K223" s="42">
        <f>(INT($E$25*7/$D223)-INT($E$25*(7-1)/$D223))*$C223</f>
        <v>0.0</v>
      </c>
      <c r="L223" s="42">
        <f>(INT($E$25*8/$D223)-INT($E$25*(8-1)/$D223))*$C223</f>
        <v>1.7</v>
      </c>
      <c r="M223" s="42">
        <f>(INT($E$25*9/$D223)-INT($E$25*(9-1)/$D223))*$C223</f>
        <v>0.0</v>
      </c>
      <c r="N223" s="42">
        <f>(INT($E$25*10/$D223)-INT($E$25*(10-1)/$D223))*$C223</f>
        <v>1.7</v>
      </c>
    </row>
    <row r="224">
      <c r="B224" s="22" t="inlineStr">
        <is>
          <t>ENG (двигатель)</t>
        </is>
      </c>
      <c r="C224" s="44" t="n">
        <v>20</v>
      </c>
      <c r="D224" s="43" t="n">
        <v>30000</v>
      </c>
      <c r="E224" s="42">
        <f>(INT($E$25*1/$D224)-INT($E$25*(1-1)/$D224))*$C224</f>
        <v>0.0</v>
      </c>
      <c r="F224" s="42">
        <f>(INT($E$25*2/$D224)-INT($E$25*(2-1)/$D224))*$C224</f>
        <v>0.0</v>
      </c>
      <c r="G224" s="42">
        <f>(INT($E$25*3/$D224)-INT($E$25*(3-1)/$D224))*$C224</f>
        <v>0.0</v>
      </c>
      <c r="H224" s="42">
        <f>(INT($E$25*4/$D224)-INT($E$25*(4-1)/$D224))*$C224</f>
        <v>0.0</v>
      </c>
      <c r="I224" s="42">
        <f>(INT($E$25*5/$D224)-INT($E$25*(5-1)/$D224))*$C224</f>
        <v>20.0</v>
      </c>
      <c r="J224" s="42">
        <f>(INT($E$25*6/$D224)-INT($E$25*(6-1)/$D224))*$C224</f>
        <v>0.0</v>
      </c>
      <c r="K224" s="42">
        <f>(INT($E$25*7/$D224)-INT($E$25*(7-1)/$D224))*$C224</f>
        <v>0.0</v>
      </c>
      <c r="L224" s="42">
        <f>(INT($E$25*8/$D224)-INT($E$25*(8-1)/$D224))*$C224</f>
        <v>0.0</v>
      </c>
      <c r="M224" s="42">
        <f>(INT($E$25*9/$D224)-INT($E$25*(9-1)/$D224))*$C224</f>
        <v>20.0</v>
      </c>
      <c r="N224" s="42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44" t="n">
        <v>1</v>
      </c>
      <c r="D225" s="43" t="n">
        <v>11000</v>
      </c>
      <c r="E225" s="42">
        <f>(INT($E$25*1/$D225)-INT($E$25*(1-1)/$D225))*$C225</f>
        <v>0.0</v>
      </c>
      <c r="F225" s="42">
        <f>(INT($E$25*2/$D225)-INT($E$25*(2-1)/$D225))*$C225</f>
        <v>1.0</v>
      </c>
      <c r="G225" s="42">
        <f>(INT($E$25*3/$D225)-INT($E$25*(3-1)/$D225))*$C225</f>
        <v>0.0</v>
      </c>
      <c r="H225" s="42">
        <f>(INT($E$25*4/$D225)-INT($E$25*(4-1)/$D225))*$C225</f>
        <v>1.0</v>
      </c>
      <c r="I225" s="42">
        <f>(INT($E$25*5/$D225)-INT($E$25*(5-1)/$D225))*$C225</f>
        <v>1.0</v>
      </c>
      <c r="J225" s="42">
        <f>(INT($E$25*6/$D225)-INT($E$25*(6-1)/$D225))*$C225</f>
        <v>0.0</v>
      </c>
      <c r="K225" s="42">
        <f>(INT($E$25*7/$D225)-INT($E$25*(7-1)/$D225))*$C225</f>
        <v>1.0</v>
      </c>
      <c r="L225" s="42">
        <f>(INT($E$25*8/$D225)-INT($E$25*(8-1)/$D225))*$C225</f>
        <v>1.0</v>
      </c>
      <c r="M225" s="42">
        <f>(INT($E$25*9/$D225)-INT($E$25*(9-1)/$D225))*$C225</f>
        <v>0.0</v>
      </c>
      <c r="N225" s="42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44" t="n">
        <v>1.1</v>
      </c>
      <c r="D226" s="43" t="n">
        <v>11000</v>
      </c>
      <c r="E226" s="42">
        <f>(INT($E$25*1/$D226)-INT($E$25*(1-1)/$D226))*$C226</f>
        <v>0.0</v>
      </c>
      <c r="F226" s="42">
        <f>(INT($E$25*2/$D226)-INT($E$25*(2-1)/$D226))*$C226</f>
        <v>1.1</v>
      </c>
      <c r="G226" s="42">
        <f>(INT($E$25*3/$D226)-INT($E$25*(3-1)/$D226))*$C226</f>
        <v>0.0</v>
      </c>
      <c r="H226" s="42">
        <f>(INT($E$25*4/$D226)-INT($E$25*(4-1)/$D226))*$C226</f>
        <v>1.1</v>
      </c>
      <c r="I226" s="42">
        <f>(INT($E$25*5/$D226)-INT($E$25*(5-1)/$D226))*$C226</f>
        <v>1.1</v>
      </c>
      <c r="J226" s="42">
        <f>(INT($E$25*6/$D226)-INT($E$25*(6-1)/$D226))*$C226</f>
        <v>0.0</v>
      </c>
      <c r="K226" s="42">
        <f>(INT($E$25*7/$D226)-INT($E$25*(7-1)/$D226))*$C226</f>
        <v>1.1</v>
      </c>
      <c r="L226" s="42">
        <f>(INT($E$25*8/$D226)-INT($E$25*(8-1)/$D226))*$C226</f>
        <v>1.1</v>
      </c>
      <c r="M226" s="42">
        <f>(INT($E$25*9/$D226)-INT($E$25*(9-1)/$D226))*$C226</f>
        <v>0.0</v>
      </c>
      <c r="N226" s="42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44" t="n">
        <v>3.8</v>
      </c>
      <c r="D227" s="43" t="n">
        <v>11900</v>
      </c>
      <c r="E227" s="42">
        <f>(INT($E$25*1/$D227)-INT($E$25*(1-1)/$D227))*$C227</f>
        <v>0.0</v>
      </c>
      <c r="F227" s="42">
        <f>(INT($E$25*2/$D227)-INT($E$25*(2-1)/$D227))*$C227</f>
        <v>3.8</v>
      </c>
      <c r="G227" s="42">
        <f>(INT($E$25*3/$D227)-INT($E$25*(3-1)/$D227))*$C227</f>
        <v>0.0</v>
      </c>
      <c r="H227" s="42">
        <f>(INT($E$25*4/$D227)-INT($E$25*(4-1)/$D227))*$C227</f>
        <v>3.8</v>
      </c>
      <c r="I227" s="42">
        <f>(INT($E$25*5/$D227)-INT($E$25*(5-1)/$D227))*$C227</f>
        <v>0.0</v>
      </c>
      <c r="J227" s="42">
        <f>(INT($E$25*6/$D227)-INT($E$25*(6-1)/$D227))*$C227</f>
        <v>3.8</v>
      </c>
      <c r="K227" s="42">
        <f>(INT($E$25*7/$D227)-INT($E$25*(7-1)/$D227))*$C227</f>
        <v>3.8</v>
      </c>
      <c r="L227" s="42">
        <f>(INT($E$25*8/$D227)-INT($E$25*(8-1)/$D227))*$C227</f>
        <v>0.0</v>
      </c>
      <c r="M227" s="42">
        <f>(INT($E$25*9/$D227)-INT($E$25*(9-1)/$D227))*$C227</f>
        <v>3.8</v>
      </c>
      <c r="N227" s="42">
        <f>(INT($E$25*10/$D227)-INT($E$25*(10-1)/$D227))*$C227</f>
        <v>0.0</v>
      </c>
    </row>
    <row r="228">
      <c r="B228" s="22" t="inlineStr">
        <is>
          <t>DRIVE SHAFT (кардан)</t>
        </is>
      </c>
      <c r="C228" s="44" t="n">
        <v>2.5</v>
      </c>
      <c r="D228" s="43" t="n">
        <v>15000</v>
      </c>
      <c r="E228" s="42">
        <f>(INT($E$25*1/$D228)-INT($E$25*(1-1)/$D228))*$C228</f>
        <v>0.0</v>
      </c>
      <c r="F228" s="42">
        <f>(INT($E$25*2/$D228)-INT($E$25*(2-1)/$D228))*$C228</f>
        <v>0.0</v>
      </c>
      <c r="G228" s="42">
        <f>(INT($E$25*3/$D228)-INT($E$25*(3-1)/$D228))*$C228</f>
        <v>2.5</v>
      </c>
      <c r="H228" s="42">
        <f>(INT($E$25*4/$D228)-INT($E$25*(4-1)/$D228))*$C228</f>
        <v>0.0</v>
      </c>
      <c r="I228" s="42">
        <f>(INT($E$25*5/$D228)-INT($E$25*(5-1)/$D228))*$C228</f>
        <v>2.5</v>
      </c>
      <c r="J228" s="42">
        <f>(INT($E$25*6/$D228)-INT($E$25*(6-1)/$D228))*$C228</f>
        <v>0.0</v>
      </c>
      <c r="K228" s="42">
        <f>(INT($E$25*7/$D228)-INT($E$25*(7-1)/$D228))*$C228</f>
        <v>2.5</v>
      </c>
      <c r="L228" s="42">
        <f>(INT($E$25*8/$D228)-INT($E$25*(8-1)/$D228))*$C228</f>
        <v>0.0</v>
      </c>
      <c r="M228" s="42">
        <f>(INT($E$25*9/$D228)-INT($E$25*(9-1)/$D228))*$C228</f>
        <v>2.5</v>
      </c>
      <c r="N228" s="42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44" t="n">
        <v>16</v>
      </c>
      <c r="D229" s="43" t="n">
        <v>18000</v>
      </c>
      <c r="E229" s="42">
        <f>(INT($E$25*1/$D229)-INT($E$25*(1-1)/$D229))*$C229</f>
        <v>0.0</v>
      </c>
      <c r="F229" s="42">
        <f>(INT($E$25*2/$D229)-INT($E$25*(2-1)/$D229))*$C229</f>
        <v>0.0</v>
      </c>
      <c r="G229" s="42">
        <f>(INT($E$25*3/$D229)-INT($E$25*(3-1)/$D229))*$C229</f>
        <v>16.0</v>
      </c>
      <c r="H229" s="42">
        <f>(INT($E$25*4/$D229)-INT($E$25*(4-1)/$D229))*$C229</f>
        <v>0.0</v>
      </c>
      <c r="I229" s="42">
        <f>(INT($E$25*5/$D229)-INT($E$25*(5-1)/$D229))*$C229</f>
        <v>0.0</v>
      </c>
      <c r="J229" s="42">
        <f>(INT($E$25*6/$D229)-INT($E$25*(6-1)/$D229))*$C229</f>
        <v>16.0</v>
      </c>
      <c r="K229" s="42">
        <f>(INT($E$25*7/$D229)-INT($E$25*(7-1)/$D229))*$C229</f>
        <v>0.0</v>
      </c>
      <c r="L229" s="42">
        <f>(INT($E$25*8/$D229)-INT($E$25*(8-1)/$D229))*$C229</f>
        <v>16.0</v>
      </c>
      <c r="M229" s="42">
        <f>(INT($E$25*9/$D229)-INT($E$25*(9-1)/$D229))*$C229</f>
        <v>0.0</v>
      </c>
      <c r="N229" s="42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44" t="n">
        <v>20</v>
      </c>
      <c r="D230" s="43" t="n">
        <v>14000</v>
      </c>
      <c r="E230" s="42">
        <f>(INT($E$25*1/$D230)-INT($E$25*(1-1)/$D230))*$C230</f>
        <v>0.0</v>
      </c>
      <c r="F230" s="42">
        <f>(INT($E$25*2/$D230)-INT($E$25*(2-1)/$D230))*$C230</f>
        <v>20.0</v>
      </c>
      <c r="G230" s="42">
        <f>(INT($E$25*3/$D230)-INT($E$25*(3-1)/$D230))*$C230</f>
        <v>0.0</v>
      </c>
      <c r="H230" s="42">
        <f>(INT($E$25*4/$D230)-INT($E$25*(4-1)/$D230))*$C230</f>
        <v>20.0</v>
      </c>
      <c r="I230" s="42">
        <f>(INT($E$25*5/$D230)-INT($E$25*(5-1)/$D230))*$C230</f>
        <v>0.0</v>
      </c>
      <c r="J230" s="42">
        <f>(INT($E$25*6/$D230)-INT($E$25*(6-1)/$D230))*$C230</f>
        <v>20.0</v>
      </c>
      <c r="K230" s="42">
        <f>(INT($E$25*7/$D230)-INT($E$25*(7-1)/$D230))*$C230</f>
        <v>0.0</v>
      </c>
      <c r="L230" s="42">
        <f>(INT($E$25*8/$D230)-INT($E$25*(8-1)/$D230))*$C230</f>
        <v>20.0</v>
      </c>
      <c r="M230" s="42">
        <f>(INT($E$25*9/$D230)-INT($E$25*(9-1)/$D230))*$C230</f>
        <v>0.0</v>
      </c>
      <c r="N230" s="42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44" t="n">
        <v>3</v>
      </c>
      <c r="D231" s="43" t="n">
        <v>12000</v>
      </c>
      <c r="E231" s="42">
        <f>(INT($E$25*1/$D231)-INT($E$25*(1-1)/$D231))*$C231</f>
        <v>0.0</v>
      </c>
      <c r="F231" s="42">
        <f>(INT($E$25*2/$D231)-INT($E$25*(2-1)/$D231))*$C231</f>
        <v>3.0</v>
      </c>
      <c r="G231" s="42">
        <f>(INT($E$25*3/$D231)-INT($E$25*(3-1)/$D231))*$C231</f>
        <v>0.0</v>
      </c>
      <c r="H231" s="42">
        <f>(INT($E$25*4/$D231)-INT($E$25*(4-1)/$D231))*$C231</f>
        <v>3.0</v>
      </c>
      <c r="I231" s="42">
        <f>(INT($E$25*5/$D231)-INT($E$25*(5-1)/$D231))*$C231</f>
        <v>0.0</v>
      </c>
      <c r="J231" s="42">
        <f>(INT($E$25*6/$D231)-INT($E$25*(6-1)/$D231))*$C231</f>
        <v>3.0</v>
      </c>
      <c r="K231" s="42">
        <f>(INT($E$25*7/$D231)-INT($E$25*(7-1)/$D231))*$C231</f>
        <v>3.0</v>
      </c>
      <c r="L231" s="42">
        <f>(INT($E$25*8/$D231)-INT($E$25*(8-1)/$D231))*$C231</f>
        <v>0.0</v>
      </c>
      <c r="M231" s="42">
        <f>(INT($E$25*9/$D231)-INT($E$25*(9-1)/$D231))*$C231</f>
        <v>3.0</v>
      </c>
      <c r="N231" s="42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44" t="n">
        <v>23</v>
      </c>
      <c r="D232" s="43" t="n">
        <v>21000</v>
      </c>
      <c r="E232" s="42">
        <f>(INT($E$25*1/$D232)-INT($E$25*(1-1)/$D232))*$C232</f>
        <v>0.0</v>
      </c>
      <c r="F232" s="42">
        <f>(INT($E$25*2/$D232)-INT($E$25*(2-1)/$D232))*$C232</f>
        <v>0.0</v>
      </c>
      <c r="G232" s="42">
        <f>(INT($E$25*3/$D232)-INT($E$25*(3-1)/$D232))*$C232</f>
        <v>23.0</v>
      </c>
      <c r="H232" s="42">
        <f>(INT($E$25*4/$D232)-INT($E$25*(4-1)/$D232))*$C232</f>
        <v>0.0</v>
      </c>
      <c r="I232" s="42">
        <f>(INT($E$25*5/$D232)-INT($E$25*(5-1)/$D232))*$C232</f>
        <v>0.0</v>
      </c>
      <c r="J232" s="42">
        <f>(INT($E$25*6/$D232)-INT($E$25*(6-1)/$D232))*$C232</f>
        <v>23.0</v>
      </c>
      <c r="K232" s="42">
        <f>(INT($E$25*7/$D232)-INT($E$25*(7-1)/$D232))*$C232</f>
        <v>0.0</v>
      </c>
      <c r="L232" s="42">
        <f>(INT($E$25*8/$D232)-INT($E$25*(8-1)/$D232))*$C232</f>
        <v>0.0</v>
      </c>
      <c r="M232" s="42">
        <f>(INT($E$25*9/$D232)-INT($E$25*(9-1)/$D232))*$C232</f>
        <v>23.0</v>
      </c>
      <c r="N232" s="42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44" t="n">
        <v>11.2</v>
      </c>
      <c r="D233" s="43" t="n">
        <v>14000</v>
      </c>
      <c r="E233" s="42">
        <f>(INT($E$25*1/$D233)-INT($E$25*(1-1)/$D233))*$C233</f>
        <v>0.0</v>
      </c>
      <c r="F233" s="42">
        <f>(INT($E$25*2/$D233)-INT($E$25*(2-1)/$D233))*$C233</f>
        <v>11.2</v>
      </c>
      <c r="G233" s="42">
        <f>(INT($E$25*3/$D233)-INT($E$25*(3-1)/$D233))*$C233</f>
        <v>0.0</v>
      </c>
      <c r="H233" s="42">
        <f>(INT($E$25*4/$D233)-INT($E$25*(4-1)/$D233))*$C233</f>
        <v>11.2</v>
      </c>
      <c r="I233" s="42">
        <f>(INT($E$25*5/$D233)-INT($E$25*(5-1)/$D233))*$C233</f>
        <v>0.0</v>
      </c>
      <c r="J233" s="42">
        <f>(INT($E$25*6/$D233)-INT($E$25*(6-1)/$D233))*$C233</f>
        <v>11.2</v>
      </c>
      <c r="K233" s="42">
        <f>(INT($E$25*7/$D233)-INT($E$25*(7-1)/$D233))*$C233</f>
        <v>0.0</v>
      </c>
      <c r="L233" s="42">
        <f>(INT($E$25*8/$D233)-INT($E$25*(8-1)/$D233))*$C233</f>
        <v>11.2</v>
      </c>
      <c r="M233" s="42">
        <f>(INT($E$25*9/$D233)-INT($E$25*(9-1)/$D233))*$C233</f>
        <v>0.0</v>
      </c>
      <c r="N233" s="42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44" t="n">
        <v>6.7</v>
      </c>
      <c r="D234" s="43" t="n">
        <v>6000</v>
      </c>
      <c r="E234" s="42">
        <f>(INT($E$25*1/$D234)-INT($E$25*(1-1)/$D234))*$C234</f>
        <v>6.7</v>
      </c>
      <c r="F234" s="42">
        <f>(INT($E$25*2/$D234)-INT($E$25*(2-1)/$D234))*$C234</f>
        <v>6.7</v>
      </c>
      <c r="G234" s="42">
        <f>(INT($E$25*3/$D234)-INT($E$25*(3-1)/$D234))*$C234</f>
        <v>6.7</v>
      </c>
      <c r="H234" s="42">
        <f>(INT($E$25*4/$D234)-INT($E$25*(4-1)/$D234))*$C234</f>
        <v>6.7</v>
      </c>
      <c r="I234" s="42">
        <f>(INT($E$25*5/$D234)-INT($E$25*(5-1)/$D234))*$C234</f>
        <v>6.7</v>
      </c>
      <c r="J234" s="42">
        <f>(INT($E$25*6/$D234)-INT($E$25*(6-1)/$D234))*$C234</f>
        <v>13.4</v>
      </c>
      <c r="K234" s="42">
        <f>(INT($E$25*7/$D234)-INT($E$25*(7-1)/$D234))*$C234</f>
        <v>6.7</v>
      </c>
      <c r="L234" s="42">
        <f>(INT($E$25*8/$D234)-INT($E$25*(8-1)/$D234))*$C234</f>
        <v>6.7</v>
      </c>
      <c r="M234" s="42">
        <f>(INT($E$25*9/$D234)-INT($E$25*(9-1)/$D234))*$C234</f>
        <v>6.7</v>
      </c>
      <c r="N234" s="42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44" t="n">
        <v>6.7</v>
      </c>
      <c r="D235" s="43" t="n">
        <v>6000</v>
      </c>
      <c r="E235" s="42">
        <f>(INT($E$25*1/$D235)-INT($E$25*(1-1)/$D235))*$C235</f>
        <v>6.7</v>
      </c>
      <c r="F235" s="42">
        <f>(INT($E$25*2/$D235)-INT($E$25*(2-1)/$D235))*$C235</f>
        <v>6.7</v>
      </c>
      <c r="G235" s="42">
        <f>(INT($E$25*3/$D235)-INT($E$25*(3-1)/$D235))*$C235</f>
        <v>6.7</v>
      </c>
      <c r="H235" s="42">
        <f>(INT($E$25*4/$D235)-INT($E$25*(4-1)/$D235))*$C235</f>
        <v>6.7</v>
      </c>
      <c r="I235" s="42">
        <f>(INT($E$25*5/$D235)-INT($E$25*(5-1)/$D235))*$C235</f>
        <v>6.7</v>
      </c>
      <c r="J235" s="42">
        <f>(INT($E$25*6/$D235)-INT($E$25*(6-1)/$D235))*$C235</f>
        <v>13.4</v>
      </c>
      <c r="K235" s="42">
        <f>(INT($E$25*7/$D235)-INT($E$25*(7-1)/$D235))*$C235</f>
        <v>6.7</v>
      </c>
      <c r="L235" s="42">
        <f>(INT($E$25*8/$D235)-INT($E$25*(8-1)/$D235))*$C235</f>
        <v>6.7</v>
      </c>
      <c r="M235" s="42">
        <f>(INT($E$25*9/$D235)-INT($E$25*(9-1)/$D235))*$C235</f>
        <v>6.7</v>
      </c>
      <c r="N235" s="42">
        <f>(INT($E$25*10/$D235)-INT($E$25*(10-1)/$D235))*$C235</f>
        <v>6.7</v>
      </c>
    </row>
    <row r="236">
      <c r="B236" s="22" t="inlineStr">
        <is>
          <t>Accumulator (Recoil Spring)</t>
        </is>
      </c>
      <c r="C236" s="44" t="n">
        <v>10.86</v>
      </c>
      <c r="D236" s="43" t="n">
        <v>12000</v>
      </c>
      <c r="E236" s="42">
        <f>(INT($E$25*1/$D236)-INT($E$25*(1-1)/$D236))*$C236</f>
        <v>0.0</v>
      </c>
      <c r="F236" s="42">
        <f>(INT($E$25*2/$D236)-INT($E$25*(2-1)/$D236))*$C236</f>
        <v>10.86</v>
      </c>
      <c r="G236" s="42">
        <f>(INT($E$25*3/$D236)-INT($E$25*(3-1)/$D236))*$C236</f>
        <v>0.0</v>
      </c>
      <c r="H236" s="42">
        <f>(INT($E$25*4/$D236)-INT($E$25*(4-1)/$D236))*$C236</f>
        <v>10.86</v>
      </c>
      <c r="I236" s="42">
        <f>(INT($E$25*5/$D236)-INT($E$25*(5-1)/$D236))*$C236</f>
        <v>0.0</v>
      </c>
      <c r="J236" s="42">
        <f>(INT($E$25*6/$D236)-INT($E$25*(6-1)/$D236))*$C236</f>
        <v>10.86</v>
      </c>
      <c r="K236" s="42">
        <f>(INT($E$25*7/$D236)-INT($E$25*(7-1)/$D236))*$C236</f>
        <v>10.86</v>
      </c>
      <c r="L236" s="42">
        <f>(INT($E$25*8/$D236)-INT($E$25*(8-1)/$D236))*$C236</f>
        <v>0.0</v>
      </c>
      <c r="M236" s="42">
        <f>(INT($E$25*9/$D236)-INT($E$25*(9-1)/$D236))*$C236</f>
        <v>10.86</v>
      </c>
      <c r="N236" s="42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44" t="n">
        <v>33.6</v>
      </c>
      <c r="D237" s="43" t="n">
        <v>21000</v>
      </c>
      <c r="E237" s="42">
        <f>(INT($E$25*1/$D237)-INT($E$25*(1-1)/$D237))*$C237</f>
        <v>0.0</v>
      </c>
      <c r="F237" s="42">
        <f>(INT($E$25*2/$D237)-INT($E$25*(2-1)/$D237))*$C237</f>
        <v>0.0</v>
      </c>
      <c r="G237" s="42">
        <f>(INT($E$25*3/$D237)-INT($E$25*(3-1)/$D237))*$C237</f>
        <v>33.6</v>
      </c>
      <c r="H237" s="42">
        <f>(INT($E$25*4/$D237)-INT($E$25*(4-1)/$D237))*$C237</f>
        <v>0.0</v>
      </c>
      <c r="I237" s="42">
        <f>(INT($E$25*5/$D237)-INT($E$25*(5-1)/$D237))*$C237</f>
        <v>0.0</v>
      </c>
      <c r="J237" s="42">
        <f>(INT($E$25*6/$D237)-INT($E$25*(6-1)/$D237))*$C237</f>
        <v>33.6</v>
      </c>
      <c r="K237" s="42">
        <f>(INT($E$25*7/$D237)-INT($E$25*(7-1)/$D237))*$C237</f>
        <v>0.0</v>
      </c>
      <c r="L237" s="42">
        <f>(INT($E$25*8/$D237)-INT($E$25*(8-1)/$D237))*$C237</f>
        <v>0.0</v>
      </c>
      <c r="M237" s="42">
        <f>(INT($E$25*9/$D237)-INT($E$25*(9-1)/$D237))*$C237</f>
        <v>33.6</v>
      </c>
      <c r="N237" s="42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44" t="n">
        <v>19.2</v>
      </c>
      <c r="D238" s="43" t="n">
        <v>15000</v>
      </c>
      <c r="E238" s="42">
        <f>(INT($E$25*1/$D238)-INT($E$25*(1-1)/$D238))*$C238</f>
        <v>0.0</v>
      </c>
      <c r="F238" s="42">
        <f>(INT($E$25*2/$D238)-INT($E$25*(2-1)/$D238))*$C238</f>
        <v>0.0</v>
      </c>
      <c r="G238" s="42">
        <f>(INT($E$25*3/$D238)-INT($E$25*(3-1)/$D238))*$C238</f>
        <v>19.2</v>
      </c>
      <c r="H238" s="42">
        <f>(INT($E$25*4/$D238)-INT($E$25*(4-1)/$D238))*$C238</f>
        <v>0.0</v>
      </c>
      <c r="I238" s="42">
        <f>(INT($E$25*5/$D238)-INT($E$25*(5-1)/$D238))*$C238</f>
        <v>19.2</v>
      </c>
      <c r="J238" s="42">
        <f>(INT($E$25*6/$D238)-INT($E$25*(6-1)/$D238))*$C238</f>
        <v>0.0</v>
      </c>
      <c r="K238" s="42">
        <f>(INT($E$25*7/$D238)-INT($E$25*(7-1)/$D238))*$C238</f>
        <v>19.2</v>
      </c>
      <c r="L238" s="42">
        <f>(INT($E$25*8/$D238)-INT($E$25*(8-1)/$D238))*$C238</f>
        <v>0.0</v>
      </c>
      <c r="M238" s="42">
        <f>(INT($E$25*9/$D238)-INT($E$25*(9-1)/$D238))*$C238</f>
        <v>19.2</v>
      </c>
      <c r="N238" s="42">
        <f>(INT($E$25*10/$D238)-INT($E$25*(10-1)/$D238))*$C238</f>
        <v>0.0</v>
      </c>
    </row>
    <row r="239">
      <c r="B239" s="22" t="inlineStr">
        <is>
          <t>TRACK GROUP (гусеница)</t>
        </is>
      </c>
      <c r="C239" s="44" t="n">
        <v>8</v>
      </c>
      <c r="D239" s="43" t="n">
        <v>15000</v>
      </c>
      <c r="E239" s="42">
        <f>(INT($E$25*1/$D239)-INT($E$25*(1-1)/$D239))*$C239</f>
        <v>0.0</v>
      </c>
      <c r="F239" s="42">
        <f>(INT($E$25*2/$D239)-INT($E$25*(2-1)/$D239))*$C239</f>
        <v>0.0</v>
      </c>
      <c r="G239" s="42">
        <f>(INT($E$25*3/$D239)-INT($E$25*(3-1)/$D239))*$C239</f>
        <v>8.0</v>
      </c>
      <c r="H239" s="42">
        <f>(INT($E$25*4/$D239)-INT($E$25*(4-1)/$D239))*$C239</f>
        <v>0.0</v>
      </c>
      <c r="I239" s="42">
        <f>(INT($E$25*5/$D239)-INT($E$25*(5-1)/$D239))*$C239</f>
        <v>8.0</v>
      </c>
      <c r="J239" s="42">
        <f>(INT($E$25*6/$D239)-INT($E$25*(6-1)/$D239))*$C239</f>
        <v>0.0</v>
      </c>
      <c r="K239" s="42">
        <f>(INT($E$25*7/$D239)-INT($E$25*(7-1)/$D239))*$C239</f>
        <v>8.0</v>
      </c>
      <c r="L239" s="42">
        <f>(INT($E$25*8/$D239)-INT($E$25*(8-1)/$D239))*$C239</f>
        <v>0.0</v>
      </c>
      <c r="M239" s="42">
        <f>(INT($E$25*9/$D239)-INT($E$25*(9-1)/$D239))*$C239</f>
        <v>8.0</v>
      </c>
      <c r="N239" s="42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44" t="n">
        <v>3</v>
      </c>
      <c r="D240" s="43" t="n">
        <v>22000</v>
      </c>
      <c r="E240" s="42">
        <f>(INT($E$25*1/$D240)-INT($E$25*(1-1)/$D240))*$C240</f>
        <v>0.0</v>
      </c>
      <c r="F240" s="42">
        <f>(INT($E$25*2/$D240)-INT($E$25*(2-1)/$D240))*$C240</f>
        <v>0.0</v>
      </c>
      <c r="G240" s="42">
        <f>(INT($E$25*3/$D240)-INT($E$25*(3-1)/$D240))*$C240</f>
        <v>0.0</v>
      </c>
      <c r="H240" s="42">
        <f>(INT($E$25*4/$D240)-INT($E$25*(4-1)/$D240))*$C240</f>
        <v>3.0</v>
      </c>
      <c r="I240" s="42">
        <f>(INT($E$25*5/$D240)-INT($E$25*(5-1)/$D240))*$C240</f>
        <v>0.0</v>
      </c>
      <c r="J240" s="42">
        <f>(INT($E$25*6/$D240)-INT($E$25*(6-1)/$D240))*$C240</f>
        <v>0.0</v>
      </c>
      <c r="K240" s="42">
        <f>(INT($E$25*7/$D240)-INT($E$25*(7-1)/$D240))*$C240</f>
        <v>3.0</v>
      </c>
      <c r="L240" s="42">
        <f>(INT($E$25*8/$D240)-INT($E$25*(8-1)/$D240))*$C240</f>
        <v>0.0</v>
      </c>
      <c r="M240" s="42">
        <f>(INT($E$25*9/$D240)-INT($E$25*(9-1)/$D240))*$C240</f>
        <v>0.0</v>
      </c>
      <c r="N240" s="42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44" t="n">
        <v>8.800000000000001</v>
      </c>
      <c r="D241" s="43" t="n">
        <v>6000</v>
      </c>
      <c r="E241" s="42">
        <f>(INT($E$25*1/$D241)-INT($E$25*(1-1)/$D241))*$C241</f>
        <v>8.8</v>
      </c>
      <c r="F241" s="42">
        <f>(INT($E$25*2/$D241)-INT($E$25*(2-1)/$D241))*$C241</f>
        <v>8.8</v>
      </c>
      <c r="G241" s="42">
        <f>(INT($E$25*3/$D241)-INT($E$25*(3-1)/$D241))*$C241</f>
        <v>8.8</v>
      </c>
      <c r="H241" s="42">
        <f>(INT($E$25*4/$D241)-INT($E$25*(4-1)/$D241))*$C241</f>
        <v>8.8</v>
      </c>
      <c r="I241" s="42">
        <f>(INT($E$25*5/$D241)-INT($E$25*(5-1)/$D241))*$C241</f>
        <v>8.8</v>
      </c>
      <c r="J241" s="42">
        <f>(INT($E$25*6/$D241)-INT($E$25*(6-1)/$D241))*$C241</f>
        <v>17.6</v>
      </c>
      <c r="K241" s="42">
        <f>(INT($E$25*7/$D241)-INT($E$25*(7-1)/$D241))*$C241</f>
        <v>8.8</v>
      </c>
      <c r="L241" s="42">
        <f>(INT($E$25*8/$D241)-INT($E$25*(8-1)/$D241))*$C241</f>
        <v>8.8</v>
      </c>
      <c r="M241" s="42">
        <f>(INT($E$25*9/$D241)-INT($E$25*(9-1)/$D241))*$C241</f>
        <v>8.8</v>
      </c>
      <c r="N241" s="42">
        <f>(INT($E$25*10/$D241)-INT($E$25*(10-1)/$D241))*$C241</f>
        <v>8.8</v>
      </c>
    </row>
    <row r="242">
      <c r="B242" s="22" t="inlineStr">
        <is>
          <t>SHIM (прокладки)</t>
        </is>
      </c>
      <c r="C242" s="44" t="n">
        <v>8.800000000000001</v>
      </c>
      <c r="D242" s="43" t="n">
        <v>6000</v>
      </c>
      <c r="E242" s="42">
        <f>(INT($E$25*1/$D242)-INT($E$25*(1-1)/$D242))*$C242</f>
        <v>8.8</v>
      </c>
      <c r="F242" s="42">
        <f>(INT($E$25*2/$D242)-INT($E$25*(2-1)/$D242))*$C242</f>
        <v>8.8</v>
      </c>
      <c r="G242" s="42">
        <f>(INT($E$25*3/$D242)-INT($E$25*(3-1)/$D242))*$C242</f>
        <v>8.8</v>
      </c>
      <c r="H242" s="42">
        <f>(INT($E$25*4/$D242)-INT($E$25*(4-1)/$D242))*$C242</f>
        <v>8.8</v>
      </c>
      <c r="I242" s="42">
        <f>(INT($E$25*5/$D242)-INT($E$25*(5-1)/$D242))*$C242</f>
        <v>8.8</v>
      </c>
      <c r="J242" s="42">
        <f>(INT($E$25*6/$D242)-INT($E$25*(6-1)/$D242))*$C242</f>
        <v>17.6</v>
      </c>
      <c r="K242" s="42">
        <f>(INT($E$25*7/$D242)-INT($E$25*(7-1)/$D242))*$C242</f>
        <v>8.8</v>
      </c>
      <c r="L242" s="42">
        <f>(INT($E$25*8/$D242)-INT($E$25*(8-1)/$D242))*$C242</f>
        <v>8.8</v>
      </c>
      <c r="M242" s="42">
        <f>(INT($E$25*9/$D242)-INT($E$25*(9-1)/$D242))*$C242</f>
        <v>8.8</v>
      </c>
      <c r="N242" s="42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44" t="n">
        <v>2.4</v>
      </c>
      <c r="D243" s="43" t="n">
        <v>6000</v>
      </c>
      <c r="E243" s="42">
        <f>(INT($E$25*1/$D243)-INT($E$25*(1-1)/$D243))*$C243</f>
        <v>2.4</v>
      </c>
      <c r="F243" s="42">
        <f>(INT($E$25*2/$D243)-INT($E$25*(2-1)/$D243))*$C243</f>
        <v>2.4</v>
      </c>
      <c r="G243" s="42">
        <f>(INT($E$25*3/$D243)-INT($E$25*(3-1)/$D243))*$C243</f>
        <v>2.4</v>
      </c>
      <c r="H243" s="42">
        <f>(INT($E$25*4/$D243)-INT($E$25*(4-1)/$D243))*$C243</f>
        <v>2.4</v>
      </c>
      <c r="I243" s="42">
        <f>(INT($E$25*5/$D243)-INT($E$25*(5-1)/$D243))*$C243</f>
        <v>2.4</v>
      </c>
      <c r="J243" s="42">
        <f>(INT($E$25*6/$D243)-INT($E$25*(6-1)/$D243))*$C243</f>
        <v>4.8</v>
      </c>
      <c r="K243" s="42">
        <f>(INT($E$25*7/$D243)-INT($E$25*(7-1)/$D243))*$C243</f>
        <v>2.4</v>
      </c>
      <c r="L243" s="42">
        <f>(INT($E$25*8/$D243)-INT($E$25*(8-1)/$D243))*$C243</f>
        <v>2.4</v>
      </c>
      <c r="M243" s="42">
        <f>(INT($E$25*9/$D243)-INT($E$25*(9-1)/$D243))*$C243</f>
        <v>2.4</v>
      </c>
      <c r="N243" s="42">
        <f>(INT($E$25*10/$D243)-INT($E$25*(10-1)/$D243))*$C243</f>
        <v>2.4</v>
      </c>
    </row>
    <row r="244">
      <c r="B244" s="22" t="inlineStr">
        <is>
          <t>SHIM, GUIDE (прокладки)</t>
        </is>
      </c>
      <c r="C244" s="44" t="n">
        <v>3.2</v>
      </c>
      <c r="D244" s="43" t="n">
        <v>6000</v>
      </c>
      <c r="E244" s="42">
        <f>(INT($E$25*1/$D244)-INT($E$25*(1-1)/$D244))*$C244</f>
        <v>3.2</v>
      </c>
      <c r="F244" s="42">
        <f>(INT($E$25*2/$D244)-INT($E$25*(2-1)/$D244))*$C244</f>
        <v>3.2</v>
      </c>
      <c r="G244" s="42">
        <f>(INT($E$25*3/$D244)-INT($E$25*(3-1)/$D244))*$C244</f>
        <v>3.2</v>
      </c>
      <c r="H244" s="42">
        <f>(INT($E$25*4/$D244)-INT($E$25*(4-1)/$D244))*$C244</f>
        <v>3.2</v>
      </c>
      <c r="I244" s="42">
        <f>(INT($E$25*5/$D244)-INT($E$25*(5-1)/$D244))*$C244</f>
        <v>3.2</v>
      </c>
      <c r="J244" s="42">
        <f>(INT($E$25*6/$D244)-INT($E$25*(6-1)/$D244))*$C244</f>
        <v>6.4</v>
      </c>
      <c r="K244" s="42">
        <f>(INT($E$25*7/$D244)-INT($E$25*(7-1)/$D244))*$C244</f>
        <v>3.2</v>
      </c>
      <c r="L244" s="42">
        <f>(INT($E$25*8/$D244)-INT($E$25*(8-1)/$D244))*$C244</f>
        <v>3.2</v>
      </c>
      <c r="M244" s="42">
        <f>(INT($E$25*9/$D244)-INT($E$25*(9-1)/$D244))*$C244</f>
        <v>3.2</v>
      </c>
      <c r="N244" s="42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44" t="n">
        <v>36</v>
      </c>
      <c r="D245" s="43" t="n">
        <v>12000</v>
      </c>
      <c r="E245" s="42">
        <f>(INT($E$25*1/$D245)-INT($E$25*(1-1)/$D245))*$C245</f>
        <v>0.0</v>
      </c>
      <c r="F245" s="42">
        <f>(INT($E$25*2/$D245)-INT($E$25*(2-1)/$D245))*$C245</f>
        <v>36.0</v>
      </c>
      <c r="G245" s="42">
        <f>(INT($E$25*3/$D245)-INT($E$25*(3-1)/$D245))*$C245</f>
        <v>0.0</v>
      </c>
      <c r="H245" s="42">
        <f>(INT($E$25*4/$D245)-INT($E$25*(4-1)/$D245))*$C245</f>
        <v>36.0</v>
      </c>
      <c r="I245" s="42">
        <f>(INT($E$25*5/$D245)-INT($E$25*(5-1)/$D245))*$C245</f>
        <v>0.0</v>
      </c>
      <c r="J245" s="42">
        <f>(INT($E$25*6/$D245)-INT($E$25*(6-1)/$D245))*$C245</f>
        <v>36.0</v>
      </c>
      <c r="K245" s="42">
        <f>(INT($E$25*7/$D245)-INT($E$25*(7-1)/$D245))*$C245</f>
        <v>36.0</v>
      </c>
      <c r="L245" s="42">
        <f>(INT($E$25*8/$D245)-INT($E$25*(8-1)/$D245))*$C245</f>
        <v>0.0</v>
      </c>
      <c r="M245" s="42">
        <f>(INT($E$25*9/$D245)-INT($E$25*(9-1)/$D245))*$C245</f>
        <v>36.0</v>
      </c>
      <c r="N245" s="42">
        <f>(INT($E$25*10/$D245)-INT($E$25*(10-1)/$D245))*$C245</f>
        <v>0.0</v>
      </c>
    </row>
    <row r="246">
      <c r="B246" s="22" t="inlineStr">
        <is>
          <t>SHEAVE W/BUSH-1 ROPE (шкив)</t>
        </is>
      </c>
      <c r="C246" s="44" t="n">
        <v>14</v>
      </c>
      <c r="D246" s="43" t="n">
        <v>15000</v>
      </c>
      <c r="E246" s="42">
        <f>(INT($E$25*1/$D246)-INT($E$25*(1-1)/$D246))*$C246</f>
        <v>0.0</v>
      </c>
      <c r="F246" s="42">
        <f>(INT($E$25*2/$D246)-INT($E$25*(2-1)/$D246))*$C246</f>
        <v>0.0</v>
      </c>
      <c r="G246" s="42">
        <f>(INT($E$25*3/$D246)-INT($E$25*(3-1)/$D246))*$C246</f>
        <v>14.0</v>
      </c>
      <c r="H246" s="42">
        <f>(INT($E$25*4/$D246)-INT($E$25*(4-1)/$D246))*$C246</f>
        <v>0.0</v>
      </c>
      <c r="I246" s="42">
        <f>(INT($E$25*5/$D246)-INT($E$25*(5-1)/$D246))*$C246</f>
        <v>14.0</v>
      </c>
      <c r="J246" s="42">
        <f>(INT($E$25*6/$D246)-INT($E$25*(6-1)/$D246))*$C246</f>
        <v>0.0</v>
      </c>
      <c r="K246" s="42">
        <f>(INT($E$25*7/$D246)-INT($E$25*(7-1)/$D246))*$C246</f>
        <v>14.0</v>
      </c>
      <c r="L246" s="42">
        <f>(INT($E$25*8/$D246)-INT($E$25*(8-1)/$D246))*$C246</f>
        <v>0.0</v>
      </c>
      <c r="M246" s="42">
        <f>(INT($E$25*9/$D246)-INT($E$25*(9-1)/$D246))*$C246</f>
        <v>14.0</v>
      </c>
      <c r="N246" s="42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44" t="n">
        <v>2.1</v>
      </c>
      <c r="D247" s="43" t="n">
        <v>12000</v>
      </c>
      <c r="E247" s="42">
        <f>(INT($E$25*1/$D247)-INT($E$25*(1-1)/$D247))*$C247</f>
        <v>0.0</v>
      </c>
      <c r="F247" s="42">
        <f>(INT($E$25*2/$D247)-INT($E$25*(2-1)/$D247))*$C247</f>
        <v>2.1</v>
      </c>
      <c r="G247" s="42">
        <f>(INT($E$25*3/$D247)-INT($E$25*(3-1)/$D247))*$C247</f>
        <v>0.0</v>
      </c>
      <c r="H247" s="42">
        <f>(INT($E$25*4/$D247)-INT($E$25*(4-1)/$D247))*$C247</f>
        <v>2.1</v>
      </c>
      <c r="I247" s="42">
        <f>(INT($E$25*5/$D247)-INT($E$25*(5-1)/$D247))*$C247</f>
        <v>0.0</v>
      </c>
      <c r="J247" s="42">
        <f>(INT($E$25*6/$D247)-INT($E$25*(6-1)/$D247))*$C247</f>
        <v>2.1</v>
      </c>
      <c r="K247" s="42">
        <f>(INT($E$25*7/$D247)-INT($E$25*(7-1)/$D247))*$C247</f>
        <v>2.1</v>
      </c>
      <c r="L247" s="42">
        <f>(INT($E$25*8/$D247)-INT($E$25*(8-1)/$D247))*$C247</f>
        <v>0.0</v>
      </c>
      <c r="M247" s="42">
        <f>(INT($E$25*9/$D247)-INT($E$25*(9-1)/$D247))*$C247</f>
        <v>2.1</v>
      </c>
      <c r="N247" s="42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44" t="n">
        <v>1.5</v>
      </c>
      <c r="D248" s="43" t="n">
        <v>8000</v>
      </c>
      <c r="E248" s="42">
        <f>(INT($E$25*1/$D248)-INT($E$25*(1-1)/$D248))*$C248</f>
        <v>0.0</v>
      </c>
      <c r="F248" s="42">
        <f>(INT($E$25*2/$D248)-INT($E$25*(2-1)/$D248))*$C248</f>
        <v>1.5</v>
      </c>
      <c r="G248" s="42">
        <f>(INT($E$25*3/$D248)-INT($E$25*(3-1)/$D248))*$C248</f>
        <v>1.5</v>
      </c>
      <c r="H248" s="42">
        <f>(INT($E$25*4/$D248)-INT($E$25*(4-1)/$D248))*$C248</f>
        <v>1.5</v>
      </c>
      <c r="I248" s="42">
        <f>(INT($E$25*5/$D248)-INT($E$25*(5-1)/$D248))*$C248</f>
        <v>1.5</v>
      </c>
      <c r="J248" s="42">
        <f>(INT($E$25*6/$D248)-INT($E$25*(6-1)/$D248))*$C248</f>
        <v>1.5</v>
      </c>
      <c r="K248" s="42">
        <f>(INT($E$25*7/$D248)-INT($E$25*(7-1)/$D248))*$C248</f>
        <v>1.5</v>
      </c>
      <c r="L248" s="42">
        <f>(INT($E$25*8/$D248)-INT($E$25*(8-1)/$D248))*$C248</f>
        <v>1.5</v>
      </c>
      <c r="M248" s="42">
        <f>(INT($E$25*9/$D248)-INT($E$25*(9-1)/$D248))*$C248</f>
        <v>0.0</v>
      </c>
      <c r="N248" s="42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44" t="n">
        <v>36</v>
      </c>
      <c r="D249" s="43" t="n">
        <v>15000</v>
      </c>
      <c r="E249" s="42">
        <f>(INT($E$25*1/$D249)-INT($E$25*(1-1)/$D249))*$C249</f>
        <v>0.0</v>
      </c>
      <c r="F249" s="42">
        <f>(INT($E$25*2/$D249)-INT($E$25*(2-1)/$D249))*$C249</f>
        <v>0.0</v>
      </c>
      <c r="G249" s="42">
        <f>(INT($E$25*3/$D249)-INT($E$25*(3-1)/$D249))*$C249</f>
        <v>36.0</v>
      </c>
      <c r="H249" s="42">
        <f>(INT($E$25*4/$D249)-INT($E$25*(4-1)/$D249))*$C249</f>
        <v>0.0</v>
      </c>
      <c r="I249" s="42">
        <f>(INT($E$25*5/$D249)-INT($E$25*(5-1)/$D249))*$C249</f>
        <v>36.0</v>
      </c>
      <c r="J249" s="42">
        <f>(INT($E$25*6/$D249)-INT($E$25*(6-1)/$D249))*$C249</f>
        <v>0.0</v>
      </c>
      <c r="K249" s="42">
        <f>(INT($E$25*7/$D249)-INT($E$25*(7-1)/$D249))*$C249</f>
        <v>36.0</v>
      </c>
      <c r="L249" s="42">
        <f>(INT($E$25*8/$D249)-INT($E$25*(8-1)/$D249))*$C249</f>
        <v>0.0</v>
      </c>
      <c r="M249" s="42">
        <f>(INT($E$25*9/$D249)-INT($E$25*(9-1)/$D249))*$C249</f>
        <v>36.0</v>
      </c>
      <c r="N249" s="42">
        <f>(INT($E$25*10/$D249)-INT($E$25*(10-1)/$D249))*$C249</f>
        <v>0.0</v>
      </c>
    </row>
    <row r="250">
      <c r="B250" s="22" t="inlineStr">
        <is>
          <t>Valve,solenoid (соленоид)</t>
        </is>
      </c>
      <c r="C250" s="44" t="n">
        <v>30</v>
      </c>
      <c r="D250" s="43" t="n">
        <v>15000</v>
      </c>
      <c r="E250" s="42">
        <f>(INT($E$25*1/$D250)-INT($E$25*(1-1)/$D250))*$C250</f>
        <v>0.0</v>
      </c>
      <c r="F250" s="42">
        <f>(INT($E$25*2/$D250)-INT($E$25*(2-1)/$D250))*$C250</f>
        <v>0.0</v>
      </c>
      <c r="G250" s="42">
        <f>(INT($E$25*3/$D250)-INT($E$25*(3-1)/$D250))*$C250</f>
        <v>30.0</v>
      </c>
      <c r="H250" s="42">
        <f>(INT($E$25*4/$D250)-INT($E$25*(4-1)/$D250))*$C250</f>
        <v>0.0</v>
      </c>
      <c r="I250" s="42">
        <f>(INT($E$25*5/$D250)-INT($E$25*(5-1)/$D250))*$C250</f>
        <v>30.0</v>
      </c>
      <c r="J250" s="42">
        <f>(INT($E$25*6/$D250)-INT($E$25*(6-1)/$D250))*$C250</f>
        <v>0.0</v>
      </c>
      <c r="K250" s="42">
        <f>(INT($E$25*7/$D250)-INT($E$25*(7-1)/$D250))*$C250</f>
        <v>30.0</v>
      </c>
      <c r="L250" s="42">
        <f>(INT($E$25*8/$D250)-INT($E$25*(8-1)/$D250))*$C250</f>
        <v>0.0</v>
      </c>
      <c r="M250" s="42">
        <f>(INT($E$25*9/$D250)-INT($E$25*(9-1)/$D250))*$C250</f>
        <v>30.0</v>
      </c>
      <c r="N250" s="42">
        <f>(INT($E$25*10/$D250)-INT($E$25*(10-1)/$D250))*$C250</f>
        <v>0.0</v>
      </c>
    </row>
    <row r="251">
      <c r="B251" s="45" t="inlineStr">
        <is>
          <t>ИТОГО</t>
        </is>
      </c>
      <c r="E251" s="42">
        <f>SUM(E192:E250)</f>
        <v>36.60000000000001</v>
      </c>
      <c r="F251" s="42">
        <f>SUM(F192:F250)</f>
        <v>192.66</v>
      </c>
      <c r="G251" s="42">
        <f>SUM(G192:G250)</f>
        <v>330.45</v>
      </c>
      <c r="H251" s="42">
        <f>SUM(H192:H250)</f>
        <v>188.56</v>
      </c>
      <c r="I251" s="42">
        <f>SUM(I192:I250)</f>
        <v>267.75</v>
      </c>
      <c r="J251" s="42">
        <f>SUM(J192:J250)</f>
        <v>319.96000000000004</v>
      </c>
      <c r="K251" s="42">
        <f>SUM(K192:K250)</f>
        <v>300.71</v>
      </c>
      <c r="L251" s="42">
        <f>SUM(L192:L250)</f>
        <v>155.4</v>
      </c>
      <c r="M251" s="42">
        <f>SUM(M192:M250)</f>
        <v>403.40999999999997</v>
      </c>
      <c r="N251" s="42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4" t="inlineStr">
        <is>
          <t>шт./тыс.пог.м</t>
        </is>
      </c>
      <c r="D255" s="46" t="n">
        <v>0</v>
      </c>
      <c r="E255" s="44" t="n">
        <v>0</v>
      </c>
    </row>
    <row r="256">
      <c r="B256" s="22" t="inlineStr">
        <is>
          <t>Штанги буровые / адаптеры</t>
        </is>
      </c>
      <c r="C256" s="24" t="inlineStr">
        <is>
          <t>шт./тыс.пог.м</t>
        </is>
      </c>
      <c r="D256" s="46" t="n">
        <v>0</v>
      </c>
      <c r="E256" s="44" t="n">
        <v>0</v>
      </c>
    </row>
    <row r="257">
      <c r="B257" s="22" t="inlineStr">
        <is>
          <t>Прочие расходники</t>
        </is>
      </c>
      <c r="C257" s="24" t="inlineStr">
        <is>
          <t>руб/пог.м</t>
        </is>
      </c>
      <c r="D257" s="44" t="n">
        <v>0</v>
      </c>
    </row>
    <row r="259">
      <c r="B259" s="47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N2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ПОГОДОВЫЕ ДАННЫЕ ЭКСПЛУАТАЦИИ (СВОДКА)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Автоматически из листов «Поставщик 1…5». Правьте данные там, здесь — только просмотр.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48" t="inlineStr">
        <is>
          <t>Значения ТЯНУТСЯ из листов «Поставщик 1…5» (КТГ и ИТОГО ТОиР — авто). Чтобы изменить данные по машине — откройте её лист и правьте жёлтые ячейки; сводка и расчёт обновятся сами.</t>
        </is>
      </c>
    </row>
    <row r="5">
      <c r="B5" s="15" t="inlineStr">
        <is>
          <t>Показатель</t>
        </is>
      </c>
      <c r="C5" s="15" t="inlineStr">
        <is>
          <t>Ед.</t>
        </is>
      </c>
      <c r="D5" s="15" t="inlineStr">
        <is>
          <t>Валюта</t>
        </is>
      </c>
      <c r="E5" s="15" t="inlineStr">
        <is>
          <t>год 1</t>
        </is>
      </c>
      <c r="F5" s="15" t="inlineStr">
        <is>
          <t>год 2</t>
        </is>
      </c>
      <c r="G5" s="15" t="inlineStr">
        <is>
          <t>год 3</t>
        </is>
      </c>
      <c r="H5" s="15" t="inlineStr">
        <is>
          <t>год 4</t>
        </is>
      </c>
      <c r="I5" s="15" t="inlineStr">
        <is>
          <t>год 5</t>
        </is>
      </c>
      <c r="J5" s="15" t="inlineStr">
        <is>
          <t>год 6</t>
        </is>
      </c>
      <c r="K5" s="15" t="inlineStr">
        <is>
          <t>год 7</t>
        </is>
      </c>
      <c r="L5" s="15" t="inlineStr">
        <is>
          <t>год 8</t>
        </is>
      </c>
      <c r="M5" s="15" t="inlineStr">
        <is>
          <t>год 9</t>
        </is>
      </c>
      <c r="N5" s="15" t="inlineStr">
        <is>
          <t>год 10</t>
        </is>
      </c>
    </row>
    <row r="6">
      <c r="B6" s="5" t="str">
        <f>"Вариант 1:  "&amp;'Ввод данных'!D7</f>
        <v>Вариант 1:  YANGZI DR75
(аналог Epiroc DM75)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B7" s="22" t="inlineStr">
        <is>
          <t>КТГ (техготовность)</t>
        </is>
      </c>
      <c r="C7" s="24" t="inlineStr">
        <is>
          <t>коэф.</t>
        </is>
      </c>
      <c r="E7" s="49">
        <f>'Поставщик 1'!E11</f>
        <v>0.9309</v>
      </c>
      <c r="F7" s="49">
        <f>'Поставщик 1'!F11</f>
        <v>0.9172</v>
      </c>
      <c r="G7" s="49">
        <f>'Поставщик 1'!G11</f>
        <v>0.9309</v>
      </c>
      <c r="H7" s="49">
        <f>'Поставщик 1'!H11</f>
        <v>0.9172</v>
      </c>
      <c r="I7" s="49">
        <f>'Поставщик 1'!I11</f>
        <v>0.8865</v>
      </c>
      <c r="J7" s="49">
        <f>'Поставщик 1'!J11</f>
        <v>0.9172</v>
      </c>
      <c r="K7" s="49">
        <f>'Поставщик 1'!K11</f>
        <v>0.8506</v>
      </c>
      <c r="L7" s="49">
        <f>'Поставщик 1'!L11</f>
        <v>0.9198</v>
      </c>
      <c r="M7" s="49">
        <f>'Поставщик 1'!M11</f>
        <v>0.9283</v>
      </c>
      <c r="N7" s="49">
        <f>'Поставщик 1'!N11</f>
        <v>0.8532</v>
      </c>
    </row>
    <row r="8">
      <c r="B8" s="22" t="inlineStr">
        <is>
          <t>Затраты на ТОиР и сервис</t>
        </is>
      </c>
      <c r="C8" s="24" t="inlineStr">
        <is>
          <t>тыс.вал/г</t>
        </is>
      </c>
      <c r="D8" s="50" t="str">
        <f>'Поставщик 1'!$D$5</f>
        <v>EUR</v>
      </c>
      <c r="E8" s="51">
        <f>'Поставщик 1'!E20</f>
        <v>88.48816679590111</v>
      </c>
      <c r="F8" s="51">
        <f>'Поставщик 1'!F20</f>
        <v>213.86082562677373</v>
      </c>
      <c r="G8" s="51">
        <f>'Поставщик 1'!G20</f>
        <v>368.1025173653353</v>
      </c>
      <c r="H8" s="51">
        <f>'Поставщик 1'!H20</f>
        <v>321.3012313589002</v>
      </c>
      <c r="I8" s="51">
        <f>'Поставщик 1'!I20</f>
        <v>446.0505984322938</v>
      </c>
      <c r="J8" s="51">
        <f>'Поставщик 1'!J20</f>
        <v>298.42016162325933</v>
      </c>
      <c r="K8" s="51">
        <f>'Поставщик 1'!K20</f>
        <v>437.90243180637304</v>
      </c>
      <c r="L8" s="51">
        <f>'Поставщик 1'!L20</f>
        <v>222.39861226546145</v>
      </c>
      <c r="M8" s="51">
        <f>'Поставщик 1'!M20</f>
        <v>510.81187060571824</v>
      </c>
      <c r="N8" s="51">
        <f>'Поставщик 1'!N20</f>
        <v>274.6556473504368</v>
      </c>
    </row>
    <row r="9">
      <c r="B9" s="22" t="inlineStr">
        <is>
          <t>Удельный расход ДТ/энергии</t>
        </is>
      </c>
      <c r="C9" s="24" t="inlineStr">
        <is>
          <t>кг/час</t>
        </is>
      </c>
      <c r="E9" s="52">
        <f>'Поставщик 1'!E21</f>
        <v>66.3</v>
      </c>
      <c r="F9" s="52">
        <f>'Поставщик 1'!F21</f>
        <v>66.3</v>
      </c>
      <c r="G9" s="52">
        <f>'Поставщик 1'!G21</f>
        <v>66.3</v>
      </c>
      <c r="H9" s="52">
        <f>'Поставщик 1'!H21</f>
        <v>66.3</v>
      </c>
      <c r="I9" s="52">
        <f>'Поставщик 1'!I21</f>
        <v>66.3</v>
      </c>
      <c r="J9" s="52">
        <f>'Поставщик 1'!J21</f>
        <v>66.3</v>
      </c>
      <c r="K9" s="52">
        <f>'Поставщик 1'!K21</f>
        <v>66.3</v>
      </c>
      <c r="L9" s="52">
        <f>'Поставщик 1'!L21</f>
        <v>66.3</v>
      </c>
      <c r="M9" s="52">
        <f>'Поставщик 1'!M21</f>
        <v>66.3</v>
      </c>
      <c r="N9" s="52">
        <f>'Поставщик 1'!N21</f>
        <v>66.3</v>
      </c>
    </row>
    <row r="10">
      <c r="B10" s="5" t="str">
        <f>"Вариант 2:  "&amp;'Ввод данных'!E7</f>
        <v>Вариант 2:  Sunward
SWDRT250SM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B11" s="22" t="inlineStr">
        <is>
          <t>КТГ (техготовность)</t>
        </is>
      </c>
      <c r="C11" s="24" t="inlineStr">
        <is>
          <t>коэф.</t>
        </is>
      </c>
      <c r="E11" s="49">
        <f>'Поставщик 2'!E11</f>
        <v>0.8948</v>
      </c>
      <c r="F11" s="49">
        <f>'Поставщик 2'!F11</f>
        <v>0.8654</v>
      </c>
      <c r="G11" s="49">
        <f>'Поставщик 2'!G11</f>
        <v>0.8454</v>
      </c>
      <c r="H11" s="49">
        <f>'Поставщик 2'!H11</f>
        <v>0.8748</v>
      </c>
      <c r="I11" s="49">
        <f>'Поставщик 2'!I11</f>
        <v>0.8654</v>
      </c>
      <c r="J11" s="49">
        <f>'Поставщик 2'!J11</f>
        <v>0.8432</v>
      </c>
      <c r="K11" s="49">
        <f>'Поставщик 2'!K11</f>
        <v>0.8621</v>
      </c>
      <c r="L11" s="49">
        <f>'Поставщик 2'!L11</f>
        <v>0.8654</v>
      </c>
      <c r="M11" s="49">
        <f>'Поставщик 2'!M11</f>
        <v>0.8498</v>
      </c>
      <c r="N11" s="49">
        <f>'Поставщик 2'!N11</f>
        <v>0.8543</v>
      </c>
    </row>
    <row r="12">
      <c r="B12" s="22" t="inlineStr">
        <is>
          <t>Затраты на ТОиР и сервис</t>
        </is>
      </c>
      <c r="C12" s="24" t="inlineStr">
        <is>
          <t>тыс.вал/г</t>
        </is>
      </c>
      <c r="D12" s="50" t="str">
        <f>'Поставщик 2'!$D$5</f>
        <v>EUR</v>
      </c>
      <c r="E12" s="51">
        <f>'Поставщик 2'!E20</f>
        <v>156.0495651578659</v>
      </c>
      <c r="F12" s="51">
        <f>'Поставщик 2'!F20</f>
        <v>377.14521671959994</v>
      </c>
      <c r="G12" s="51">
        <f>'Поставщик 2'!G20</f>
        <v>649.1516306453437</v>
      </c>
      <c r="H12" s="51">
        <f>'Поставщик 2'!H20</f>
        <v>566.6172015280778</v>
      </c>
      <c r="I12" s="51">
        <f>'Поставщик 2'!I20</f>
        <v>786.6136732644975</v>
      </c>
      <c r="J12" s="51">
        <f>'Поставщик 2'!J20</f>
        <v>526.2662584372445</v>
      </c>
      <c r="K12" s="51">
        <f>'Поставщик 2'!K20</f>
        <v>772.2443185264619</v>
      </c>
      <c r="L12" s="51">
        <f>'Поставщик 2'!L20</f>
        <v>392.2016693575087</v>
      </c>
      <c r="M12" s="51">
        <f>'Поставщик 2'!M20</f>
        <v>900.8206766149299</v>
      </c>
      <c r="N12" s="51">
        <f>'Поставщик 2'!N20</f>
        <v>484.3573540860512</v>
      </c>
    </row>
    <row r="13">
      <c r="B13" s="22" t="inlineStr">
        <is>
          <t>Удельный расход ДТ/энергии</t>
        </is>
      </c>
      <c r="C13" s="24" t="inlineStr">
        <is>
          <t>кг/час</t>
        </is>
      </c>
      <c r="E13" s="52">
        <f>'Поставщик 2'!E21</f>
        <v>38.7</v>
      </c>
      <c r="F13" s="52">
        <f>'Поставщик 2'!F21</f>
        <v>38.7</v>
      </c>
      <c r="G13" s="52">
        <f>'Поставщик 2'!G21</f>
        <v>38.7</v>
      </c>
      <c r="H13" s="52">
        <f>'Поставщик 2'!H21</f>
        <v>38.7</v>
      </c>
      <c r="I13" s="52">
        <f>'Поставщик 2'!I21</f>
        <v>38.7</v>
      </c>
      <c r="J13" s="52">
        <f>'Поставщик 2'!J21</f>
        <v>38.7</v>
      </c>
      <c r="K13" s="52">
        <f>'Поставщик 2'!K21</f>
        <v>38.7</v>
      </c>
      <c r="L13" s="52">
        <f>'Поставщик 2'!L21</f>
        <v>38.7</v>
      </c>
      <c r="M13" s="52">
        <f>'Поставщик 2'!M21</f>
        <v>38.7</v>
      </c>
      <c r="N13" s="52">
        <f>'Поставщик 2'!N21</f>
        <v>38.7</v>
      </c>
    </row>
    <row r="14">
      <c r="B14" s="5" t="str">
        <f>"Вариант 3:  "&amp;'Ввод данных'!F7</f>
        <v>Вариант 3:  Sunward
SWDRT270SM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B15" s="22" t="inlineStr">
        <is>
          <t>КТГ (техготовность)</t>
        </is>
      </c>
      <c r="C15" s="24" t="inlineStr">
        <is>
          <t>коэф.</t>
        </is>
      </c>
      <c r="E15" s="49">
        <f>'Поставщик 3'!E11</f>
        <v>0.8948</v>
      </c>
      <c r="F15" s="49">
        <f>'Поставщик 3'!F11</f>
        <v>0.8654</v>
      </c>
      <c r="G15" s="49">
        <f>'Поставщик 3'!G11</f>
        <v>0.8454</v>
      </c>
      <c r="H15" s="49">
        <f>'Поставщик 3'!H11</f>
        <v>0.8748</v>
      </c>
      <c r="I15" s="49">
        <f>'Поставщик 3'!I11</f>
        <v>0.8654</v>
      </c>
      <c r="J15" s="49">
        <f>'Поставщик 3'!J11</f>
        <v>0.8432</v>
      </c>
      <c r="K15" s="49">
        <f>'Поставщик 3'!K11</f>
        <v>0.8621</v>
      </c>
      <c r="L15" s="49">
        <f>'Поставщик 3'!L11</f>
        <v>0.8654</v>
      </c>
      <c r="M15" s="49">
        <f>'Поставщик 3'!M11</f>
        <v>0.8498</v>
      </c>
      <c r="N15" s="49">
        <f>'Поставщик 3'!N11</f>
        <v>0.8543</v>
      </c>
    </row>
    <row r="16">
      <c r="B16" s="22" t="inlineStr">
        <is>
          <t>Затраты на ТОиР и сервис</t>
        </is>
      </c>
      <c r="C16" s="24" t="inlineStr">
        <is>
          <t>тыс.вал/г</t>
        </is>
      </c>
      <c r="D16" s="50" t="str">
        <f>'Поставщик 3'!$D$5</f>
        <v>EUR</v>
      </c>
      <c r="E16" s="51">
        <f>'Поставщик 3'!E20</f>
        <v>156.0495651578659</v>
      </c>
      <c r="F16" s="51">
        <f>'Поставщик 3'!F20</f>
        <v>377.14521671959994</v>
      </c>
      <c r="G16" s="51">
        <f>'Поставщик 3'!G20</f>
        <v>649.1516306453437</v>
      </c>
      <c r="H16" s="51">
        <f>'Поставщик 3'!H20</f>
        <v>566.6172015280778</v>
      </c>
      <c r="I16" s="51">
        <f>'Поставщик 3'!I20</f>
        <v>786.6136732644975</v>
      </c>
      <c r="J16" s="51">
        <f>'Поставщик 3'!J20</f>
        <v>526.2662584372445</v>
      </c>
      <c r="K16" s="51">
        <f>'Поставщик 3'!K20</f>
        <v>772.2443185264619</v>
      </c>
      <c r="L16" s="51">
        <f>'Поставщик 3'!L20</f>
        <v>392.2016693575087</v>
      </c>
      <c r="M16" s="51">
        <f>'Поставщик 3'!M20</f>
        <v>900.8206766149299</v>
      </c>
      <c r="N16" s="51">
        <f>'Поставщик 3'!N20</f>
        <v>484.3573540860512</v>
      </c>
    </row>
    <row r="17">
      <c r="B17" s="22" t="inlineStr">
        <is>
          <t>Удельный расход ДТ/энергии</t>
        </is>
      </c>
      <c r="C17" s="24" t="inlineStr">
        <is>
          <t>кг/час</t>
        </is>
      </c>
      <c r="E17" s="52">
        <f>'Поставщик 3'!E21</f>
        <v>50.1</v>
      </c>
      <c r="F17" s="52">
        <f>'Поставщик 3'!F21</f>
        <v>50.1</v>
      </c>
      <c r="G17" s="52">
        <f>'Поставщик 3'!G21</f>
        <v>50.1</v>
      </c>
      <c r="H17" s="52">
        <f>'Поставщик 3'!H21</f>
        <v>50.1</v>
      </c>
      <c r="I17" s="52">
        <f>'Поставщик 3'!I21</f>
        <v>50.1</v>
      </c>
      <c r="J17" s="52">
        <f>'Поставщик 3'!J21</f>
        <v>50.1</v>
      </c>
      <c r="K17" s="52">
        <f>'Поставщик 3'!K21</f>
        <v>50.1</v>
      </c>
      <c r="L17" s="52">
        <f>'Поставщик 3'!L21</f>
        <v>50.1</v>
      </c>
      <c r="M17" s="52">
        <f>'Поставщик 3'!M21</f>
        <v>50.1</v>
      </c>
      <c r="N17" s="52">
        <f>'Поставщик 3'!N21</f>
        <v>50.1</v>
      </c>
    </row>
    <row r="18">
      <c r="B18" s="5" t="str">
        <f>"Вариант 4:  "&amp;'Ввод данных'!G7</f>
        <v>Вариант 4:  Sunward
SWDRT270B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22" t="inlineStr">
        <is>
          <t>КТГ (техготовность)</t>
        </is>
      </c>
      <c r="C19" s="24" t="inlineStr">
        <is>
          <t>коэф.</t>
        </is>
      </c>
      <c r="E19" s="49">
        <f>'Поставщик 4'!E11</f>
        <v>0.93</v>
      </c>
      <c r="F19" s="49">
        <f>'Поставщик 4'!F11</f>
        <v>0.93</v>
      </c>
      <c r="G19" s="49">
        <f>'Поставщик 4'!G11</f>
        <v>0.92</v>
      </c>
      <c r="H19" s="49">
        <f>'Поставщик 4'!H11</f>
        <v>0.92</v>
      </c>
      <c r="I19" s="49">
        <f>'Поставщик 4'!I11</f>
        <v>0.87</v>
      </c>
      <c r="J19" s="49">
        <f>'Поставщик 4'!J11</f>
        <v>0.9</v>
      </c>
      <c r="K19" s="49">
        <f>'Поставщик 4'!K11</f>
        <v>0.85</v>
      </c>
      <c r="L19" s="49">
        <f>'Поставщик 4'!L11</f>
        <v>0.9</v>
      </c>
      <c r="M19" s="49">
        <f>'Поставщик 4'!M11</f>
        <v>0.9</v>
      </c>
      <c r="N19" s="49">
        <f>'Поставщик 4'!N11</f>
        <v>0.85</v>
      </c>
    </row>
    <row r="20">
      <c r="B20" s="22" t="inlineStr">
        <is>
          <t>Затраты на ТОиР и сервис</t>
        </is>
      </c>
      <c r="C20" s="24" t="inlineStr">
        <is>
          <t>тыс.вал/г</t>
        </is>
      </c>
      <c r="D20" s="50" t="str">
        <f>'Поставщик 4'!$D$5</f>
        <v>EUR</v>
      </c>
      <c r="E20" s="51">
        <f>'Поставщик 4'!E20</f>
        <v>200.84385370956457</v>
      </c>
      <c r="F20" s="51">
        <f>'Поставщик 4'!F20</f>
        <v>485.4053816648857</v>
      </c>
      <c r="G20" s="51">
        <f>'Поставщик 4'!G20</f>
        <v>835.4916914299828</v>
      </c>
      <c r="H20" s="51">
        <f>'Поставщик 4'!H20</f>
        <v>729.2656164591161</v>
      </c>
      <c r="I20" s="51">
        <f>'Поставщик 4'!I20</f>
        <v>1012.412443182732</v>
      </c>
      <c r="J20" s="51">
        <f>'Поставщик 4'!J20</f>
        <v>677.3318676980754</v>
      </c>
      <c r="K20" s="51">
        <f>'Поставщик 4'!K20</f>
        <v>993.9183411454255</v>
      </c>
      <c r="L20" s="51">
        <f>'Поставщик 4'!L20</f>
        <v>504.7838142028677</v>
      </c>
      <c r="M20" s="51">
        <f>'Поставщик 4'!M20</f>
        <v>1159.4027577684678</v>
      </c>
      <c r="N20" s="51">
        <f>'Поставщик 4'!N20</f>
        <v>623.3929422923936</v>
      </c>
    </row>
    <row r="21">
      <c r="B21" s="22" t="inlineStr">
        <is>
          <t>Удельный расход ДТ/энергии</t>
        </is>
      </c>
      <c r="C21" s="24" t="inlineStr">
        <is>
          <t>кг/час</t>
        </is>
      </c>
      <c r="E21" s="52">
        <f>'Поставщик 4'!E21</f>
        <v>74.8</v>
      </c>
      <c r="F21" s="52">
        <f>'Поставщик 4'!F21</f>
        <v>74.8</v>
      </c>
      <c r="G21" s="52">
        <f>'Поставщик 4'!G21</f>
        <v>74.8</v>
      </c>
      <c r="H21" s="52">
        <f>'Поставщик 4'!H21</f>
        <v>74.8</v>
      </c>
      <c r="I21" s="52">
        <f>'Поставщик 4'!I21</f>
        <v>74.8</v>
      </c>
      <c r="J21" s="52">
        <f>'Поставщик 4'!J21</f>
        <v>74.8</v>
      </c>
      <c r="K21" s="52">
        <f>'Поставщик 4'!K21</f>
        <v>74.8</v>
      </c>
      <c r="L21" s="52">
        <f>'Поставщик 4'!L21</f>
        <v>74.8</v>
      </c>
      <c r="M21" s="52">
        <f>'Поставщик 4'!M21</f>
        <v>74.8</v>
      </c>
      <c r="N21" s="52">
        <f>'Поставщик 4'!N21</f>
        <v>74.8</v>
      </c>
    </row>
    <row r="22">
      <c r="B22" s="5" t="str">
        <f>"Вариант 5:  "&amp;'Ввод данных'!H7</f>
        <v>Вариант 5:  HIFO 75D
(аналог DM75)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B23" s="22" t="inlineStr">
        <is>
          <t>КТГ (техготовность)</t>
        </is>
      </c>
      <c r="C23" s="24" t="inlineStr">
        <is>
          <t>коэф.</t>
        </is>
      </c>
      <c r="E23" s="49">
        <f>'Поставщик 5'!E11</f>
        <v>0.8932</v>
      </c>
      <c r="F23" s="49">
        <f>'Поставщик 5'!F11</f>
        <v>0.867</v>
      </c>
      <c r="G23" s="49">
        <f>'Поставщик 5'!G11</f>
        <v>0.8536</v>
      </c>
      <c r="H23" s="49">
        <f>'Поставщик 5'!H11</f>
        <v>0.8651</v>
      </c>
      <c r="I23" s="49">
        <f>'Поставщик 5'!I11</f>
        <v>0.8702</v>
      </c>
      <c r="J23" s="49">
        <f>'Поставщик 5'!J11</f>
        <v>0.8443</v>
      </c>
      <c r="K23" s="49">
        <f>'Поставщик 5'!K11</f>
        <v>0.8584</v>
      </c>
      <c r="L23" s="49">
        <f>'Поставщик 5'!L11</f>
        <v>0.8706</v>
      </c>
      <c r="M23" s="49">
        <f>'Поставщик 5'!M11</f>
        <v>0.8529</v>
      </c>
      <c r="N23" s="49">
        <f>'Поставщик 5'!N11</f>
        <v>0.8527</v>
      </c>
    </row>
    <row r="24">
      <c r="B24" s="22" t="inlineStr">
        <is>
          <t>Затраты на ТОиР и сервис</t>
        </is>
      </c>
      <c r="C24" s="24" t="inlineStr">
        <is>
          <t>тыс.вал/г</t>
        </is>
      </c>
      <c r="D24" s="50" t="str">
        <f>'Поставщик 5'!$D$5</f>
        <v>EUR</v>
      </c>
      <c r="E24" s="51">
        <f>'Поставщик 5'!E20</f>
        <v>154.93018225886115</v>
      </c>
      <c r="F24" s="51">
        <f>'Поставщик 5'!F20</f>
        <v>374.43985893401253</v>
      </c>
      <c r="G24" s="51">
        <f>'Поставщик 5'!G20</f>
        <v>644.4951022309881</v>
      </c>
      <c r="H24" s="51">
        <f>'Поставщик 5'!H20</f>
        <v>562.5527133955359</v>
      </c>
      <c r="I24" s="51">
        <f>'Поставщик 5'!I20</f>
        <v>780.9710949395607</v>
      </c>
      <c r="J24" s="51">
        <f>'Поставщик 5'!J20</f>
        <v>522.4912177992144</v>
      </c>
      <c r="K24" s="51">
        <f>'Поставщик 5'!K20</f>
        <v>766.7048152081566</v>
      </c>
      <c r="L24" s="51">
        <f>'Поставщик 5'!L20</f>
        <v>389.38830783871316</v>
      </c>
      <c r="M24" s="51">
        <f>'Поставщик 5'!M20</f>
        <v>894.3588626428592</v>
      </c>
      <c r="N24" s="51">
        <f>'Поставщик 5'!N20</f>
        <v>480.88293659169534</v>
      </c>
    </row>
    <row r="25">
      <c r="B25" s="22" t="inlineStr">
        <is>
          <t>Удельный расход ДТ/энергии</t>
        </is>
      </c>
      <c r="C25" s="24" t="inlineStr">
        <is>
          <t>кг/час</t>
        </is>
      </c>
      <c r="E25" s="52">
        <f>'Поставщик 5'!E21</f>
        <v>93.5</v>
      </c>
      <c r="F25" s="52">
        <f>'Поставщик 5'!F21</f>
        <v>93.5</v>
      </c>
      <c r="G25" s="52">
        <f>'Поставщик 5'!G21</f>
        <v>93.5</v>
      </c>
      <c r="H25" s="52">
        <f>'Поставщик 5'!H21</f>
        <v>93.5</v>
      </c>
      <c r="I25" s="52">
        <f>'Поставщик 5'!I21</f>
        <v>93.5</v>
      </c>
      <c r="J25" s="52">
        <f>'Поставщик 5'!J21</f>
        <v>93.5</v>
      </c>
      <c r="K25" s="52">
        <f>'Поставщик 5'!K21</f>
        <v>93.5</v>
      </c>
      <c r="L25" s="52">
        <f>'Поставщик 5'!L21</f>
        <v>93.5</v>
      </c>
      <c r="M25" s="52">
        <f>'Поставщик 5'!M21</f>
        <v>93.5</v>
      </c>
      <c r="N25" s="52">
        <f>'Поставщик 5'!N21</f>
        <v>93.5</v>
      </c>
    </row>
  </sheetData>
  <mergeCells count="8">
    <mergeCell ref="B22:N22"/>
    <mergeCell ref="B14:N14"/>
    <mergeCell ref="B1:N1"/>
    <mergeCell ref="B4:N4"/>
    <mergeCell ref="B18:N18"/>
    <mergeCell ref="B6:N6"/>
    <mergeCell ref="B2:N2"/>
    <mergeCell ref="B10:N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РАСЧЁТ ПРОИЗВОДИТЕЛЬНОСТИ (методика бурения)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Часовая производительность (п.м/час) — физика бурения (геометрия неизменна по годам); полная погодовая таблица — с КТГ по годам.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YANGZI DR75
(аналог Epiroc DM75)</v>
      </c>
      <c r="E4" s="15" t="str">
        <f>'Ввод данных'!E7</f>
        <v>Sunward
SWDRT250SM</v>
      </c>
      <c r="F4" s="15" t="str">
        <f>'Ввод данных'!F7</f>
        <v>Sunward
SWDRT270SM</v>
      </c>
      <c r="G4" s="15" t="str">
        <f>'Ввод данных'!G7</f>
        <v>Sunward
SWDRT270B</v>
      </c>
      <c r="H4" s="15" t="str">
        <f>'Ввод данных'!H7</f>
        <v>HIFO 75D
(аналог DM75)</v>
      </c>
    </row>
    <row r="5">
      <c r="B5" s="53" t="inlineStr">
        <is>
          <t>Стоимость в рублях</t>
        </is>
      </c>
      <c r="C5" s="24" t="inlineStr">
        <is>
          <t>тыс.руб</t>
        </is>
      </c>
      <c r="D5" s="54">
        <f>'Ввод данных'!D11*IF('Ввод данных'!D12="CNY",'Параметры'!C21,IF('Ввод данных'!D12="USD",'Параметры'!C22,IF('Ввод данных'!D12="EUR",'Параметры'!C23,1)))+'Ввод данных'!D13</f>
        <v>152000.0</v>
      </c>
      <c r="E5" s="54">
        <f>'Ввод данных'!E11*IF('Ввод данных'!E12="CNY",'Параметры'!C21,IF('Ввод данных'!E12="USD",'Параметры'!C22,IF('Ввод данных'!E12="EUR",'Параметры'!C23,1)))+'Ввод данных'!E13</f>
        <v>112000.0</v>
      </c>
      <c r="F5" s="54">
        <f>'Ввод данных'!F11*IF('Ввод данных'!F12="CNY",'Параметры'!C21,IF('Ввод данных'!F12="USD",'Параметры'!C22,IF('Ввод данных'!F12="EUR",'Параметры'!C23,1)))+'Ввод данных'!F13</f>
        <v>136000.0</v>
      </c>
      <c r="G5" s="54">
        <f>'Ввод данных'!G11*IF('Ввод данных'!G12="CNY",'Параметры'!C21,IF('Ввод данных'!G12="USD",'Параметры'!C22,IF('Ввод данных'!G12="EUR",'Параметры'!C23,1)))+'Ввод данных'!G13</f>
        <v>136000.0</v>
      </c>
      <c r="H5" s="54">
        <f>'Ввод данных'!H11*IF('Ввод данных'!H12="CNY",'Параметры'!C21,IF('Ввод данных'!H12="USD",'Параметры'!C22,IF('Ввод данных'!H12="EUR",'Параметры'!C23,1)))+'Ввод данных'!H13</f>
        <v>132000.0</v>
      </c>
    </row>
    <row r="6">
      <c r="B6" s="22" t="inlineStr">
        <is>
          <t>Диаметр заряда</t>
        </is>
      </c>
      <c r="C6" s="24" t="inlineStr">
        <is>
          <t>м</t>
        </is>
      </c>
      <c r="D6" s="55">
        <f>'Ввод данных'!D17*'Параметры'!C30</f>
        <v>0.28035000000000004</v>
      </c>
      <c r="E6" s="55">
        <f>'Ввод данных'!E17*'Параметры'!C30</f>
        <v>0.28035000000000004</v>
      </c>
      <c r="F6" s="55">
        <f>'Ввод данных'!F17*'Параметры'!C30</f>
        <v>0.28035000000000004</v>
      </c>
      <c r="G6" s="55">
        <f>'Ввод данных'!G17*'Параметры'!C30</f>
        <v>0.28035000000000004</v>
      </c>
      <c r="H6" s="55">
        <f>'Ввод данных'!H17*'Параметры'!C30</f>
        <v>0.28035000000000004</v>
      </c>
    </row>
    <row r="7">
      <c r="B7" s="22" t="inlineStr">
        <is>
          <t>Теор. скорость бурения (КЗД, КИО=1)</t>
        </is>
      </c>
      <c r="C7" s="24" t="inlineStr">
        <is>
          <t>п.м/час</t>
        </is>
      </c>
      <c r="D7" s="56">
        <f>(0.1*'Ввод данных'!D16)/(POWER(2.73,0.017*'Параметры'!C29)*D6^2)</f>
        <v>18.802618635188317</v>
      </c>
      <c r="E7" s="56">
        <f>(0.1*'Ввод данных'!E16)/(POWER(2.73,0.017*'Параметры'!C29)*E6^2)</f>
        <v>20.503149585282554</v>
      </c>
      <c r="F7" s="56">
        <f>(0.1*'Ввод данных'!F16)/(POWER(2.73,0.017*'Параметры'!C29)*F6^2)</f>
        <v>23.9733387598651</v>
      </c>
      <c r="G7" s="56">
        <f>(0.1*'Ввод данных'!G16)/(POWER(2.73,0.017*'Параметры'!C29)*G6^2)</f>
        <v>23.9733387598651</v>
      </c>
      <c r="H7" s="56">
        <f>(0.1*'Ввод данных'!H16)/(POWER(2.73,0.017*'Параметры'!C29)*H6^2)</f>
        <v>18.802618635188317</v>
      </c>
    </row>
    <row r="8">
      <c r="B8" s="22" t="inlineStr">
        <is>
          <t>Время бурения скважины</t>
        </is>
      </c>
      <c r="C8" s="24" t="inlineStr">
        <is>
          <t>мин</t>
        </is>
      </c>
      <c r="D8" s="56">
        <f>'Параметры'!C31/D7*60</f>
        <v>51.56728532404705</v>
      </c>
      <c r="E8" s="56">
        <f>'Параметры'!C31/E7*60</f>
        <v>47.29029537471611</v>
      </c>
      <c r="F8" s="56">
        <f>'Параметры'!C31/F7*60</f>
        <v>40.444929665919254</v>
      </c>
      <c r="G8" s="56">
        <f>'Параметры'!C31/G7*60</f>
        <v>40.444929665919254</v>
      </c>
      <c r="H8" s="56">
        <f>'Параметры'!C31/H7*60</f>
        <v>51.56728532404705</v>
      </c>
    </row>
    <row r="9">
      <c r="B9" s="22" t="inlineStr">
        <is>
          <t>Время подъёма става</t>
        </is>
      </c>
      <c r="C9" s="24" t="inlineStr">
        <is>
          <t>мин</t>
        </is>
      </c>
      <c r="D9" s="56">
        <f>'Параметры'!C31/('Ввод данных'!D18*'Параметры'!C32)</f>
        <v>0.39223300970873787</v>
      </c>
      <c r="E9" s="56">
        <f>'Параметры'!C31/('Ввод данных'!E18*'Параметры'!C32)</f>
        <v>0.33666666666666667</v>
      </c>
      <c r="F9" s="56">
        <f>'Параметры'!C31/('Ввод данных'!F18*'Параметры'!C32)</f>
        <v>0.4488888888888889</v>
      </c>
      <c r="G9" s="56">
        <f>'Параметры'!C31/('Ввод данных'!G18*'Параметры'!C32)</f>
        <v>0.4488888888888889</v>
      </c>
      <c r="H9" s="56">
        <f>'Параметры'!C31/('Ввод данных'!H18*'Параметры'!C32)</f>
        <v>0.39223300970873787</v>
      </c>
    </row>
    <row r="10">
      <c r="B10" s="22" t="inlineStr">
        <is>
          <t>Время цикла скважины</t>
        </is>
      </c>
      <c r="C10" s="24" t="inlineStr">
        <is>
          <t>мин</t>
        </is>
      </c>
      <c r="D10" s="56">
        <f>D8+'Параметры'!C33+'Ввод данных'!D20*'Ввод данных'!D19*2+D9+'Параметры'!C34</f>
        <v>59.45951833375579</v>
      </c>
      <c r="E10" s="56">
        <f>E8+'Параметры'!C33+'Ввод данных'!E20*'Ввод данных'!E19*2+E9+'Параметры'!C34</f>
        <v>55.126962041382775</v>
      </c>
      <c r="F10" s="56">
        <f>F8+'Параметры'!C33+'Ввод данных'!F20*'Ввод данных'!F19*2+F9+'Параметры'!C34</f>
        <v>48.39381855480814</v>
      </c>
      <c r="G10" s="56">
        <f>G8+'Параметры'!C33+'Ввод данных'!G20*'Ввод данных'!G19*2+G9+'Параметры'!C34</f>
        <v>48.39381855480814</v>
      </c>
      <c r="H10" s="56">
        <f>H8+'Параметры'!C33+'Ввод данных'!H20*'Ввод данных'!H19*2+H9+'Параметры'!C34</f>
        <v>59.45951833375579</v>
      </c>
    </row>
    <row r="11">
      <c r="B11" s="22" t="inlineStr">
        <is>
          <t>Скважин за смену</t>
        </is>
      </c>
      <c r="C11" s="24" t="inlineStr">
        <is>
          <t>ед.</t>
        </is>
      </c>
      <c r="D11" s="56">
        <f>'Параметры'!C28/(D10/60)</f>
        <v>12.109078919182036</v>
      </c>
      <c r="E11" s="56">
        <f>'Параметры'!C28/(E10/60)</f>
        <v>13.06075962356695</v>
      </c>
      <c r="F11" s="56">
        <f>'Параметры'!C28/(F10/60)</f>
        <v>14.877933205137927</v>
      </c>
      <c r="G11" s="56">
        <f>'Параметры'!C28/(G10/60)</f>
        <v>14.877933205137927</v>
      </c>
      <c r="H11" s="56">
        <f>'Параметры'!C28/(H10/60)</f>
        <v>12.109078919182036</v>
      </c>
    </row>
    <row r="12">
      <c r="B12" s="39" t="inlineStr">
        <is>
          <t>Часовая производительность (по КИО)</t>
        </is>
      </c>
      <c r="C12" s="24" t="inlineStr">
        <is>
          <t>п.м/час</t>
        </is>
      </c>
      <c r="D12" s="57">
        <f>D11*'Параметры'!C31/'Параметры'!C28</f>
        <v>16.306892944498475</v>
      </c>
      <c r="E12" s="57">
        <f>E11*'Параметры'!C31/'Параметры'!C28</f>
        <v>17.588489626403494</v>
      </c>
      <c r="F12" s="57">
        <f>F11*'Параметры'!C31/'Параметры'!C28</f>
        <v>20.03561671625241</v>
      </c>
      <c r="G12" s="57">
        <f>G11*'Параметры'!C31/'Параметры'!C28</f>
        <v>20.03561671625241</v>
      </c>
      <c r="H12" s="57">
        <f>H11*'Параметры'!C31/'Параметры'!C28</f>
        <v>16.306892944498475</v>
      </c>
    </row>
    <row r="13">
      <c r="B13" s="22" t="inlineStr">
        <is>
          <t>КИО (1-й год)</t>
        </is>
      </c>
      <c r="C13" s="24" t="inlineStr">
        <is>
          <t>коэф.</t>
        </is>
      </c>
      <c r="D13" s="58">
        <f>'Данные по годам'!E7*(1-137.92/(60*'Параметры'!C28))</f>
        <v>0.7525809333333333</v>
      </c>
      <c r="E13" s="58">
        <f>'Данные по годам'!E11*(1-137.92/(60*'Параметры'!C28))</f>
        <v>0.723396088888889</v>
      </c>
      <c r="F13" s="58">
        <f>'Данные по годам'!E15*(1-137.92/(60*'Параметры'!C28))</f>
        <v>0.723396088888889</v>
      </c>
      <c r="G13" s="58">
        <f>'Данные по годам'!E19*(1-137.92/(60*'Параметры'!C28))</f>
        <v>0.7518533333333335</v>
      </c>
      <c r="H13" s="58">
        <f>'Данные по годам'!E23*(1-137.92/(60*'Параметры'!C28))</f>
        <v>0.7221025777777779</v>
      </c>
    </row>
    <row r="15">
      <c r="B15" s="5" t="inlineStr">
        <is>
          <t>ПОГОДОВАЯ ПРОИЗВОДИТЕЛЬНОСТЬ (КТГ по годам из «Данные по годам»; часовая производительность — из физики выше)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B16" s="15" t="inlineStr">
        <is>
          <t>Показатель</t>
        </is>
      </c>
      <c r="C16" s="15" t="inlineStr">
        <is>
          <t>Ед.</t>
        </is>
      </c>
      <c r="E16" s="15" t="inlineStr">
        <is>
          <t>год 1</t>
        </is>
      </c>
      <c r="F16" s="15" t="inlineStr">
        <is>
          <t>год 2</t>
        </is>
      </c>
      <c r="G16" s="15" t="inlineStr">
        <is>
          <t>год 3</t>
        </is>
      </c>
      <c r="H16" s="15" t="inlineStr">
        <is>
          <t>год 4</t>
        </is>
      </c>
      <c r="I16" s="15" t="inlineStr">
        <is>
          <t>год 5</t>
        </is>
      </c>
      <c r="J16" s="15" t="inlineStr">
        <is>
          <t>год 6</t>
        </is>
      </c>
      <c r="K16" s="15" t="inlineStr">
        <is>
          <t>год 7</t>
        </is>
      </c>
      <c r="L16" s="15" t="inlineStr">
        <is>
          <t>год 8</t>
        </is>
      </c>
      <c r="M16" s="15" t="inlineStr">
        <is>
          <t>год 9</t>
        </is>
      </c>
      <c r="N16" s="15" t="inlineStr">
        <is>
          <t>год 10</t>
        </is>
      </c>
    </row>
    <row r="17">
      <c r="B17" s="5" t="str">
        <f>"Вариант 1:  "&amp;'Ввод данных'!D7</f>
        <v>Вариант 1:  YANGZI DR75
(аналог Epiroc DM75)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B18" s="39" t="inlineStr">
        <is>
          <t>КТГ (по годам)</t>
        </is>
      </c>
      <c r="C18" s="24" t="inlineStr">
        <is>
          <t>коэф.</t>
        </is>
      </c>
      <c r="E18" s="59">
        <f>'Данные по годам'!E7</f>
        <v>0.9309</v>
      </c>
      <c r="F18" s="59">
        <f>'Данные по годам'!F7</f>
        <v>0.9172</v>
      </c>
      <c r="G18" s="59">
        <f>'Данные по годам'!G7</f>
        <v>0.9309</v>
      </c>
      <c r="H18" s="59">
        <f>'Данные по годам'!H7</f>
        <v>0.9172</v>
      </c>
      <c r="I18" s="59">
        <f>'Данные по годам'!I7</f>
        <v>0.8865</v>
      </c>
      <c r="J18" s="59">
        <f>'Данные по годам'!J7</f>
        <v>0.9172</v>
      </c>
      <c r="K18" s="59">
        <f>'Данные по годам'!K7</f>
        <v>0.8506</v>
      </c>
      <c r="L18" s="59">
        <f>'Данные по годам'!L7</f>
        <v>0.9198</v>
      </c>
      <c r="M18" s="59">
        <f>'Данные по годам'!M7</f>
        <v>0.9283</v>
      </c>
      <c r="N18" s="59">
        <f>'Данные по годам'!N7</f>
        <v>0.8532</v>
      </c>
    </row>
    <row r="19">
      <c r="B19" s="39" t="inlineStr">
        <is>
          <t>КИО</t>
        </is>
      </c>
      <c r="C19" s="24" t="inlineStr">
        <is>
          <t>коэф.</t>
        </is>
      </c>
      <c r="E19" s="59">
        <f>E18*(1-137.92/(60*'Параметры'!C28))</f>
        <v>0.7525809333333333</v>
      </c>
      <c r="F19" s="59">
        <f>F18*(1-137.92/(60*'Параметры'!C28))</f>
        <v>0.7415052444444445</v>
      </c>
      <c r="G19" s="59">
        <f>G18*(1-137.92/(60*'Параметры'!C28))</f>
        <v>0.7525809333333333</v>
      </c>
      <c r="H19" s="59">
        <f>H18*(1-137.92/(60*'Параметры'!C28))</f>
        <v>0.7415052444444445</v>
      </c>
      <c r="I19" s="59">
        <f>I18*(1-137.92/(60*'Параметры'!C28))</f>
        <v>0.716686</v>
      </c>
      <c r="J19" s="59">
        <f>J18*(1-137.92/(60*'Параметры'!C28))</f>
        <v>0.7415052444444445</v>
      </c>
      <c r="K19" s="59">
        <f>K18*(1-137.92/(60*'Параметры'!C28))</f>
        <v>0.6876628444444445</v>
      </c>
      <c r="L19" s="59">
        <f>L18*(1-137.92/(60*'Параметры'!C28))</f>
        <v>0.7436072</v>
      </c>
      <c r="M19" s="59">
        <f>M18*(1-137.92/(60*'Параметры'!C28))</f>
        <v>0.7504789777777778</v>
      </c>
      <c r="N19" s="59">
        <f>N18*(1-137.92/(60*'Параметры'!C28))</f>
        <v>0.6897648000000001</v>
      </c>
    </row>
    <row r="20">
      <c r="B20" s="39" t="inlineStr">
        <is>
          <t>Эффективное время</t>
        </is>
      </c>
      <c r="C20" s="24" t="inlineStr">
        <is>
          <t>час/год</t>
        </is>
      </c>
      <c r="E20" s="41">
        <f>'Параметры'!C27*E19</f>
        <v>6592.6089759999995</v>
      </c>
      <c r="F20" s="41">
        <f>'Параметры'!C27*F19</f>
        <v>6495.585941333335</v>
      </c>
      <c r="G20" s="41">
        <f>'Параметры'!C27*G19</f>
        <v>6592.6089759999995</v>
      </c>
      <c r="H20" s="41">
        <f>'Параметры'!C27*H19</f>
        <v>6495.585941333335</v>
      </c>
      <c r="I20" s="41">
        <f>'Параметры'!C27*I19</f>
        <v>6278.169360000001</v>
      </c>
      <c r="J20" s="41">
        <f>'Параметры'!C27*J19</f>
        <v>6495.585941333335</v>
      </c>
      <c r="K20" s="41">
        <f>'Параметры'!C27*K19</f>
        <v>6023.926517333333</v>
      </c>
      <c r="L20" s="41">
        <f>'Параметры'!C27*L19</f>
        <v>6513.9990720000005</v>
      </c>
      <c r="M20" s="41">
        <f>'Параметры'!C27*M19</f>
        <v>6574.195845333334</v>
      </c>
      <c r="N20" s="41">
        <f>'Параметры'!C27*N19</f>
        <v>6042.339648000001</v>
      </c>
    </row>
    <row r="21">
      <c r="B21" s="39" t="inlineStr">
        <is>
          <t>Объём бурения</t>
        </is>
      </c>
      <c r="C21" s="24" t="inlineStr">
        <is>
          <t>тыс.пог.м</t>
        </is>
      </c>
      <c r="E21" s="40">
        <f>'Производительность'!D12*E20/1000</f>
        <v>107.50496879657172</v>
      </c>
      <c r="F21" s="40">
        <f>'Производительность'!D12*F20/1000</f>
        <v>105.92282455711204</v>
      </c>
      <c r="G21" s="40">
        <f>'Производительность'!D12*G20/1000</f>
        <v>107.50496879657172</v>
      </c>
      <c r="H21" s="40">
        <f>'Производительность'!D12*H20/1000</f>
        <v>105.92282455711204</v>
      </c>
      <c r="I21" s="40">
        <f>'Производительность'!D12*I20/1000</f>
        <v>102.37743564095052</v>
      </c>
      <c r="J21" s="40">
        <f>'Производительность'!D12*J20/1000</f>
        <v>105.92282455711204</v>
      </c>
      <c r="K21" s="40">
        <f>'Производительность'!D12*K20/1000</f>
        <v>98.2315248236802</v>
      </c>
      <c r="L21" s="40">
        <f>'Производительность'!D12*L20/1000</f>
        <v>106.22308550766643</v>
      </c>
      <c r="M21" s="40">
        <f>'Производительность'!D12*M20/1000</f>
        <v>107.20470784601733</v>
      </c>
      <c r="N21" s="40">
        <f>'Производительность'!D12*N20/1000</f>
        <v>98.53178577423462</v>
      </c>
    </row>
    <row r="22">
      <c r="B22" s="39" t="inlineStr">
        <is>
          <t>Объём взрывания</t>
        </is>
      </c>
      <c r="C22" s="24" t="inlineStr">
        <is>
          <t>тыс.м³</t>
        </is>
      </c>
      <c r="E22" s="41">
        <f>E21*'Параметры'!C35</f>
        <v>5317.73328152242</v>
      </c>
      <c r="F22" s="41">
        <f>F21*'Параметры'!C35</f>
        <v>5239.4725167175475</v>
      </c>
      <c r="G22" s="41">
        <f>G21*'Параметры'!C35</f>
        <v>5317.73328152242</v>
      </c>
      <c r="H22" s="41">
        <f>H21*'Параметры'!C35</f>
        <v>5239.4725167175475</v>
      </c>
      <c r="I22" s="41">
        <f>I21*'Параметры'!C35</f>
        <v>5064.099853979618</v>
      </c>
      <c r="J22" s="41">
        <f>J21*'Параметры'!C35</f>
        <v>5239.4725167175475</v>
      </c>
      <c r="K22" s="41">
        <f>K21*'Параметры'!C35</f>
        <v>4859.022375403341</v>
      </c>
      <c r="L22" s="41">
        <f>L21*'Параметры'!C35</f>
        <v>5254.32492463672</v>
      </c>
      <c r="M22" s="41">
        <f>M21*'Параметры'!C35</f>
        <v>5302.880873603248</v>
      </c>
      <c r="N22" s="41">
        <f>N21*'Параметры'!C35</f>
        <v>4873.874783322516</v>
      </c>
    </row>
    <row r="24">
      <c r="B24" s="5" t="str">
        <f>"Вариант 2:  "&amp;'Ввод данных'!E7</f>
        <v>Вариант 2:  Sunward
SWDRT250SM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39" t="inlineStr">
        <is>
          <t>КТГ (по годам)</t>
        </is>
      </c>
      <c r="C25" s="24" t="inlineStr">
        <is>
          <t>коэф.</t>
        </is>
      </c>
      <c r="E25" s="59">
        <f>'Данные по годам'!E11</f>
        <v>0.8948</v>
      </c>
      <c r="F25" s="59">
        <f>'Данные по годам'!F11</f>
        <v>0.8654</v>
      </c>
      <c r="G25" s="59">
        <f>'Данные по годам'!G11</f>
        <v>0.8454</v>
      </c>
      <c r="H25" s="59">
        <f>'Данные по годам'!H11</f>
        <v>0.8748</v>
      </c>
      <c r="I25" s="59">
        <f>'Данные по годам'!I11</f>
        <v>0.8654</v>
      </c>
      <c r="J25" s="59">
        <f>'Данные по годам'!J11</f>
        <v>0.8432</v>
      </c>
      <c r="K25" s="59">
        <f>'Данные по годам'!K11</f>
        <v>0.8621</v>
      </c>
      <c r="L25" s="59">
        <f>'Данные по годам'!L11</f>
        <v>0.8654</v>
      </c>
      <c r="M25" s="59">
        <f>'Данные по годам'!M11</f>
        <v>0.8498</v>
      </c>
      <c r="N25" s="59">
        <f>'Данные по годам'!N11</f>
        <v>0.8543</v>
      </c>
    </row>
    <row r="26">
      <c r="B26" s="39" t="inlineStr">
        <is>
          <t>КИО</t>
        </is>
      </c>
      <c r="C26" s="24" t="inlineStr">
        <is>
          <t>коэф.</t>
        </is>
      </c>
      <c r="E26" s="59">
        <f>E25*(1-137.92/(60*'Параметры'!C28))</f>
        <v>0.723396088888889</v>
      </c>
      <c r="F26" s="59">
        <f>F25*(1-137.92/(60*'Параметры'!C28))</f>
        <v>0.6996278222222222</v>
      </c>
      <c r="G26" s="59">
        <f>G25*(1-137.92/(60*'Параметры'!C28))</f>
        <v>0.6834589333333334</v>
      </c>
      <c r="H26" s="59">
        <f>H25*(1-137.92/(60*'Параметры'!C28))</f>
        <v>0.7072272000000001</v>
      </c>
      <c r="I26" s="59">
        <f>I25*(1-137.92/(60*'Параметры'!C28))</f>
        <v>0.6996278222222222</v>
      </c>
      <c r="J26" s="59">
        <f>J25*(1-137.92/(60*'Параметры'!C28))</f>
        <v>0.6816803555555556</v>
      </c>
      <c r="K26" s="59">
        <f>K25*(1-137.92/(60*'Параметры'!C28))</f>
        <v>0.6969599555555556</v>
      </c>
      <c r="L26" s="59">
        <f>L25*(1-137.92/(60*'Параметры'!C28))</f>
        <v>0.6996278222222222</v>
      </c>
      <c r="M26" s="59">
        <f>M25*(1-137.92/(60*'Параметры'!C28))</f>
        <v>0.687016088888889</v>
      </c>
      <c r="N26" s="59">
        <f>N25*(1-137.92/(60*'Параметры'!C28))</f>
        <v>0.6906540888888889</v>
      </c>
    </row>
    <row r="27">
      <c r="B27" s="39" t="inlineStr">
        <is>
          <t>Эффективное время</t>
        </is>
      </c>
      <c r="C27" s="24" t="inlineStr">
        <is>
          <t>час/год</t>
        </is>
      </c>
      <c r="E27" s="41">
        <f>'Параметры'!C27*E26</f>
        <v>6336.949738666667</v>
      </c>
      <c r="F27" s="41">
        <f>'Параметры'!C27*F26</f>
        <v>6128.739722666666</v>
      </c>
      <c r="G27" s="41">
        <f>'Параметры'!C27*G26</f>
        <v>5987.100256000001</v>
      </c>
      <c r="H27" s="41">
        <f>'Параметры'!C27*H26</f>
        <v>6195.310272000001</v>
      </c>
      <c r="I27" s="41">
        <f>'Параметры'!C27*I26</f>
        <v>6128.739722666666</v>
      </c>
      <c r="J27" s="41">
        <f>'Параметры'!C27*J26</f>
        <v>5971.519914666667</v>
      </c>
      <c r="K27" s="41">
        <f>'Параметры'!C27*K26</f>
        <v>6105.369210666667</v>
      </c>
      <c r="L27" s="41">
        <f>'Параметры'!C27*L26</f>
        <v>6128.739722666666</v>
      </c>
      <c r="M27" s="41">
        <f>'Параметры'!C27*M26</f>
        <v>6018.260938666667</v>
      </c>
      <c r="N27" s="41">
        <f>'Параметры'!C27*N26</f>
        <v>6050.129818666667</v>
      </c>
    </row>
    <row r="28">
      <c r="B28" s="39" t="inlineStr">
        <is>
          <t>Объём бурения</t>
        </is>
      </c>
      <c r="C28" s="24" t="inlineStr">
        <is>
          <t>тыс.пог.м</t>
        </is>
      </c>
      <c r="E28" s="40">
        <f>'Производительность'!E12*E27/1000</f>
        <v>111.457374741579</v>
      </c>
      <c r="F28" s="40">
        <f>'Производительность'!E12*F27/1000</f>
        <v>107.79527503504968</v>
      </c>
      <c r="G28" s="40">
        <f>'Производительность'!E12*G27/1000</f>
        <v>105.30405074489371</v>
      </c>
      <c r="H28" s="40">
        <f>'Производительность'!E12*H27/1000</f>
        <v>108.96615045142302</v>
      </c>
      <c r="I28" s="40">
        <f>'Производительность'!E12*I27/1000</f>
        <v>107.79527503504968</v>
      </c>
      <c r="J28" s="40">
        <f>'Производительность'!E12*J27/1000</f>
        <v>105.03001607297655</v>
      </c>
      <c r="K28" s="40">
        <f>'Производительность'!E12*K27/1000</f>
        <v>107.38422302717396</v>
      </c>
      <c r="L28" s="40">
        <f>'Производительность'!E12*L27/1000</f>
        <v>107.79527503504968</v>
      </c>
      <c r="M28" s="40">
        <f>'Производительность'!E12*M27/1000</f>
        <v>105.85212008872803</v>
      </c>
      <c r="N28" s="40">
        <f>'Производительность'!E12*N27/1000</f>
        <v>106.41264555401312</v>
      </c>
    </row>
    <row r="29">
      <c r="B29" s="39" t="inlineStr">
        <is>
          <t>Объём взрывания</t>
        </is>
      </c>
      <c r="C29" s="24" t="inlineStr">
        <is>
          <t>тыс.м³</t>
        </is>
      </c>
      <c r="E29" s="41">
        <f>E28*'Параметры'!C35</f>
        <v>5513.2390415922055</v>
      </c>
      <c r="F29" s="41">
        <f>F28*'Параметры'!C35</f>
        <v>5332.093279608733</v>
      </c>
      <c r="G29" s="41">
        <f>G28*'Параметры'!C35</f>
        <v>5208.864870096168</v>
      </c>
      <c r="H29" s="41">
        <f>H28*'Параметры'!C35</f>
        <v>5390.01063207964</v>
      </c>
      <c r="I29" s="41">
        <f>I28*'Параметры'!C35</f>
        <v>5332.093279608733</v>
      </c>
      <c r="J29" s="41">
        <f>J28*'Параметры'!C35</f>
        <v>5195.309745049785</v>
      </c>
      <c r="K29" s="41">
        <f>K28*'Параметры'!C35</f>
        <v>5311.760592039161</v>
      </c>
      <c r="L29" s="41">
        <f>L28*'Параметры'!C35</f>
        <v>5332.093279608733</v>
      </c>
      <c r="M29" s="41">
        <f>M28*'Параметры'!C35</f>
        <v>5235.975120188932</v>
      </c>
      <c r="N29" s="41">
        <f>N28*'Параметры'!C35</f>
        <v>5263.7015123292595</v>
      </c>
    </row>
    <row r="31">
      <c r="B31" s="5" t="str">
        <f>"Вариант 3:  "&amp;'Ввод данных'!F7</f>
        <v>Вариант 3:  Sunward
SWDRT270SM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B32" s="39" t="inlineStr">
        <is>
          <t>КТГ (по годам)</t>
        </is>
      </c>
      <c r="C32" s="24" t="inlineStr">
        <is>
          <t>коэф.</t>
        </is>
      </c>
      <c r="E32" s="59">
        <f>'Данные по годам'!E15</f>
        <v>0.8948</v>
      </c>
      <c r="F32" s="59">
        <f>'Данные по годам'!F15</f>
        <v>0.8654</v>
      </c>
      <c r="G32" s="59">
        <f>'Данные по годам'!G15</f>
        <v>0.8454</v>
      </c>
      <c r="H32" s="59">
        <f>'Данные по годам'!H15</f>
        <v>0.8748</v>
      </c>
      <c r="I32" s="59">
        <f>'Данные по годам'!I15</f>
        <v>0.8654</v>
      </c>
      <c r="J32" s="59">
        <f>'Данные по годам'!J15</f>
        <v>0.8432</v>
      </c>
      <c r="K32" s="59">
        <f>'Данные по годам'!K15</f>
        <v>0.8621</v>
      </c>
      <c r="L32" s="59">
        <f>'Данные по годам'!L15</f>
        <v>0.8654</v>
      </c>
      <c r="M32" s="59">
        <f>'Данные по годам'!M15</f>
        <v>0.8498</v>
      </c>
      <c r="N32" s="59">
        <f>'Данные по годам'!N15</f>
        <v>0.8543</v>
      </c>
    </row>
    <row r="33">
      <c r="B33" s="39" t="inlineStr">
        <is>
          <t>КИО</t>
        </is>
      </c>
      <c r="C33" s="24" t="inlineStr">
        <is>
          <t>коэф.</t>
        </is>
      </c>
      <c r="E33" s="59">
        <f>E32*(1-137.92/(60*'Параметры'!C28))</f>
        <v>0.723396088888889</v>
      </c>
      <c r="F33" s="59">
        <f>F32*(1-137.92/(60*'Параметры'!C28))</f>
        <v>0.6996278222222222</v>
      </c>
      <c r="G33" s="59">
        <f>G32*(1-137.92/(60*'Параметры'!C28))</f>
        <v>0.6834589333333334</v>
      </c>
      <c r="H33" s="59">
        <f>H32*(1-137.92/(60*'Параметры'!C28))</f>
        <v>0.7072272000000001</v>
      </c>
      <c r="I33" s="59">
        <f>I32*(1-137.92/(60*'Параметры'!C28))</f>
        <v>0.6996278222222222</v>
      </c>
      <c r="J33" s="59">
        <f>J32*(1-137.92/(60*'Параметры'!C28))</f>
        <v>0.6816803555555556</v>
      </c>
      <c r="K33" s="59">
        <f>K32*(1-137.92/(60*'Параметры'!C28))</f>
        <v>0.6969599555555556</v>
      </c>
      <c r="L33" s="59">
        <f>L32*(1-137.92/(60*'Параметры'!C28))</f>
        <v>0.6996278222222222</v>
      </c>
      <c r="M33" s="59">
        <f>M32*(1-137.92/(60*'Параметры'!C28))</f>
        <v>0.687016088888889</v>
      </c>
      <c r="N33" s="59">
        <f>N32*(1-137.92/(60*'Параметры'!C28))</f>
        <v>0.6906540888888889</v>
      </c>
    </row>
    <row r="34">
      <c r="B34" s="39" t="inlineStr">
        <is>
          <t>Эффективное время</t>
        </is>
      </c>
      <c r="C34" s="24" t="inlineStr">
        <is>
          <t>час/год</t>
        </is>
      </c>
      <c r="E34" s="41">
        <f>'Параметры'!C27*E33</f>
        <v>6336.949738666667</v>
      </c>
      <c r="F34" s="41">
        <f>'Параметры'!C27*F33</f>
        <v>6128.739722666666</v>
      </c>
      <c r="G34" s="41">
        <f>'Параметры'!C27*G33</f>
        <v>5987.100256000001</v>
      </c>
      <c r="H34" s="41">
        <f>'Параметры'!C27*H33</f>
        <v>6195.310272000001</v>
      </c>
      <c r="I34" s="41">
        <f>'Параметры'!C27*I33</f>
        <v>6128.739722666666</v>
      </c>
      <c r="J34" s="41">
        <f>'Параметры'!C27*J33</f>
        <v>5971.519914666667</v>
      </c>
      <c r="K34" s="41">
        <f>'Параметры'!C27*K33</f>
        <v>6105.369210666667</v>
      </c>
      <c r="L34" s="41">
        <f>'Параметры'!C27*L33</f>
        <v>6128.739722666666</v>
      </c>
      <c r="M34" s="41">
        <f>'Параметры'!C27*M33</f>
        <v>6018.260938666667</v>
      </c>
      <c r="N34" s="41">
        <f>'Параметры'!C27*N33</f>
        <v>6050.129818666667</v>
      </c>
    </row>
    <row r="35">
      <c r="B35" s="39" t="inlineStr">
        <is>
          <t>Объём бурения</t>
        </is>
      </c>
      <c r="C35" s="24" t="inlineStr">
        <is>
          <t>тыс.пог.м</t>
        </is>
      </c>
      <c r="E35" s="40">
        <f>'Производительность'!F12*E34/1000</f>
        <v>126.96469611408122</v>
      </c>
      <c r="F35" s="40">
        <f>'Производительность'!F12*F34/1000</f>
        <v>122.7930800370204</v>
      </c>
      <c r="G35" s="40">
        <f>'Производительность'!F12*G34/1000</f>
        <v>119.95524597099269</v>
      </c>
      <c r="H35" s="40">
        <f>'Производительность'!F12*H34/1000</f>
        <v>124.12686204805347</v>
      </c>
      <c r="I35" s="40">
        <f>'Производительность'!F12*I34/1000</f>
        <v>122.7930800370204</v>
      </c>
      <c r="J35" s="40">
        <f>'Производительность'!F12*J34/1000</f>
        <v>119.64308422372964</v>
      </c>
      <c r="K35" s="40">
        <f>'Производительность'!F12*K34/1000</f>
        <v>122.32483741612585</v>
      </c>
      <c r="L35" s="40">
        <f>'Производительность'!F12*L34/1000</f>
        <v>122.7930800370204</v>
      </c>
      <c r="M35" s="40">
        <f>'Производительность'!F12*M34/1000</f>
        <v>120.5795694655188</v>
      </c>
      <c r="N35" s="40">
        <f>'Производительность'!F12*N34/1000</f>
        <v>121.21808213037504</v>
      </c>
    </row>
    <row r="36">
      <c r="B36" s="39" t="inlineStr">
        <is>
          <t>Объём взрывания</t>
        </is>
      </c>
      <c r="C36" s="24" t="inlineStr">
        <is>
          <t>тыс.м³</t>
        </is>
      </c>
      <c r="E36" s="41">
        <f>E35*'Параметры'!C35</f>
        <v>6280.308693283028</v>
      </c>
      <c r="F36" s="41">
        <f>F35*'Параметры'!C35</f>
        <v>6073.959704031215</v>
      </c>
      <c r="G36" s="41">
        <f>G35*'Параметры'!C35</f>
        <v>5933.586241955154</v>
      </c>
      <c r="H36" s="41">
        <f>H35*'Параметры'!C35</f>
        <v>6139.935231206965</v>
      </c>
      <c r="I36" s="41">
        <f>I35*'Параметры'!C35</f>
        <v>6073.959704031215</v>
      </c>
      <c r="J36" s="41">
        <f>J35*'Параметры'!C35</f>
        <v>5918.145161126788</v>
      </c>
      <c r="K36" s="41">
        <f>K35*'Параметры'!C35</f>
        <v>6050.798082788665</v>
      </c>
      <c r="L36" s="41">
        <f>L35*'Параметры'!C35</f>
        <v>6073.959704031215</v>
      </c>
      <c r="M36" s="41">
        <f>M35*'Параметры'!C35</f>
        <v>5964.468403611888</v>
      </c>
      <c r="N36" s="41">
        <f>N35*'Параметры'!C35</f>
        <v>5996.052432579002</v>
      </c>
    </row>
    <row r="38">
      <c r="B38" s="5" t="str">
        <f>"Вариант 4:  "&amp;'Ввод данных'!G7</f>
        <v>Вариант 4:  Sunward
SWDRT270B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B39" s="39" t="inlineStr">
        <is>
          <t>КТГ (по годам)</t>
        </is>
      </c>
      <c r="C39" s="24" t="inlineStr">
        <is>
          <t>коэф.</t>
        </is>
      </c>
      <c r="E39" s="59">
        <f>'Данные по годам'!E19</f>
        <v>0.93</v>
      </c>
      <c r="F39" s="59">
        <f>'Данные по годам'!F19</f>
        <v>0.93</v>
      </c>
      <c r="G39" s="59">
        <f>'Данные по годам'!G19</f>
        <v>0.92</v>
      </c>
      <c r="H39" s="59">
        <f>'Данные по годам'!H19</f>
        <v>0.92</v>
      </c>
      <c r="I39" s="59">
        <f>'Данные по годам'!I19</f>
        <v>0.87</v>
      </c>
      <c r="J39" s="59">
        <f>'Данные по годам'!J19</f>
        <v>0.9</v>
      </c>
      <c r="K39" s="59">
        <f>'Данные по годам'!K19</f>
        <v>0.85</v>
      </c>
      <c r="L39" s="59">
        <f>'Данные по годам'!L19</f>
        <v>0.9</v>
      </c>
      <c r="M39" s="59">
        <f>'Данные по годам'!M19</f>
        <v>0.9</v>
      </c>
      <c r="N39" s="59">
        <f>'Данные по годам'!N19</f>
        <v>0.85</v>
      </c>
    </row>
    <row r="40">
      <c r="B40" s="39" t="inlineStr">
        <is>
          <t>КИО</t>
        </is>
      </c>
      <c r="C40" s="24" t="inlineStr">
        <is>
          <t>коэф.</t>
        </is>
      </c>
      <c r="E40" s="59">
        <f>E39*(1-137.92/(60*'Параметры'!C28))</f>
        <v>0.7518533333333335</v>
      </c>
      <c r="F40" s="59">
        <f>F39*(1-137.92/(60*'Параметры'!C28))</f>
        <v>0.7518533333333335</v>
      </c>
      <c r="G40" s="59">
        <f>G39*(1-137.92/(60*'Параметры'!C28))</f>
        <v>0.743768888888889</v>
      </c>
      <c r="H40" s="59">
        <f>H39*(1-137.92/(60*'Параметры'!C28))</f>
        <v>0.743768888888889</v>
      </c>
      <c r="I40" s="59">
        <f>I39*(1-137.92/(60*'Параметры'!C28))</f>
        <v>0.7033466666666667</v>
      </c>
      <c r="J40" s="59">
        <f>J39*(1-137.92/(60*'Параметры'!C28))</f>
        <v>0.7276000000000001</v>
      </c>
      <c r="K40" s="59">
        <f>K39*(1-137.92/(60*'Параметры'!C28))</f>
        <v>0.6871777777777778</v>
      </c>
      <c r="L40" s="59">
        <f>L39*(1-137.92/(60*'Параметры'!C28))</f>
        <v>0.7276000000000001</v>
      </c>
      <c r="M40" s="59">
        <f>M39*(1-137.92/(60*'Параметры'!C28))</f>
        <v>0.7276000000000001</v>
      </c>
      <c r="N40" s="59">
        <f>N39*(1-137.92/(60*'Параметры'!C28))</f>
        <v>0.6871777777777778</v>
      </c>
    </row>
    <row r="41">
      <c r="B41" s="39" t="inlineStr">
        <is>
          <t>Эффективное время</t>
        </is>
      </c>
      <c r="C41" s="24" t="inlineStr">
        <is>
          <t>час/год</t>
        </is>
      </c>
      <c r="E41" s="41">
        <f>'Параметры'!C27*E40</f>
        <v>6586.235200000001</v>
      </c>
      <c r="F41" s="41">
        <f>'Параметры'!C27*F40</f>
        <v>6586.235200000001</v>
      </c>
      <c r="G41" s="41">
        <f>'Параметры'!C27*G40</f>
        <v>6515.415466666668</v>
      </c>
      <c r="H41" s="41">
        <f>'Параметры'!C27*H40</f>
        <v>6515.415466666668</v>
      </c>
      <c r="I41" s="41">
        <f>'Параметры'!C27*I40</f>
        <v>6161.3168000000005</v>
      </c>
      <c r="J41" s="41">
        <f>'Параметры'!C27*J40</f>
        <v>6373.776000000001</v>
      </c>
      <c r="K41" s="41">
        <f>'Параметры'!C27*K40</f>
        <v>6019.677333333333</v>
      </c>
      <c r="L41" s="41">
        <f>'Параметры'!C27*L40</f>
        <v>6373.776000000001</v>
      </c>
      <c r="M41" s="41">
        <f>'Параметры'!C27*M40</f>
        <v>6373.776000000001</v>
      </c>
      <c r="N41" s="41">
        <f>'Параметры'!C27*N40</f>
        <v>6019.677333333333</v>
      </c>
    </row>
    <row r="42">
      <c r="B42" s="39" t="inlineStr">
        <is>
          <t>Объём бурения</t>
        </is>
      </c>
      <c r="C42" s="24" t="inlineStr">
        <is>
          <t>тыс.пог.м</t>
        </is>
      </c>
      <c r="E42" s="40">
        <f>'Производительность'!G12*E41/1000</f>
        <v>131.95928407029004</v>
      </c>
      <c r="F42" s="40">
        <f>'Производительность'!G12*F41/1000</f>
        <v>131.95928407029004</v>
      </c>
      <c r="G42" s="40">
        <f>'Производительность'!G12*G41/1000</f>
        <v>130.54036703727618</v>
      </c>
      <c r="H42" s="40">
        <f>'Производительность'!G12*H41/1000</f>
        <v>130.54036703727618</v>
      </c>
      <c r="I42" s="40">
        <f>'Производительность'!G12*I41/1000</f>
        <v>123.44578187220682</v>
      </c>
      <c r="J42" s="40">
        <f>'Производительность'!G12*J41/1000</f>
        <v>127.70253297124844</v>
      </c>
      <c r="K42" s="40">
        <f>'Производительность'!G12*K41/1000</f>
        <v>120.60794780617906</v>
      </c>
      <c r="L42" s="40">
        <f>'Производительность'!G12*L41/1000</f>
        <v>127.70253297124844</v>
      </c>
      <c r="M42" s="40">
        <f>'Производительность'!G12*M41/1000</f>
        <v>127.70253297124844</v>
      </c>
      <c r="N42" s="40">
        <f>'Производительность'!G12*N41/1000</f>
        <v>120.60794780617906</v>
      </c>
    </row>
    <row r="43">
      <c r="B43" s="39" t="inlineStr">
        <is>
          <t>Объём взрывания</t>
        </is>
      </c>
      <c r="C43" s="24" t="inlineStr">
        <is>
          <t>тыс.м³</t>
        </is>
      </c>
      <c r="E43" s="41">
        <f>E42*'Параметры'!C35</f>
        <v>6527.365986536897</v>
      </c>
      <c r="F43" s="41">
        <f>F42*'Параметры'!C35</f>
        <v>6527.365986536897</v>
      </c>
      <c r="G43" s="41">
        <f>G42*'Параметры'!C35</f>
        <v>6457.179255498867</v>
      </c>
      <c r="H43" s="41">
        <f>H42*'Параметры'!C35</f>
        <v>6457.179255498867</v>
      </c>
      <c r="I43" s="41">
        <f>I42*'Параметры'!C35</f>
        <v>6106.245600308711</v>
      </c>
      <c r="J43" s="41">
        <f>J42*'Параметры'!C35</f>
        <v>6316.8057934228045</v>
      </c>
      <c r="K43" s="41">
        <f>K42*'Параметры'!C35</f>
        <v>5965.872138232648</v>
      </c>
      <c r="L43" s="41">
        <f>L42*'Параметры'!C35</f>
        <v>6316.8057934228045</v>
      </c>
      <c r="M43" s="41">
        <f>M42*'Параметры'!C35</f>
        <v>6316.8057934228045</v>
      </c>
      <c r="N43" s="41">
        <f>N42*'Параметры'!C35</f>
        <v>5965.872138232648</v>
      </c>
    </row>
    <row r="45">
      <c r="B45" s="5" t="str">
        <f>"Вариант 5:  "&amp;'Ввод данных'!H7</f>
        <v>Вариант 5:  HIFO 75D
(аналог DM75)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39" t="inlineStr">
        <is>
          <t>КТГ (по годам)</t>
        </is>
      </c>
      <c r="C46" s="24" t="inlineStr">
        <is>
          <t>коэф.</t>
        </is>
      </c>
      <c r="E46" s="59">
        <f>'Данные по годам'!E23</f>
        <v>0.8932</v>
      </c>
      <c r="F46" s="59">
        <f>'Данные по годам'!F23</f>
        <v>0.867</v>
      </c>
      <c r="G46" s="59">
        <f>'Данные по годам'!G23</f>
        <v>0.8536</v>
      </c>
      <c r="H46" s="59">
        <f>'Данные по годам'!H23</f>
        <v>0.8651</v>
      </c>
      <c r="I46" s="59">
        <f>'Данные по годам'!I23</f>
        <v>0.8702</v>
      </c>
      <c r="J46" s="59">
        <f>'Данные по годам'!J23</f>
        <v>0.8443</v>
      </c>
      <c r="K46" s="59">
        <f>'Данные по годам'!K23</f>
        <v>0.8584</v>
      </c>
      <c r="L46" s="59">
        <f>'Данные по годам'!L23</f>
        <v>0.8706</v>
      </c>
      <c r="M46" s="59">
        <f>'Данные по годам'!M23</f>
        <v>0.8529</v>
      </c>
      <c r="N46" s="59">
        <f>'Данные по годам'!N23</f>
        <v>0.8527</v>
      </c>
    </row>
    <row r="47">
      <c r="B47" s="39" t="inlineStr">
        <is>
          <t>КИО</t>
        </is>
      </c>
      <c r="C47" s="24" t="inlineStr">
        <is>
          <t>коэф.</t>
        </is>
      </c>
      <c r="E47" s="59">
        <f>E46*(1-137.92/(60*'Параметры'!C28))</f>
        <v>0.7221025777777779</v>
      </c>
      <c r="F47" s="59">
        <f>F46*(1-137.92/(60*'Параметры'!C28))</f>
        <v>0.7009213333333334</v>
      </c>
      <c r="G47" s="59">
        <f>G46*(1-137.92/(60*'Параметры'!C28))</f>
        <v>0.6900881777777779</v>
      </c>
      <c r="H47" s="59">
        <f>H46*(1-137.92/(60*'Параметры'!C28))</f>
        <v>0.699385288888889</v>
      </c>
      <c r="I47" s="59">
        <f>I46*(1-137.92/(60*'Параметры'!C28))</f>
        <v>0.7035083555555556</v>
      </c>
      <c r="J47" s="59">
        <f>J46*(1-137.92/(60*'Параметры'!C28))</f>
        <v>0.6825696444444446</v>
      </c>
      <c r="K47" s="59">
        <f>K46*(1-137.92/(60*'Параметры'!C28))</f>
        <v>0.6939687111111112</v>
      </c>
      <c r="L47" s="59">
        <f>L46*(1-137.92/(60*'Параметры'!C28))</f>
        <v>0.7038317333333335</v>
      </c>
      <c r="M47" s="59">
        <f>M46*(1-137.92/(60*'Параметры'!C28))</f>
        <v>0.6895222666666667</v>
      </c>
      <c r="N47" s="59">
        <f>N46*(1-137.92/(60*'Параметры'!C28))</f>
        <v>0.6893605777777778</v>
      </c>
    </row>
    <row r="48">
      <c r="B48" s="39" t="inlineStr">
        <is>
          <t>Эффективное время</t>
        </is>
      </c>
      <c r="C48" s="24" t="inlineStr">
        <is>
          <t>час/год</t>
        </is>
      </c>
      <c r="E48" s="41">
        <f>'Параметры'!C27*E47</f>
        <v>6325.618581333334</v>
      </c>
      <c r="F48" s="41">
        <f>'Параметры'!C27*F47</f>
        <v>6140.07088</v>
      </c>
      <c r="G48" s="41">
        <f>'Параметры'!C27*G47</f>
        <v>6045.1724373333345</v>
      </c>
      <c r="H48" s="41">
        <f>'Параметры'!C27*H47</f>
        <v>6126.615130666667</v>
      </c>
      <c r="I48" s="41">
        <f>'Параметры'!C27*I47</f>
        <v>6162.733194666667</v>
      </c>
      <c r="J48" s="41">
        <f>'Параметры'!C27*J47</f>
        <v>5979.310085333334</v>
      </c>
      <c r="K48" s="41">
        <f>'Параметры'!C27*K47</f>
        <v>6079.165909333335</v>
      </c>
      <c r="L48" s="41">
        <f>'Параметры'!C27*L47</f>
        <v>6165.565984000002</v>
      </c>
      <c r="M48" s="41">
        <f>'Параметры'!C27*M47</f>
        <v>6040.215056</v>
      </c>
      <c r="N48" s="41">
        <f>'Параметры'!C27*N47</f>
        <v>6038.798661333333</v>
      </c>
    </row>
    <row r="49">
      <c r="B49" s="39" t="inlineStr">
        <is>
          <t>Объём бурения</t>
        </is>
      </c>
      <c r="C49" s="24" t="inlineStr">
        <is>
          <t>тыс.пог.м</t>
        </is>
      </c>
      <c r="E49" s="40">
        <f>'Производительность'!H12*E48/1000</f>
        <v>103.15118501353301</v>
      </c>
      <c r="F49" s="40">
        <f>'Производительность'!H12*F48/1000</f>
        <v>100.12547851179255</v>
      </c>
      <c r="G49" s="40">
        <f>'Производительность'!H12*G48/1000</f>
        <v>98.57797976662759</v>
      </c>
      <c r="H49" s="40">
        <f>'Производительность'!H12*H48/1000</f>
        <v>99.90605704792587</v>
      </c>
      <c r="I49" s="40">
        <f>'Производительность'!H12*I48/1000</f>
        <v>100.49503045093643</v>
      </c>
      <c r="J49" s="40">
        <f>'Производительность'!H12*J48/1000</f>
        <v>97.50396944349073</v>
      </c>
      <c r="K49" s="40">
        <f>'Производительность'!H12*K48/1000</f>
        <v>99.13230767534341</v>
      </c>
      <c r="L49" s="40">
        <f>'Производительность'!H12*L48/1000</f>
        <v>100.54122444332943</v>
      </c>
      <c r="M49" s="40">
        <f>'Производительность'!H12*M48/1000</f>
        <v>98.49714027993987</v>
      </c>
      <c r="N49" s="40">
        <f>'Производительность'!H12*N48/1000</f>
        <v>98.47404328374337</v>
      </c>
    </row>
    <row r="50">
      <c r="B50" s="39" t="inlineStr">
        <is>
          <t>Объём взрывания</t>
        </is>
      </c>
      <c r="C50" s="24" t="inlineStr">
        <is>
          <t>тыс.м³</t>
        </is>
      </c>
      <c r="E50" s="41">
        <f>E49*'Параметры'!C35</f>
        <v>5102.373366694411</v>
      </c>
      <c r="F50" s="41">
        <f>F49*'Параметры'!C35</f>
        <v>4952.706794585819</v>
      </c>
      <c r="G50" s="41">
        <f>G49*'Параметры'!C35</f>
        <v>4876.159769156234</v>
      </c>
      <c r="H50" s="41">
        <f>H49*'Параметры'!C35</f>
        <v>4941.853111875654</v>
      </c>
      <c r="I50" s="41">
        <f>I49*'Параметры'!C35</f>
        <v>4970.986681255571</v>
      </c>
      <c r="J50" s="41">
        <f>J49*'Параметры'!C35</f>
        <v>4823.033848522269</v>
      </c>
      <c r="K50" s="41">
        <f>K49*'Параметры'!C35</f>
        <v>4903.579599160862</v>
      </c>
      <c r="L50" s="41">
        <f>L49*'Параметры'!C35</f>
        <v>4973.2716670892905</v>
      </c>
      <c r="M50" s="41">
        <f>M49*'Параметры'!C35</f>
        <v>4872.161043947226</v>
      </c>
      <c r="N50" s="41">
        <f>N49*'Параметры'!C35</f>
        <v>4871.018551030366</v>
      </c>
    </row>
  </sheetData>
  <mergeCells count="8">
    <mergeCell ref="B31:N31"/>
    <mergeCell ref="B45:N45"/>
    <mergeCell ref="B1:N1"/>
    <mergeCell ref="B38:N38"/>
    <mergeCell ref="B17:N17"/>
    <mergeCell ref="B15:N15"/>
    <mergeCell ref="B24:N24"/>
    <mergeCell ref="B2:N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N121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B1" s="1" t="inlineStr">
        <is>
          <t>ПОГОДОВОЙ ДЕНЕЖНЫЙ ПОТОК И АННУИТЕТ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Пост-налоговый жизненный цикл по годам: период 0 — инвестиции, 1–10 — эксплуатация.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60" t="inlineStr">
        <is>
          <t>Период</t>
        </is>
      </c>
      <c r="D4" s="61" t="n">
        <v>0</v>
      </c>
      <c r="E4" s="61" t="n">
        <v>1</v>
      </c>
      <c r="F4" s="61" t="n">
        <v>2</v>
      </c>
      <c r="G4" s="61" t="n">
        <v>3</v>
      </c>
      <c r="H4" s="61" t="n">
        <v>4</v>
      </c>
      <c r="I4" s="61" t="n">
        <v>5</v>
      </c>
      <c r="J4" s="61" t="n">
        <v>6</v>
      </c>
      <c r="K4" s="61" t="n">
        <v>7</v>
      </c>
      <c r="L4" s="61" t="n">
        <v>8</v>
      </c>
      <c r="M4" s="61" t="n">
        <v>9</v>
      </c>
      <c r="N4" s="61" t="n">
        <v>10</v>
      </c>
    </row>
    <row r="5">
      <c r="B5" s="62" t="inlineStr">
        <is>
          <t>Календарный год</t>
        </is>
      </c>
      <c r="D5" s="24" t="n">
        <v>2027</v>
      </c>
      <c r="E5" s="24" t="n">
        <v>2028</v>
      </c>
      <c r="F5" s="24" t="n">
        <v>2029</v>
      </c>
      <c r="G5" s="24" t="n">
        <v>2030</v>
      </c>
      <c r="H5" s="24" t="n">
        <v>2031</v>
      </c>
      <c r="I5" s="24" t="n">
        <v>2032</v>
      </c>
      <c r="J5" s="24" t="n">
        <v>2033</v>
      </c>
      <c r="K5" s="24" t="n">
        <v>2034</v>
      </c>
      <c r="L5" s="24" t="n">
        <v>2035</v>
      </c>
      <c r="M5" s="24" t="n">
        <v>2036</v>
      </c>
      <c r="N5" s="24" t="n">
        <v>2037</v>
      </c>
    </row>
    <row r="6">
      <c r="B6" s="60" t="inlineStr">
        <is>
          <t>Дисконт-фактор</t>
        </is>
      </c>
      <c r="D6" s="63">
        <f>1/(1+'Параметры'!C6)^D$4</f>
        <v>1.0</v>
      </c>
      <c r="E6" s="63">
        <f>1/(1+'Параметры'!C6)^E$4</f>
        <v>0.8928571428571428</v>
      </c>
      <c r="F6" s="63">
        <f>1/(1+'Параметры'!C6)^F$4</f>
        <v>0.7971938775510203</v>
      </c>
      <c r="G6" s="63">
        <f>1/(1+'Параметры'!C6)^G$4</f>
        <v>0.7117802478134109</v>
      </c>
      <c r="H6" s="63">
        <f>1/(1+'Параметры'!C6)^H$4</f>
        <v>0.6355180784048311</v>
      </c>
      <c r="I6" s="63">
        <f>1/(1+'Параметры'!C6)^I$4</f>
        <v>0.5674268557185992</v>
      </c>
      <c r="J6" s="63">
        <f>1/(1+'Параметры'!C6)^J$4</f>
        <v>0.5066311211773206</v>
      </c>
      <c r="K6" s="63">
        <f>1/(1+'Параметры'!C6)^K$4</f>
        <v>0.4523492153368934</v>
      </c>
      <c r="L6" s="63">
        <f>1/(1+'Параметры'!C6)^L$4</f>
        <v>0.40388322797936904</v>
      </c>
      <c r="M6" s="63">
        <f>1/(1+'Параметры'!C6)^M$4</f>
        <v>0.36061002498157946</v>
      </c>
      <c r="N6" s="63">
        <f>1/(1+'Параметры'!C6)^N$4</f>
        <v>0.32197323659069593</v>
      </c>
    </row>
    <row r="8">
      <c r="B8" s="5" t="str">
        <f>"Вариант 1:  "&amp;'Ввод данных'!D7</f>
        <v>Вариант 1:  YANGZI DR75
(аналог Epiroc DM75)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B9" s="22" t="inlineStr">
        <is>
          <t>КТГ</t>
        </is>
      </c>
      <c r="C9" s="24" t="inlineStr">
        <is>
          <t>коэф.</t>
        </is>
      </c>
      <c r="D9" s="58" t="n"/>
      <c r="E9" s="58">
        <f>'Данные по годам'!E7</f>
        <v>0.9309</v>
      </c>
      <c r="F9" s="58">
        <f>'Данные по годам'!F7</f>
        <v>0.9172</v>
      </c>
      <c r="G9" s="58">
        <f>'Данные по годам'!G7</f>
        <v>0.9309</v>
      </c>
      <c r="H9" s="58">
        <f>'Данные по годам'!H7</f>
        <v>0.9172</v>
      </c>
      <c r="I9" s="58">
        <f>'Данные по годам'!I7</f>
        <v>0.8865</v>
      </c>
      <c r="J9" s="58">
        <f>'Данные по годам'!J7</f>
        <v>0.9172</v>
      </c>
      <c r="K9" s="58">
        <f>'Данные по годам'!K7</f>
        <v>0.8506</v>
      </c>
      <c r="L9" s="58">
        <f>'Данные по годам'!L7</f>
        <v>0.9198</v>
      </c>
      <c r="M9" s="58">
        <f>'Данные по годам'!M7</f>
        <v>0.9283</v>
      </c>
      <c r="N9" s="58">
        <f>'Данные по годам'!N7</f>
        <v>0.8532</v>
      </c>
    </row>
    <row r="10">
      <c r="B10" s="22" t="inlineStr">
        <is>
          <t>Эффективное время</t>
        </is>
      </c>
      <c r="C10" s="24" t="inlineStr">
        <is>
          <t>час/год</t>
        </is>
      </c>
      <c r="D10" s="54" t="n"/>
      <c r="E10" s="54">
        <f>'Параметры'!C27*E9*(1-137.92/(60*'Параметры'!C28))</f>
        <v>6592.608976</v>
      </c>
      <c r="F10" s="54">
        <f>'Параметры'!C27*F9*(1-137.92/(60*'Параметры'!C28))</f>
        <v>6495.585941333335</v>
      </c>
      <c r="G10" s="54">
        <f>'Параметры'!C27*G9*(1-137.92/(60*'Параметры'!C28))</f>
        <v>6592.608976</v>
      </c>
      <c r="H10" s="54">
        <f>'Параметры'!C27*H9*(1-137.92/(60*'Параметры'!C28))</f>
        <v>6495.585941333335</v>
      </c>
      <c r="I10" s="54">
        <f>'Параметры'!C27*I9*(1-137.92/(60*'Параметры'!C28))</f>
        <v>6278.169360000001</v>
      </c>
      <c r="J10" s="54">
        <f>'Параметры'!C27*J9*(1-137.92/(60*'Параметры'!C28))</f>
        <v>6495.585941333335</v>
      </c>
      <c r="K10" s="54">
        <f>'Параметры'!C27*K9*(1-137.92/(60*'Параметры'!C28))</f>
        <v>6023.926517333334</v>
      </c>
      <c r="L10" s="54">
        <f>'Параметры'!C27*L9*(1-137.92/(60*'Параметры'!C28))</f>
        <v>6513.9990720000005</v>
      </c>
      <c r="M10" s="54">
        <f>'Параметры'!C27*M9*(1-137.92/(60*'Параметры'!C28))</f>
        <v>6574.195845333335</v>
      </c>
      <c r="N10" s="54">
        <f>'Параметры'!C27*N9*(1-137.92/(60*'Параметры'!C28))</f>
        <v>6042.339648</v>
      </c>
    </row>
    <row r="11">
      <c r="B11" s="22" t="inlineStr">
        <is>
          <t>Объём бурения</t>
        </is>
      </c>
      <c r="C11" s="24" t="inlineStr">
        <is>
          <t>тыс.пог.м</t>
        </is>
      </c>
      <c r="D11" s="64" t="n"/>
      <c r="E11" s="64">
        <f>'Производительность'!D12*E10/1000</f>
        <v>107.50496879657173</v>
      </c>
      <c r="F11" s="64">
        <f>'Производительность'!D12*F10/1000</f>
        <v>105.92282455711204</v>
      </c>
      <c r="G11" s="64">
        <f>'Производительность'!D12*G10/1000</f>
        <v>107.50496879657173</v>
      </c>
      <c r="H11" s="64">
        <f>'Производительность'!D12*H10/1000</f>
        <v>105.92282455711204</v>
      </c>
      <c r="I11" s="64">
        <f>'Производительность'!D12*I10/1000</f>
        <v>102.37743564095052</v>
      </c>
      <c r="J11" s="64">
        <f>'Производительность'!D12*J10/1000</f>
        <v>105.92282455711204</v>
      </c>
      <c r="K11" s="64">
        <f>'Производительность'!D12*K10/1000</f>
        <v>98.23152482368022</v>
      </c>
      <c r="L11" s="64">
        <f>'Производительность'!D12*L10/1000</f>
        <v>106.22308550766643</v>
      </c>
      <c r="M11" s="64">
        <f>'Производительность'!D12*M10/1000</f>
        <v>107.20470784601734</v>
      </c>
      <c r="N11" s="64">
        <f>'Производительность'!D12*N10/1000</f>
        <v>98.5317857742346</v>
      </c>
    </row>
    <row r="12">
      <c r="B12" s="22" t="inlineStr">
        <is>
          <t>Объём взрывания</t>
        </is>
      </c>
      <c r="C12" s="24" t="inlineStr">
        <is>
          <t>тыс.м³</t>
        </is>
      </c>
      <c r="D12" s="54" t="n"/>
      <c r="E12" s="54">
        <f>E11*'Параметры'!C35</f>
        <v>5317.733281522421</v>
      </c>
      <c r="F12" s="54">
        <f>F11*'Параметры'!C35</f>
        <v>5239.4725167175475</v>
      </c>
      <c r="G12" s="54">
        <f>G11*'Параметры'!C35</f>
        <v>5317.733281522421</v>
      </c>
      <c r="H12" s="54">
        <f>H11*'Параметры'!C35</f>
        <v>5239.4725167175475</v>
      </c>
      <c r="I12" s="54">
        <f>I11*'Параметры'!C35</f>
        <v>5064.099853979618</v>
      </c>
      <c r="J12" s="54">
        <f>J11*'Параметры'!C35</f>
        <v>5239.4725167175475</v>
      </c>
      <c r="K12" s="54">
        <f>K11*'Параметры'!C35</f>
        <v>4859.022375403342</v>
      </c>
      <c r="L12" s="54">
        <f>L11*'Параметры'!C35</f>
        <v>5254.32492463672</v>
      </c>
      <c r="M12" s="54">
        <f>M11*'Параметры'!C35</f>
        <v>5302.880873603248</v>
      </c>
      <c r="N12" s="54">
        <f>N11*'Параметры'!C35</f>
        <v>4873.874783322515</v>
      </c>
    </row>
    <row r="13">
      <c r="B13" s="22" t="inlineStr">
        <is>
          <t>Топливо/энергия</t>
        </is>
      </c>
      <c r="C13" s="24" t="inlineStr">
        <is>
          <t>тыс.руб</t>
        </is>
      </c>
      <c r="D13" s="54" t="n"/>
      <c r="E13" s="54">
        <f>E10*'Данные по годам'!E9/1000*'Параметры'!C10*(1+'Параметры'!C15)^(E$4-1)</f>
        <v>28856.24306670787</v>
      </c>
      <c r="F13" s="54">
        <f>F10*'Данные по годам'!F9/1000*'Параметры'!C10*(1+'Параметры'!C15)^(F$4-1)</f>
        <v>28431.567451696705</v>
      </c>
      <c r="G13" s="54">
        <f>G10*'Данные по годам'!G9/1000*'Параметры'!C10*(1+'Параметры'!C15)^(G$4-1)</f>
        <v>28856.24306670787</v>
      </c>
      <c r="H13" s="54">
        <f>H10*'Данные по годам'!H9/1000*'Параметры'!C10*(1+'Параметры'!C15)^(H$4-1)</f>
        <v>28431.567451696705</v>
      </c>
      <c r="I13" s="54">
        <f>I10*'Данные по годам'!I9/1000*'Параметры'!C10*(1+'Параметры'!C15)^(I$4-1)</f>
        <v>27479.922095430797</v>
      </c>
      <c r="J13" s="54">
        <f>J10*'Данные по годам'!J9/1000*'Параметры'!C10*(1+'Параметры'!C15)^(J$4-1)</f>
        <v>28431.567451696705</v>
      </c>
      <c r="K13" s="54">
        <f>K10*'Данные по годам'!K9/1000*'Параметры'!C10*(1+'Параметры'!C15)^(K$4-1)</f>
        <v>26367.08599478109</v>
      </c>
      <c r="L13" s="54">
        <f>L10*'Данные по годам'!L9/1000*'Параметры'!C10*(1+'Параметры'!C15)^(L$4-1)</f>
        <v>28512.1628238886</v>
      </c>
      <c r="M13" s="54">
        <f>M10*'Данные по годам'!M9/1000*'Параметры'!C10*(1+'Параметры'!C15)^(M$4-1)</f>
        <v>28775.647694515974</v>
      </c>
      <c r="N13" s="54">
        <f>N10*'Данные по годам'!N9/1000*'Параметры'!C10*(1+'Параметры'!C15)^(N$4-1)</f>
        <v>26447.68136697299</v>
      </c>
    </row>
    <row r="14">
      <c r="B14" s="22" t="inlineStr">
        <is>
          <t>ТОиР и сервис (по годам)</t>
        </is>
      </c>
      <c r="C14" s="24" t="inlineStr">
        <is>
          <t>тыс.руб</t>
        </is>
      </c>
      <c r="D14" s="54" t="n"/>
      <c r="E14" s="54">
        <f>'Данные по годам'!E8*IF('Данные по годам'!$D$8="CNY",'Параметры'!C21,IF('Данные по годам'!$D$8="USD",'Параметры'!C22,IF('Данные по годам'!$D$8="EUR",'Параметры'!C23,1)))</f>
        <v>7963.9350116311</v>
      </c>
      <c r="F14" s="54">
        <f>'Данные по годам'!F8*IF('Данные по годам'!$D$8="CNY",'Параметры'!C21,IF('Данные по годам'!$D$8="USD",'Параметры'!C22,IF('Данные по годам'!$D$8="EUR",'Параметры'!C23,1)))</f>
        <v>19247.474306409636</v>
      </c>
      <c r="G14" s="54">
        <f>'Данные по годам'!G8*IF('Данные по годам'!$D$8="CNY",'Параметры'!C21,IF('Данные по годам'!$D$8="USD",'Параметры'!C22,IF('Данные по годам'!$D$8="EUR",'Параметры'!C23,1)))</f>
        <v>33129.226562880176</v>
      </c>
      <c r="H14" s="54">
        <f>'Данные по годам'!H8*IF('Данные по годам'!$D$8="CNY",'Параметры'!C21,IF('Данные по годам'!$D$8="USD",'Параметры'!C22,IF('Данные по годам'!$D$8="EUR",'Параметры'!C23,1)))</f>
        <v>28917.11082230102</v>
      </c>
      <c r="I14" s="54">
        <f>'Данные по годам'!I8*IF('Данные по годам'!$D$8="CNY",'Параметры'!C21,IF('Данные по годам'!$D$8="USD",'Параметры'!C22,IF('Данные по годам'!$D$8="EUR",'Параметры'!C23,1)))</f>
        <v>40144.55385890644</v>
      </c>
      <c r="J14" s="54">
        <f>'Данные по годам'!J8*IF('Данные по годам'!$D$8="CNY",'Параметры'!C21,IF('Данные по годам'!$D$8="USD",'Параметры'!C22,IF('Данные по годам'!$D$8="EUR",'Параметры'!C23,1)))</f>
        <v>26857.81454609334</v>
      </c>
      <c r="K14" s="54">
        <f>'Данные по годам'!K8*IF('Данные по годам'!$D$8="CNY",'Параметры'!C21,IF('Данные по годам'!$D$8="USD",'Параметры'!C22,IF('Данные по годам'!$D$8="EUR",'Параметры'!C23,1)))</f>
        <v>39411.21886257357</v>
      </c>
      <c r="L14" s="54">
        <f>'Данные по годам'!L8*IF('Данные по годам'!$D$8="CNY",'Параметры'!C21,IF('Данные по годам'!$D$8="USD",'Параметры'!C22,IF('Данные по годам'!$D$8="EUR",'Параметры'!C23,1)))</f>
        <v>20015.87510389153</v>
      </c>
      <c r="M14" s="54">
        <f>'Данные по годам'!M8*IF('Данные по годам'!$D$8="CNY",'Параметры'!C21,IF('Данные по годам'!$D$8="USD",'Параметры'!C22,IF('Данные по годам'!$D$8="EUR",'Параметры'!C23,1)))</f>
        <v>45973.06835451464</v>
      </c>
      <c r="N14" s="54">
        <f>'Данные по годам'!N8*IF('Данные по годам'!$D$8="CNY",'Параметры'!C21,IF('Данные по годам'!$D$8="USD",'Параметры'!C22,IF('Данные по годам'!$D$8="EUR",'Параметры'!C23,1)))</f>
        <v>24719.008261539315</v>
      </c>
    </row>
    <row r="15">
      <c r="B15" s="22" t="inlineStr">
        <is>
          <t>Долота</t>
        </is>
      </c>
      <c r="C15" s="24" t="inlineStr">
        <is>
          <t>тыс.руб</t>
        </is>
      </c>
      <c r="D15" s="54" t="n"/>
      <c r="E15" s="54">
        <f>E11*'Поставщик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годам'!$D$8="EUR",'Параметры'!C23,1)))*(1+'Параметры'!C16)^(E$4-1)</f>
        <v>16564.365592175775</v>
      </c>
      <c r="F15" s="54">
        <f>F11*'Поставщик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годам'!$D$8="EUR",'Параметры'!C23,1)))*(1+'Параметры'!C16)^(F$4-1)</f>
        <v>16320.588807759827</v>
      </c>
      <c r="G15" s="54">
        <f>G11*'Поставщик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годам'!$D$8="EUR",'Параметры'!C23,1)))*(1+'Параметры'!C16)^(G$4-1)</f>
        <v>16564.365592175775</v>
      </c>
      <c r="H15" s="54">
        <f>H11*'Поставщик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годам'!$D$8="EUR",'Параметры'!C23,1)))*(1+'Параметры'!C16)^(H$4-1)</f>
        <v>16320.588807759827</v>
      </c>
      <c r="I15" s="54">
        <f>I11*'Поставщик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годам'!$D$8="EUR",'Параметры'!C23,1)))*(1+'Параметры'!C16)^(I$4-1)</f>
        <v>15774.315283557658</v>
      </c>
      <c r="J15" s="54">
        <f>J11*'Поставщик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годам'!$D$8="EUR",'Параметры'!C23,1)))*(1+'Параметры'!C16)^(J$4-1)</f>
        <v>16320.588807759827</v>
      </c>
      <c r="K15" s="54">
        <f>K11*'Поставщик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годам'!$D$8="EUR",'Параметры'!C23,1)))*(1+'Параметры'!C16)^(K$4-1)</f>
        <v>15135.51334483265</v>
      </c>
      <c r="L15" s="54">
        <f>L11*'Поставщик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годам'!$D$8="EUR",'Параметры'!C23,1)))*(1+'Параметры'!C16)^(L$4-1)</f>
        <v>16366.853015021245</v>
      </c>
      <c r="M15" s="54">
        <f>M11*'Поставщик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годам'!$D$8="EUR",'Параметры'!C23,1)))*(1+'Параметры'!C16)^(M$4-1)</f>
        <v>16518.101384914353</v>
      </c>
      <c r="N15" s="54">
        <f>N11*'Поставщик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годам'!$D$8="EUR",'Параметры'!C23,1)))*(1+'Параметры'!C16)^(N$4-1)</f>
        <v>15181.77755209407</v>
      </c>
    </row>
    <row r="16">
      <c r="B16" s="22" t="inlineStr">
        <is>
          <t>Штанги/адаптеры</t>
        </is>
      </c>
      <c r="C16" s="24" t="inlineStr">
        <is>
          <t>тыс.руб</t>
        </is>
      </c>
      <c r="D16" s="54" t="n"/>
      <c r="E16" s="54">
        <f>E11*'Поставщик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годам'!$D$8="EUR",'Параметры'!C23,1)))*(1+'Параметры'!C16)^(E$4-1)</f>
        <v>38701.78876676582</v>
      </c>
      <c r="F16" s="54">
        <f>F11*'Поставщик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годам'!$D$8="EUR",'Параметры'!C23,1)))*(1+'Параметры'!C16)^(F$4-1)</f>
        <v>38132.21684056033</v>
      </c>
      <c r="G16" s="54">
        <f>G11*'Поставщик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годам'!$D$8="EUR",'Параметры'!C23,1)))*(1+'Параметры'!C16)^(G$4-1)</f>
        <v>38701.78876676582</v>
      </c>
      <c r="H16" s="54">
        <f>H11*'Поставщик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годам'!$D$8="EUR",'Параметры'!C23,1)))*(1+'Параметры'!C16)^(H$4-1)</f>
        <v>38132.21684056033</v>
      </c>
      <c r="I16" s="54">
        <f>I11*'Поставщик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годам'!$D$8="EUR",'Параметры'!C23,1)))*(1+'Параметры'!C16)^(I$4-1)</f>
        <v>36855.876830742185</v>
      </c>
      <c r="J16" s="54">
        <f>J11*'Поставщик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годам'!$D$8="EUR",'Параметры'!C23,1)))*(1+'Параметры'!C16)^(J$4-1)</f>
        <v>38132.21684056033</v>
      </c>
      <c r="K16" s="54">
        <f>K11*'Поставщик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годам'!$D$8="EUR",'Параметры'!C23,1)))*(1+'Параметры'!C16)^(K$4-1)</f>
        <v>35363.348936524875</v>
      </c>
      <c r="L16" s="54">
        <f>L11*'Поставщик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годам'!$D$8="EUR",'Параметры'!C23,1)))*(1+'Параметры'!C16)^(L$4-1)</f>
        <v>38240.310782759916</v>
      </c>
      <c r="M16" s="54">
        <f>M11*'Поставщик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годам'!$D$8="EUR",'Параметры'!C23,1)))*(1+'Параметры'!C16)^(M$4-1)</f>
        <v>38593.69482456624</v>
      </c>
      <c r="N16" s="54">
        <f>N11*'Поставщик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годам'!$D$8="EUR",'Параметры'!C23,1)))*(1+'Параметры'!C16)^(N$4-1)</f>
        <v>35471.44287872446</v>
      </c>
    </row>
    <row r="17">
      <c r="B17" s="22" t="inlineStr">
        <is>
          <t>Расходники</t>
        </is>
      </c>
      <c r="C17" s="24" t="inlineStr">
        <is>
          <t>тыс.руб</t>
        </is>
      </c>
      <c r="D17" s="54" t="n"/>
      <c r="E17" s="54">
        <f>E11*'Поставщик 1'!$D$257*(1+'Параметры'!C16)^(E$4-1)</f>
        <v>0.0</v>
      </c>
      <c r="F17" s="54">
        <f>F11*'Поставщик 1'!$D$257*(1+'Параметры'!C16)^(F$4-1)</f>
        <v>0.0</v>
      </c>
      <c r="G17" s="54">
        <f>G11*'Поставщик 1'!$D$257*(1+'Параметры'!C16)^(G$4-1)</f>
        <v>0.0</v>
      </c>
      <c r="H17" s="54">
        <f>H11*'Поставщик 1'!$D$257*(1+'Параметры'!C16)^(H$4-1)</f>
        <v>0.0</v>
      </c>
      <c r="I17" s="54">
        <f>I11*'Поставщик 1'!$D$257*(1+'Параметры'!C16)^(I$4-1)</f>
        <v>0.0</v>
      </c>
      <c r="J17" s="54">
        <f>J11*'Поставщик 1'!$D$257*(1+'Параметры'!C16)^(J$4-1)</f>
        <v>0.0</v>
      </c>
      <c r="K17" s="54">
        <f>K11*'Поставщик 1'!$D$257*(1+'Параметры'!C16)^(K$4-1)</f>
        <v>0.0</v>
      </c>
      <c r="L17" s="54">
        <f>L11*'Поставщик 1'!$D$257*(1+'Параметры'!C16)^(L$4-1)</f>
        <v>0.0</v>
      </c>
      <c r="M17" s="54">
        <f>M11*'Поставщик 1'!$D$257*(1+'Параметры'!C16)^(M$4-1)</f>
        <v>0.0</v>
      </c>
      <c r="N17" s="54">
        <f>N11*'Поставщик 1'!$D$257*(1+'Параметры'!C16)^(N$4-1)</f>
        <v>0.0</v>
      </c>
    </row>
    <row r="18">
      <c r="B18" s="22" t="inlineStr">
        <is>
          <t>Персонал</t>
        </is>
      </c>
      <c r="C18" s="24" t="inlineStr">
        <is>
          <t>тыс.руб</t>
        </is>
      </c>
      <c r="D18" s="54" t="n"/>
      <c r="E18" s="54">
        <f>'Ввод данных'!D22*(1+'Параметры'!C17)^(E$4-1)</f>
        <v>15710.0</v>
      </c>
      <c r="F18" s="54">
        <f>'Ввод данных'!D22*(1+'Параметры'!C17)^(F$4-1)</f>
        <v>15710.0</v>
      </c>
      <c r="G18" s="54">
        <f>'Ввод данных'!D22*(1+'Параметры'!C17)^(G$4-1)</f>
        <v>15710.0</v>
      </c>
      <c r="H18" s="54">
        <f>'Ввод данных'!D22*(1+'Параметры'!C17)^(H$4-1)</f>
        <v>15710.0</v>
      </c>
      <c r="I18" s="54">
        <f>'Ввод данных'!D22*(1+'Параметры'!C17)^(I$4-1)</f>
        <v>15710.0</v>
      </c>
      <c r="J18" s="54">
        <f>'Ввод данных'!D22*(1+'Параметры'!C17)^(J$4-1)</f>
        <v>15710.0</v>
      </c>
      <c r="K18" s="54">
        <f>'Ввод данных'!D22*(1+'Параметры'!C17)^(K$4-1)</f>
        <v>15710.0</v>
      </c>
      <c r="L18" s="54">
        <f>'Ввод данных'!D22*(1+'Параметры'!C17)^(L$4-1)</f>
        <v>15710.0</v>
      </c>
      <c r="M18" s="54">
        <f>'Ввод данных'!D22*(1+'Параметры'!C17)^(M$4-1)</f>
        <v>15710.0</v>
      </c>
      <c r="N18" s="54">
        <f>'Ввод данных'!D22*(1+'Параметры'!C17)^(N$4-1)</f>
        <v>15710.0</v>
      </c>
    </row>
    <row r="19">
      <c r="B19" s="22" t="inlineStr">
        <is>
          <t>Транспортный налог</t>
        </is>
      </c>
      <c r="C19" s="24" t="inlineStr">
        <is>
          <t>тыс.руб</t>
        </is>
      </c>
      <c r="D19" s="54" t="n"/>
      <c r="E19" s="54">
        <f>'Ввод данных'!D23*15/1000</f>
        <v>12.0</v>
      </c>
      <c r="F19" s="54">
        <f>'Ввод данных'!D23*15/1000</f>
        <v>12.0</v>
      </c>
      <c r="G19" s="54">
        <f>'Ввод данных'!D23*15/1000</f>
        <v>12.0</v>
      </c>
      <c r="H19" s="54">
        <f>'Ввод данных'!D23*15/1000</f>
        <v>12.0</v>
      </c>
      <c r="I19" s="54">
        <f>'Ввод данных'!D23*15/1000</f>
        <v>12.0</v>
      </c>
      <c r="J19" s="54">
        <f>'Ввод данных'!D23*15/1000</f>
        <v>12.0</v>
      </c>
      <c r="K19" s="54">
        <f>'Ввод данных'!D23*15/1000</f>
        <v>12.0</v>
      </c>
      <c r="L19" s="54">
        <f>'Ввод данных'!D23*15/1000</f>
        <v>12.0</v>
      </c>
      <c r="M19" s="54">
        <f>'Ввод данных'!D23*15/1000</f>
        <v>12.0</v>
      </c>
      <c r="N19" s="54">
        <f>'Ввод данных'!D23*15/1000</f>
        <v>12.0</v>
      </c>
    </row>
    <row r="20">
      <c r="B20" s="22" t="inlineStr">
        <is>
          <t>Итого денежные затраты</t>
        </is>
      </c>
      <c r="C20" s="24" t="inlineStr">
        <is>
          <t>тыс.руб</t>
        </is>
      </c>
      <c r="D20" s="54" t="n"/>
      <c r="E20" s="65">
        <f>E13+E14+E15+E16+E17+E18+E19</f>
        <v>107808.33243728057</v>
      </c>
      <c r="F20" s="65">
        <f>F13+F14+F15+F16+F17+F18+F19</f>
        <v>117853.8474064265</v>
      </c>
      <c r="G20" s="65">
        <f>G13+G14+G15+G16+G17+G18+G19</f>
        <v>132973.62398852964</v>
      </c>
      <c r="H20" s="65">
        <f>H13+H14+H15+H16+H17+H18+H19</f>
        <v>127523.48392231787</v>
      </c>
      <c r="I20" s="65">
        <f>I13+I14+I15+I16+I17+I18+I19</f>
        <v>135976.66806863708</v>
      </c>
      <c r="J20" s="65">
        <f>J13+J14+J15+J16+J17+J18+J19</f>
        <v>125464.1876461102</v>
      </c>
      <c r="K20" s="65">
        <f>K13+K14+K15+K16+K17+K18+K19</f>
        <v>131999.1671387122</v>
      </c>
      <c r="L20" s="65">
        <f>L13+L14+L15+L16+L17+L18+L19</f>
        <v>118857.20172556129</v>
      </c>
      <c r="M20" s="65">
        <f>M13+M14+M15+M16+M17+M18+M19</f>
        <v>145582.5122585112</v>
      </c>
      <c r="N20" s="65">
        <f>N13+N14+N15+N16+N17+N18+N19</f>
        <v>117541.91005933084</v>
      </c>
    </row>
    <row r="21">
      <c r="B21" s="22" t="inlineStr">
        <is>
          <t>Амортизация (НУ)</t>
        </is>
      </c>
      <c r="C21" s="24" t="inlineStr">
        <is>
          <t>тыс.руб</t>
        </is>
      </c>
      <c r="D21" s="54" t="n"/>
      <c r="E21" s="54">
        <f>IF(E$4&lt;=INT('Параметры'!C9),'Производительность'!D5/'Параметры'!C9,IF(E$4=INT('Параметры'!C9)+1,'Производительность'!D5*('Параметры'!C9-INT('Параметры'!C9))/'Параметры'!C9,0))</f>
        <v>29903.600236081053</v>
      </c>
      <c r="F21" s="54">
        <f>IF(F$4&lt;=INT('Параметры'!C9),'Производительность'!D5/'Параметры'!C9,IF(F$4=INT('Параметры'!C9)+1,'Производительность'!D5*('Параметры'!C9-INT('Параметры'!C9))/'Параметры'!C9,0))</f>
        <v>29903.600236081053</v>
      </c>
      <c r="G21" s="54">
        <f>IF(G$4&lt;=INT('Параметры'!C9),'Производительность'!D5/'Параметры'!C9,IF(G$4=INT('Параметры'!C9)+1,'Производительность'!D5*('Параметры'!C9-INT('Параметры'!C9))/'Параметры'!C9,0))</f>
        <v>29903.600236081053</v>
      </c>
      <c r="H21" s="54">
        <f>IF(H$4&lt;=INT('Параметры'!C9),'Производительность'!D5/'Параметры'!C9,IF(H$4=INT('Параметры'!C9)+1,'Производительность'!D5*('Параметры'!C9-INT('Параметры'!C9))/'Параметры'!C9,0))</f>
        <v>29903.600236081053</v>
      </c>
      <c r="I21" s="54">
        <f>IF(I$4&lt;=INT('Параметры'!C9),'Производительность'!D5/'Параметры'!C9,IF(I$4=INT('Параметры'!C9)+1,'Производительность'!D5*('Параметры'!C9-INT('Параметры'!C9))/'Параметры'!C9,0))</f>
        <v>29903.600236081053</v>
      </c>
      <c r="J21" s="54">
        <f>IF(J$4&lt;=INT('Параметры'!C9),'Производительность'!D5/'Параметры'!C9,IF(J$4=INT('Параметры'!C9)+1,'Производительность'!D5*('Параметры'!C9-INT('Параметры'!C9))/'Параметры'!C9,0))</f>
        <v>2481.9988195947326</v>
      </c>
      <c r="K21" s="54">
        <f>IF(K$4&lt;=INT('Параметры'!C9),'Производительность'!D5/'Параметры'!C9,IF(K$4=INT('Параметры'!C9)+1,'Производительность'!D5*('Параметры'!C9-INT('Параметры'!C9))/'Параметры'!C9,0))</f>
        <v>0.0</v>
      </c>
      <c r="L21" s="54">
        <f>IF(L$4&lt;=INT('Параметры'!C9),'Производительность'!D5/'Параметры'!C9,IF(L$4=INT('Параметры'!C9)+1,'Производительность'!D5*('Параметры'!C9-INT('Параметры'!C9))/'Параметры'!C9,0))</f>
        <v>0.0</v>
      </c>
      <c r="M21" s="54">
        <f>IF(M$4&lt;=INT('Параметры'!C9),'Производительность'!D5/'Параметры'!C9,IF(M$4=INT('Параметры'!C9)+1,'Производительность'!D5*('Параметры'!C9-INT('Параметры'!C9))/'Параметры'!C9,0))</f>
        <v>0.0</v>
      </c>
      <c r="N21" s="54">
        <f>IF(N$4&lt;=INT('Параметры'!C9),'Производительность'!D5/'Параметры'!C9,IF(N$4=INT('Параметры'!C9)+1,'Производительность'!D5*('Параметры'!C9-INT('Параметры'!C9))/'Параметры'!C9,0))</f>
        <v>0.0</v>
      </c>
    </row>
    <row r="22">
      <c r="B22" s="22" t="inlineStr">
        <is>
          <t>Налогооблагаемая база</t>
        </is>
      </c>
      <c r="C22" s="24" t="inlineStr">
        <is>
          <t>тыс.руб</t>
        </is>
      </c>
      <c r="D22" s="54" t="n"/>
      <c r="E22" s="54">
        <f>E20+E21</f>
        <v>137711.93267336162</v>
      </c>
      <c r="F22" s="54">
        <f>F20+F21</f>
        <v>147757.44764250756</v>
      </c>
      <c r="G22" s="54">
        <f>G20+G21</f>
        <v>162877.2242246107</v>
      </c>
      <c r="H22" s="54">
        <f>H20+H21</f>
        <v>157427.0841583989</v>
      </c>
      <c r="I22" s="54">
        <f>I20+I21</f>
        <v>165880.26830471813</v>
      </c>
      <c r="J22" s="54">
        <f>J20+J21</f>
        <v>127946.18646570493</v>
      </c>
      <c r="K22" s="54">
        <f>K20+K21</f>
        <v>131999.1671387122</v>
      </c>
      <c r="L22" s="54">
        <f>L20+L21</f>
        <v>118857.20172556129</v>
      </c>
      <c r="M22" s="54">
        <f>M20+M21</f>
        <v>145582.5122585112</v>
      </c>
      <c r="N22" s="54">
        <f>N20+N21</f>
        <v>117541.91005933084</v>
      </c>
    </row>
    <row r="23">
      <c r="B23" s="22" t="inlineStr">
        <is>
          <t>Налог на прибыль (щит)</t>
        </is>
      </c>
      <c r="C23" s="24" t="inlineStr">
        <is>
          <t>тыс.руб</t>
        </is>
      </c>
      <c r="D23" s="54" t="n"/>
      <c r="E23" s="54">
        <f>-E22*'Параметры'!C7</f>
        <v>-34427.983168340405</v>
      </c>
      <c r="F23" s="54">
        <f>-F22*'Параметры'!C7</f>
        <v>-36939.36191062689</v>
      </c>
      <c r="G23" s="54">
        <f>-G22*'Параметры'!C7</f>
        <v>-40719.30605615267</v>
      </c>
      <c r="H23" s="54">
        <f>-H22*'Параметры'!C7</f>
        <v>-39356.77103959973</v>
      </c>
      <c r="I23" s="54">
        <f>-I22*'Параметры'!C7</f>
        <v>-41470.06707617953</v>
      </c>
      <c r="J23" s="54">
        <f>-J22*'Параметры'!C7</f>
        <v>-31986.546616426233</v>
      </c>
      <c r="K23" s="54">
        <f>-K22*'Параметры'!C7</f>
        <v>-32999.79178467805</v>
      </c>
      <c r="L23" s="54">
        <f>-L22*'Параметры'!C7</f>
        <v>-29714.300431390322</v>
      </c>
      <c r="M23" s="54">
        <f>-M22*'Параметры'!C7</f>
        <v>-36395.6280646278</v>
      </c>
      <c r="N23" s="54">
        <f>-N22*'Параметры'!C7</f>
        <v>-29385.47751483271</v>
      </c>
    </row>
    <row r="24">
      <c r="B24" s="22" t="inlineStr">
        <is>
          <t>Операц. денежный поток</t>
        </is>
      </c>
      <c r="C24" s="24" t="inlineStr">
        <is>
          <t>тыс.руб</t>
        </is>
      </c>
      <c r="D24" s="54" t="n"/>
      <c r="E24" s="65">
        <f>E22+E23-E21</f>
        <v>73380.34926894016</v>
      </c>
      <c r="F24" s="65">
        <f>F22+F23-F21</f>
        <v>80914.48549579961</v>
      </c>
      <c r="G24" s="65">
        <f>G22+G23-G21</f>
        <v>92254.31793237696</v>
      </c>
      <c r="H24" s="65">
        <f>H22+H23-H21</f>
        <v>88166.71288271813</v>
      </c>
      <c r="I24" s="65">
        <f>I22+I23-I21</f>
        <v>94506.60099245755</v>
      </c>
      <c r="J24" s="65">
        <f>J22+J23-J21</f>
        <v>93477.64102968396</v>
      </c>
      <c r="K24" s="65">
        <f>K22+K23-K21</f>
        <v>98999.37535403414</v>
      </c>
      <c r="L24" s="65">
        <f>L22+L23-L21</f>
        <v>89142.90129417097</v>
      </c>
      <c r="M24" s="65">
        <f>M22+M23-M21</f>
        <v>109186.88419388341</v>
      </c>
      <c r="N24" s="65">
        <f>N22+N23-N21</f>
        <v>88156.43254449812</v>
      </c>
    </row>
    <row r="25">
      <c r="B25" s="22" t="inlineStr">
        <is>
          <t>Инвестиции / остаточная ст-ть</t>
        </is>
      </c>
      <c r="C25" s="24" t="inlineStr">
        <is>
          <t>тыс.руб</t>
        </is>
      </c>
      <c r="D25" s="54">
        <f>IF(D$4=0,'Производительность'!D5,IF(D$4='Параметры'!C8,-'Ввод данных'!D14*'Производительность'!D5,0))</f>
        <v>152000.0</v>
      </c>
      <c r="E25" s="54">
        <f>IF(E$4=0,'Производительность'!D5,IF(E$4='Параметры'!C8,-'Ввод данных'!D14*'Производительность'!D5,0))</f>
        <v>0.0</v>
      </c>
      <c r="F25" s="54">
        <f>IF(F$4=0,'Производительность'!D5,IF(F$4='Параметры'!C8,-'Ввод данных'!D14*'Производительность'!D5,0))</f>
        <v>0.0</v>
      </c>
      <c r="G25" s="54">
        <f>IF(G$4=0,'Производительность'!D5,IF(G$4='Параметры'!C8,-'Ввод данных'!D14*'Производительность'!D5,0))</f>
        <v>0.0</v>
      </c>
      <c r="H25" s="54">
        <f>IF(H$4=0,'Производительность'!D5,IF(H$4='Параметры'!C8,-'Ввод данных'!D14*'Производительность'!D5,0))</f>
        <v>0.0</v>
      </c>
      <c r="I25" s="54">
        <f>IF(I$4=0,'Производительность'!D5,IF(I$4='Параметры'!C8,-'Ввод данных'!D14*'Производительность'!D5,0))</f>
        <v>0.0</v>
      </c>
      <c r="J25" s="54">
        <f>IF(J$4=0,'Производительность'!D5,IF(J$4='Параметры'!C8,-'Ввод данных'!D14*'Производительность'!D5,0))</f>
        <v>0.0</v>
      </c>
      <c r="K25" s="54">
        <f>IF(K$4=0,'Производительность'!D5,IF(K$4='Параметры'!C8,-'Ввод данных'!D14*'Производительность'!D5,0))</f>
        <v>0.0</v>
      </c>
      <c r="L25" s="54">
        <f>IF(L$4=0,'Производительность'!D5,IF(L$4='Параметры'!C8,-'Ввод данных'!D14*'Производительность'!D5,0))</f>
        <v>0.0</v>
      </c>
      <c r="M25" s="54">
        <f>IF(M$4=0,'Производительность'!D5,IF(M$4='Параметры'!C8,-'Ввод данных'!D14*'Производительность'!D5,0))</f>
        <v>0.0</v>
      </c>
      <c r="N25" s="54">
        <f>IF(N$4=0,'Производительность'!D5,IF(N$4='Параметры'!C8,-'Ввод данных'!D14*'Производительность'!D5,0))</f>
        <v>-0.0</v>
      </c>
    </row>
    <row r="26">
      <c r="B26" s="22" t="inlineStr">
        <is>
          <t>Чистый денежный поток</t>
        </is>
      </c>
      <c r="C26" s="24" t="inlineStr">
        <is>
          <t>тыс.руб</t>
        </is>
      </c>
      <c r="D26" s="65">
        <f>0+D25</f>
        <v>152000.0</v>
      </c>
      <c r="E26" s="65">
        <f>E24+E25</f>
        <v>73380.34926894016</v>
      </c>
      <c r="F26" s="65">
        <f>F24+F25</f>
        <v>80914.48549579961</v>
      </c>
      <c r="G26" s="65">
        <f>G24+G25</f>
        <v>92254.31793237696</v>
      </c>
      <c r="H26" s="65">
        <f>H24+H25</f>
        <v>88166.71288271813</v>
      </c>
      <c r="I26" s="65">
        <f>I24+I25</f>
        <v>94506.60099245755</v>
      </c>
      <c r="J26" s="65">
        <f>J24+J25</f>
        <v>93477.64102968396</v>
      </c>
      <c r="K26" s="65">
        <f>K24+K25</f>
        <v>98999.37535403414</v>
      </c>
      <c r="L26" s="65">
        <f>L24+L25</f>
        <v>89142.90129417097</v>
      </c>
      <c r="M26" s="65">
        <f>M24+M25</f>
        <v>109186.88419388341</v>
      </c>
      <c r="N26" s="65">
        <f>N24+N25</f>
        <v>88156.43254449812</v>
      </c>
    </row>
    <row r="27">
      <c r="B27" s="22" t="inlineStr">
        <is>
          <t>Дисконтированный поток</t>
        </is>
      </c>
      <c r="C27" s="24" t="inlineStr">
        <is>
          <t>тыс.руб</t>
        </is>
      </c>
      <c r="D27" s="54">
        <f>D26*D$6</f>
        <v>152000.0</v>
      </c>
      <c r="E27" s="54">
        <f>E26*E$6</f>
        <v>65518.16899012514</v>
      </c>
      <c r="F27" s="54">
        <f>F26*F$6</f>
        <v>64504.53244244229</v>
      </c>
      <c r="G27" s="54">
        <f>G26*G$6</f>
        <v>65664.80127976446</v>
      </c>
      <c r="H27" s="54">
        <f>H26*H$6</f>
        <v>56031.53995049549</v>
      </c>
      <c r="I27" s="54">
        <f>I26*I$6</f>
        <v>53625.58344580243</v>
      </c>
      <c r="J27" s="54">
        <f>J26*J$6</f>
        <v>47358.68207987989</v>
      </c>
      <c r="K27" s="54">
        <f>K26*K$6</f>
        <v>44782.289760239924</v>
      </c>
      <c r="L27" s="54">
        <f>L26*L$6</f>
        <v>36003.322726136044</v>
      </c>
      <c r="M27" s="54">
        <f>M26*M$6</f>
        <v>39373.88503681712</v>
      </c>
      <c r="N27" s="54">
        <f>N26*N$6</f>
        <v>28384.01191264142</v>
      </c>
    </row>
    <row r="28">
      <c r="B28" s="22" t="inlineStr">
        <is>
          <t>Кумул. дисконт. поток</t>
        </is>
      </c>
      <c r="C28" s="24" t="inlineStr">
        <is>
          <t>тыс.руб</t>
        </is>
      </c>
      <c r="D28" s="54">
        <f>SUM($D27:D27)</f>
        <v>152000.0</v>
      </c>
      <c r="E28" s="54">
        <f>SUM($D27:E27)</f>
        <v>217518.16899012512</v>
      </c>
      <c r="F28" s="54">
        <f>SUM($D27:F27)</f>
        <v>282022.70143256744</v>
      </c>
      <c r="G28" s="54">
        <f>SUM($D27:G27)</f>
        <v>347687.5027123319</v>
      </c>
      <c r="H28" s="54">
        <f>SUM($D27:H27)</f>
        <v>403719.04266282736</v>
      </c>
      <c r="I28" s="54">
        <f>SUM($D27:I27)</f>
        <v>457344.6261086298</v>
      </c>
      <c r="J28" s="54">
        <f>SUM($D27:J27)</f>
        <v>504703.30818850966</v>
      </c>
      <c r="K28" s="54">
        <f>SUM($D27:K27)</f>
        <v>549485.5979487495</v>
      </c>
      <c r="L28" s="54">
        <f>SUM($D27:L27)</f>
        <v>585488.9206748856</v>
      </c>
      <c r="M28" s="54">
        <f>SUM($D27:M27)</f>
        <v>624862.8057117028</v>
      </c>
      <c r="N28" s="54">
        <f>SUM($D27:N27)</f>
        <v>653246.8176243443</v>
      </c>
    </row>
    <row r="29">
      <c r="B29" s="39" t="inlineStr">
        <is>
          <t>Аннуитет по году</t>
        </is>
      </c>
      <c r="C29" s="24" t="inlineStr">
        <is>
          <t>руб/пог.м</t>
        </is>
      </c>
      <c r="D29" s="66" t="n"/>
      <c r="E29" s="66">
        <f>SUM($D27:E27)/SUM($E$6:E$6)/(SUM($E11:E11)/E$4)</f>
        <v>2266.131063485403</v>
      </c>
      <c r="F29" s="66">
        <f>SUM($D27:F27)/SUM($E$6:F$6)/(SUM($E11:F11)/F$4)</f>
        <v>1563.7354226195991</v>
      </c>
      <c r="G29" s="66">
        <f>SUM($D27:G27)/SUM($E$6:G$6)/(SUM($E11:G11)/G$4)</f>
        <v>1353.1744438087587</v>
      </c>
      <c r="H29" s="66">
        <f>SUM($D27:H27)/SUM($E$6:H$6)/(SUM($E11:H11)/H$4)</f>
        <v>1245.5567229400358</v>
      </c>
      <c r="I29" s="66">
        <f>SUM($D27:I27)/SUM($E$6:I$6)/(SUM($E11:I11)/I$4)</f>
        <v>1198.6388299289904</v>
      </c>
      <c r="J29" s="66">
        <f>SUM($D27:J27)/SUM($E$6:J$6)/(SUM($E11:J11)/J$4)</f>
        <v>1159.6224012439734</v>
      </c>
      <c r="K29" s="66">
        <f>SUM($D27:K27)/SUM($E$6:K$6)/(SUM($E11:K11)/K$4)</f>
        <v>1149.207517636358</v>
      </c>
      <c r="L29" s="66">
        <f>SUM($D27:L27)/SUM($E$6:L$6)/(SUM($E11:L11)/L$4)</f>
        <v>1123.0025287132491</v>
      </c>
      <c r="M29" s="66">
        <f>SUM($D27:M27)/SUM($E$6:M$6)/(SUM($E11:M11)/M$4)</f>
        <v>1114.7497969955064</v>
      </c>
      <c r="N29" s="66">
        <f>SUM($D27:N27)/SUM($E$6:N$6)/(SUM($E11:N11)/N$4)</f>
        <v>1105.990139565971</v>
      </c>
    </row>
    <row r="31">
      <c r="B31" s="5" t="str">
        <f>"Вариант 2:  "&amp;'Ввод данных'!E7</f>
        <v>Вариант 2:  Sunward
SWDRT250SM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B32" s="22" t="inlineStr">
        <is>
          <t>КТГ</t>
        </is>
      </c>
      <c r="C32" s="24" t="inlineStr">
        <is>
          <t>коэф.</t>
        </is>
      </c>
      <c r="D32" s="58" t="n"/>
      <c r="E32" s="58">
        <f>'Данные по годам'!E11</f>
        <v>0.8948</v>
      </c>
      <c r="F32" s="58">
        <f>'Данные по годам'!F11</f>
        <v>0.8654</v>
      </c>
      <c r="G32" s="58">
        <f>'Данные по годам'!G11</f>
        <v>0.8454</v>
      </c>
      <c r="H32" s="58">
        <f>'Данные по годам'!H11</f>
        <v>0.8748</v>
      </c>
      <c r="I32" s="58">
        <f>'Данные по годам'!I11</f>
        <v>0.8654</v>
      </c>
      <c r="J32" s="58">
        <f>'Данные по годам'!J11</f>
        <v>0.8432</v>
      </c>
      <c r="K32" s="58">
        <f>'Данные по годам'!K11</f>
        <v>0.8621</v>
      </c>
      <c r="L32" s="58">
        <f>'Данные по годам'!L11</f>
        <v>0.8654</v>
      </c>
      <c r="M32" s="58">
        <f>'Данные по годам'!M11</f>
        <v>0.8498</v>
      </c>
      <c r="N32" s="58">
        <f>'Данные по годам'!N11</f>
        <v>0.8543</v>
      </c>
    </row>
    <row r="33">
      <c r="B33" s="22" t="inlineStr">
        <is>
          <t>Эффективное время</t>
        </is>
      </c>
      <c r="C33" s="24" t="inlineStr">
        <is>
          <t>час/год</t>
        </is>
      </c>
      <c r="D33" s="54" t="n"/>
      <c r="E33" s="54">
        <f>'Параметры'!C27*E32*(1-137.92/(60*'Параметры'!C28))</f>
        <v>6336.949738666667</v>
      </c>
      <c r="F33" s="54">
        <f>'Параметры'!C27*F32*(1-137.92/(60*'Параметры'!C28))</f>
        <v>6128.739722666667</v>
      </c>
      <c r="G33" s="54">
        <f>'Параметры'!C27*G32*(1-137.92/(60*'Параметры'!C28))</f>
        <v>5987.100256000001</v>
      </c>
      <c r="H33" s="54">
        <f>'Параметры'!C27*H32*(1-137.92/(60*'Параметры'!C28))</f>
        <v>6195.310272000001</v>
      </c>
      <c r="I33" s="54">
        <f>'Параметры'!C27*I32*(1-137.92/(60*'Параметры'!C28))</f>
        <v>6128.739722666667</v>
      </c>
      <c r="J33" s="54">
        <f>'Параметры'!C27*J32*(1-137.92/(60*'Параметры'!C28))</f>
        <v>5971.519914666667</v>
      </c>
      <c r="K33" s="54">
        <f>'Параметры'!C27*K32*(1-137.92/(60*'Параметры'!C28))</f>
        <v>6105.369210666668</v>
      </c>
      <c r="L33" s="54">
        <f>'Параметры'!C27*L32*(1-137.92/(60*'Параметры'!C28))</f>
        <v>6128.739722666667</v>
      </c>
      <c r="M33" s="54">
        <f>'Параметры'!C27*M32*(1-137.92/(60*'Параметры'!C28))</f>
        <v>6018.260938666667</v>
      </c>
      <c r="N33" s="54">
        <f>'Параметры'!C27*N32*(1-137.92/(60*'Параметры'!C28))</f>
        <v>6050.129818666667</v>
      </c>
    </row>
    <row r="34">
      <c r="B34" s="22" t="inlineStr">
        <is>
          <t>Объём бурения</t>
        </is>
      </c>
      <c r="C34" s="24" t="inlineStr">
        <is>
          <t>тыс.пог.м</t>
        </is>
      </c>
      <c r="D34" s="64" t="n"/>
      <c r="E34" s="64">
        <f>'Производительность'!E12*E33/1000</f>
        <v>111.457374741579</v>
      </c>
      <c r="F34" s="64">
        <f>'Производительность'!E12*F33/1000</f>
        <v>107.7952750350497</v>
      </c>
      <c r="G34" s="64">
        <f>'Производительность'!E12*G33/1000</f>
        <v>105.30405074489371</v>
      </c>
      <c r="H34" s="64">
        <f>'Производительность'!E12*H33/1000</f>
        <v>108.96615045142302</v>
      </c>
      <c r="I34" s="64">
        <f>'Производительность'!E12*I33/1000</f>
        <v>107.7952750350497</v>
      </c>
      <c r="J34" s="64">
        <f>'Производительность'!E12*J33/1000</f>
        <v>105.03001607297655</v>
      </c>
      <c r="K34" s="64">
        <f>'Производительность'!E12*K33/1000</f>
        <v>107.38422302717397</v>
      </c>
      <c r="L34" s="64">
        <f>'Производительность'!E12*L33/1000</f>
        <v>107.7952750350497</v>
      </c>
      <c r="M34" s="64">
        <f>'Производительность'!E12*M33/1000</f>
        <v>105.85212008872803</v>
      </c>
      <c r="N34" s="64">
        <f>'Производительность'!E12*N33/1000</f>
        <v>106.41264555401312</v>
      </c>
    </row>
    <row r="35">
      <c r="B35" s="22" t="inlineStr">
        <is>
          <t>Объём взрывания</t>
        </is>
      </c>
      <c r="C35" s="24" t="inlineStr">
        <is>
          <t>тыс.м³</t>
        </is>
      </c>
      <c r="D35" s="54" t="n"/>
      <c r="E35" s="54">
        <f>E34*'Параметры'!C35</f>
        <v>5513.2390415922055</v>
      </c>
      <c r="F35" s="54">
        <f>F34*'Параметры'!C35</f>
        <v>5332.093279608734</v>
      </c>
      <c r="G35" s="54">
        <f>G34*'Параметры'!C35</f>
        <v>5208.864870096168</v>
      </c>
      <c r="H35" s="54">
        <f>H34*'Параметры'!C35</f>
        <v>5390.01063207964</v>
      </c>
      <c r="I35" s="54">
        <f>I34*'Параметры'!C35</f>
        <v>5332.093279608734</v>
      </c>
      <c r="J35" s="54">
        <f>J34*'Параметры'!C35</f>
        <v>5195.309745049785</v>
      </c>
      <c r="K35" s="54">
        <f>K34*'Параметры'!C35</f>
        <v>5311.760592039161</v>
      </c>
      <c r="L35" s="54">
        <f>L34*'Параметры'!C35</f>
        <v>5332.093279608734</v>
      </c>
      <c r="M35" s="54">
        <f>M34*'Параметры'!C35</f>
        <v>5235.975120188932</v>
      </c>
      <c r="N35" s="54">
        <f>N34*'Параметры'!C35</f>
        <v>5263.7015123292595</v>
      </c>
    </row>
    <row r="36">
      <c r="B36" s="22" t="inlineStr">
        <is>
          <t>Топливо/энергия</t>
        </is>
      </c>
      <c r="C36" s="24" t="inlineStr">
        <is>
          <t>тыс.руб</t>
        </is>
      </c>
      <c r="D36" s="54" t="n"/>
      <c r="E36" s="54">
        <f>E33*'Данные по годам'!E13/1000*'Параметры'!C10*(1+'Параметры'!C15)^(E$4-1)</f>
        <v>16190.496581645244</v>
      </c>
      <c r="F36" s="54">
        <f>F33*'Данные по годам'!F13/1000*'Параметры'!C10*(1+'Параметры'!C15)^(F$4-1)</f>
        <v>15658.53346195328</v>
      </c>
      <c r="G36" s="54">
        <f>G33*'Данные по годам'!G13/1000*'Параметры'!C10*(1+'Параметры'!C15)^(G$4-1)</f>
        <v>15296.653788693442</v>
      </c>
      <c r="H36" s="54">
        <f>H33*'Данные по годам'!H13/1000*'Параметры'!C10*(1+'Параметры'!C15)^(H$4-1)</f>
        <v>15828.616908385404</v>
      </c>
      <c r="I36" s="54">
        <f>I33*'Данные по годам'!I13/1000*'Параметры'!C10*(1+'Параметры'!C15)^(I$4-1)</f>
        <v>15658.53346195328</v>
      </c>
      <c r="J36" s="54">
        <f>J33*'Данные по годам'!J13/1000*'Параметры'!C10*(1+'Параметры'!C15)^(J$4-1)</f>
        <v>15256.847024634859</v>
      </c>
      <c r="K36" s="54">
        <f>K33*'Данные по годам'!K13/1000*'Параметры'!C10*(1+'Параметры'!C15)^(K$4-1)</f>
        <v>15598.823315865407</v>
      </c>
      <c r="L36" s="54">
        <f>L33*'Данные по годам'!L13/1000*'Параметры'!C10*(1+'Параметры'!C15)^(L$4-1)</f>
        <v>15658.53346195328</v>
      </c>
      <c r="M36" s="54">
        <f>M33*'Данные по годам'!M13/1000*'Параметры'!C10*(1+'Параметры'!C15)^(M$4-1)</f>
        <v>15376.267316810605</v>
      </c>
      <c r="N36" s="54">
        <f>N33*'Данные по годам'!N13/1000*'Параметры'!C10*(1+'Параметры'!C15)^(N$4-1)</f>
        <v>15457.69024329407</v>
      </c>
    </row>
    <row r="37">
      <c r="B37" s="22" t="inlineStr">
        <is>
          <t>ТОиР и сервис (по годам)</t>
        </is>
      </c>
      <c r="C37" s="24" t="inlineStr">
        <is>
          <t>тыс.руб</t>
        </is>
      </c>
      <c r="D37" s="54" t="n"/>
      <c r="E37" s="54">
        <f>'Данные по годам'!E12*IF('Данные по годам'!$D$12="CNY",'Параметры'!C21,IF('Данные по годам'!$D$12="USD",'Параметры'!C22,IF('Данные по годам'!$D$12="EUR",'Параметры'!C23,1)))</f>
        <v>14044.460864207933</v>
      </c>
      <c r="F37" s="54">
        <f>'Данные по годам'!F12*IF('Данные по годам'!$D$12="CNY",'Параметры'!C21,IF('Данные по годам'!$D$12="USD",'Параметры'!C22,IF('Данные по годам'!$D$12="EUR",'Параметры'!C23,1)))</f>
        <v>33943.069504764</v>
      </c>
      <c r="G37" s="54">
        <f>'Данные по годам'!G12*IF('Данные по годам'!$D$12="CNY",'Параметры'!C21,IF('Данные по годам'!$D$12="USD",'Параметры'!C22,IF('Данные по годам'!$D$12="EUR",'Параметры'!C23,1)))</f>
        <v>58423.64675808094</v>
      </c>
      <c r="H37" s="54">
        <f>'Данные по годам'!H12*IF('Данные по годам'!$D$12="CNY",'Параметры'!C21,IF('Данные по годам'!$D$12="USD",'Параметры'!C22,IF('Данные по годам'!$D$12="EUR",'Параметры'!C23,1)))</f>
        <v>50995.548137527</v>
      </c>
      <c r="I37" s="54">
        <f>'Данные по годам'!I12*IF('Данные по годам'!$D$12="CNY",'Параметры'!C21,IF('Данные по годам'!$D$12="USD",'Параметры'!C22,IF('Данные по годам'!$D$12="EUR",'Параметры'!C23,1)))</f>
        <v>70795.23059380478</v>
      </c>
      <c r="J37" s="54">
        <f>'Данные по годам'!J12*IF('Данные по годам'!$D$12="CNY",'Параметры'!C21,IF('Данные по годам'!$D$12="USD",'Параметры'!C22,IF('Данные по годам'!$D$12="EUR",'Параметры'!C23,1)))</f>
        <v>47363.963259352</v>
      </c>
      <c r="K37" s="54">
        <f>'Данные по годам'!K12*IF('Данные по годам'!$D$12="CNY",'Параметры'!C21,IF('Данные по годам'!$D$12="USD",'Параметры'!C22,IF('Данные по годам'!$D$12="EUR",'Параметры'!C23,1)))</f>
        <v>69501.98866738158</v>
      </c>
      <c r="L37" s="54">
        <f>'Данные по годам'!L12*IF('Данные по годам'!$D$12="CNY",'Параметры'!C21,IF('Данные по годам'!$D$12="USD",'Параметры'!C22,IF('Данные по годам'!$D$12="EUR",'Параметры'!C23,1)))</f>
        <v>35298.15024217578</v>
      </c>
      <c r="M37" s="54">
        <f>'Данные по годам'!M12*IF('Данные по годам'!$D$12="CNY",'Параметры'!C21,IF('Данные по годам'!$D$12="USD",'Параметры'!C22,IF('Данные по годам'!$D$12="EUR",'Параметры'!C23,1)))</f>
        <v>81073.86089534369</v>
      </c>
      <c r="N37" s="54">
        <f>'Данные по годам'!N12*IF('Данные по годам'!$D$12="CNY",'Параметры'!C21,IF('Данные по годам'!$D$12="USD",'Параметры'!C22,IF('Данные по годам'!$D$12="EUR",'Параметры'!C23,1)))</f>
        <v>43592.16186774461</v>
      </c>
    </row>
    <row r="38">
      <c r="B38" s="22" t="inlineStr">
        <is>
          <t>Долота</t>
        </is>
      </c>
      <c r="C38" s="24" t="inlineStr">
        <is>
          <t>тыс.руб</t>
        </is>
      </c>
      <c r="D38" s="54" t="n"/>
      <c r="E38" s="54">
        <f>E34*'Поставщик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годам'!$D$12="EUR",'Параметры'!C23,1)))*(1+'Параметры'!C16)^(E$4-1)</f>
        <v>0.0</v>
      </c>
      <c r="F38" s="54">
        <f>F34*'Поставщик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годам'!$D$12="EUR",'Параметры'!C23,1)))*(1+'Параметры'!C16)^(F$4-1)</f>
        <v>0.0</v>
      </c>
      <c r="G38" s="54">
        <f>G34*'Поставщик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годам'!$D$12="EUR",'Параметры'!C23,1)))*(1+'Параметры'!C16)^(G$4-1)</f>
        <v>0.0</v>
      </c>
      <c r="H38" s="54">
        <f>H34*'Поставщик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годам'!$D$12="EUR",'Параметры'!C23,1)))*(1+'Параметры'!C16)^(H$4-1)</f>
        <v>0.0</v>
      </c>
      <c r="I38" s="54">
        <f>I34*'Поставщик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годам'!$D$12="EUR",'Параметры'!C23,1)))*(1+'Параметры'!C16)^(I$4-1)</f>
        <v>0.0</v>
      </c>
      <c r="J38" s="54">
        <f>J34*'Поставщик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годам'!$D$12="EUR",'Параметры'!C23,1)))*(1+'Параметры'!C16)^(J$4-1)</f>
        <v>0.0</v>
      </c>
      <c r="K38" s="54">
        <f>K34*'Поставщик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годам'!$D$12="EUR",'Параметры'!C23,1)))*(1+'Параметры'!C16)^(K$4-1)</f>
        <v>0.0</v>
      </c>
      <c r="L38" s="54">
        <f>L34*'Поставщик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годам'!$D$12="EUR",'Параметры'!C23,1)))*(1+'Параметры'!C16)^(L$4-1)</f>
        <v>0.0</v>
      </c>
      <c r="M38" s="54">
        <f>M34*'Поставщик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годам'!$D$12="EUR",'Параметры'!C23,1)))*(1+'Параметры'!C16)^(M$4-1)</f>
        <v>0.0</v>
      </c>
      <c r="N38" s="54">
        <f>N34*'Поставщик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годам'!$D$12="EUR",'Параметры'!C23,1)))*(1+'Параметры'!C16)^(N$4-1)</f>
        <v>0.0</v>
      </c>
    </row>
    <row r="39">
      <c r="B39" s="22" t="inlineStr">
        <is>
          <t>Штанги/адаптеры</t>
        </is>
      </c>
      <c r="C39" s="24" t="inlineStr">
        <is>
          <t>тыс.руб</t>
        </is>
      </c>
      <c r="D39" s="54" t="n"/>
      <c r="E39" s="54">
        <f>E34*'Поставщик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годам'!$D$12="EUR",'Параметры'!C23,1)))*(1+'Параметры'!C16)^(E$4-1)</f>
        <v>0.0</v>
      </c>
      <c r="F39" s="54">
        <f>F34*'Поставщик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годам'!$D$12="EUR",'Параметры'!C23,1)))*(1+'Параметры'!C16)^(F$4-1)</f>
        <v>0.0</v>
      </c>
      <c r="G39" s="54">
        <f>G34*'Поставщик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годам'!$D$12="EUR",'Параметры'!C23,1)))*(1+'Параметры'!C16)^(G$4-1)</f>
        <v>0.0</v>
      </c>
      <c r="H39" s="54">
        <f>H34*'Поставщик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годам'!$D$12="EUR",'Параметры'!C23,1)))*(1+'Параметры'!C16)^(H$4-1)</f>
        <v>0.0</v>
      </c>
      <c r="I39" s="54">
        <f>I34*'Поставщик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годам'!$D$12="EUR",'Параметры'!C23,1)))*(1+'Параметры'!C16)^(I$4-1)</f>
        <v>0.0</v>
      </c>
      <c r="J39" s="54">
        <f>J34*'Поставщик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годам'!$D$12="EUR",'Параметры'!C23,1)))*(1+'Параметры'!C16)^(J$4-1)</f>
        <v>0.0</v>
      </c>
      <c r="K39" s="54">
        <f>K34*'Поставщик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годам'!$D$12="EUR",'Параметры'!C23,1)))*(1+'Параметры'!C16)^(K$4-1)</f>
        <v>0.0</v>
      </c>
      <c r="L39" s="54">
        <f>L34*'Поставщик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годам'!$D$12="EUR",'Параметры'!C23,1)))*(1+'Параметры'!C16)^(L$4-1)</f>
        <v>0.0</v>
      </c>
      <c r="M39" s="54">
        <f>M34*'Поставщик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годам'!$D$12="EUR",'Параметры'!C23,1)))*(1+'Параметры'!C16)^(M$4-1)</f>
        <v>0.0</v>
      </c>
      <c r="N39" s="54">
        <f>N34*'Поставщик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годам'!$D$12="EUR",'Параметры'!C23,1)))*(1+'Параметры'!C16)^(N$4-1)</f>
        <v>0.0</v>
      </c>
    </row>
    <row r="40">
      <c r="B40" s="22" t="inlineStr">
        <is>
          <t>Расходники</t>
        </is>
      </c>
      <c r="C40" s="24" t="inlineStr">
        <is>
          <t>тыс.руб</t>
        </is>
      </c>
      <c r="D40" s="54" t="n"/>
      <c r="E40" s="54">
        <f>E34*'Поставщик 2'!$D$257*(1+'Параметры'!C16)^(E$4-1)</f>
        <v>0.0</v>
      </c>
      <c r="F40" s="54">
        <f>F34*'Поставщик 2'!$D$257*(1+'Параметры'!C16)^(F$4-1)</f>
        <v>0.0</v>
      </c>
      <c r="G40" s="54">
        <f>G34*'Поставщик 2'!$D$257*(1+'Параметры'!C16)^(G$4-1)</f>
        <v>0.0</v>
      </c>
      <c r="H40" s="54">
        <f>H34*'Поставщик 2'!$D$257*(1+'Параметры'!C16)^(H$4-1)</f>
        <v>0.0</v>
      </c>
      <c r="I40" s="54">
        <f>I34*'Поставщик 2'!$D$257*(1+'Параметры'!C16)^(I$4-1)</f>
        <v>0.0</v>
      </c>
      <c r="J40" s="54">
        <f>J34*'Поставщик 2'!$D$257*(1+'Параметры'!C16)^(J$4-1)</f>
        <v>0.0</v>
      </c>
      <c r="K40" s="54">
        <f>K34*'Поставщик 2'!$D$257*(1+'Параметры'!C16)^(K$4-1)</f>
        <v>0.0</v>
      </c>
      <c r="L40" s="54">
        <f>L34*'Поставщик 2'!$D$257*(1+'Параметры'!C16)^(L$4-1)</f>
        <v>0.0</v>
      </c>
      <c r="M40" s="54">
        <f>M34*'Поставщик 2'!$D$257*(1+'Параметры'!C16)^(M$4-1)</f>
        <v>0.0</v>
      </c>
      <c r="N40" s="54">
        <f>N34*'Поставщик 2'!$D$257*(1+'Параметры'!C16)^(N$4-1)</f>
        <v>0.0</v>
      </c>
    </row>
    <row r="41">
      <c r="B41" s="22" t="inlineStr">
        <is>
          <t>Персонал</t>
        </is>
      </c>
      <c r="C41" s="24" t="inlineStr">
        <is>
          <t>тыс.руб</t>
        </is>
      </c>
      <c r="D41" s="54" t="n"/>
      <c r="E41" s="54">
        <f>'Ввод данных'!E22*(1+'Параметры'!C17)^(E$4-1)</f>
        <v>15710.0</v>
      </c>
      <c r="F41" s="54">
        <f>'Ввод данных'!E22*(1+'Параметры'!C17)^(F$4-1)</f>
        <v>15710.0</v>
      </c>
      <c r="G41" s="54">
        <f>'Ввод данных'!E22*(1+'Параметры'!C17)^(G$4-1)</f>
        <v>15710.0</v>
      </c>
      <c r="H41" s="54">
        <f>'Ввод данных'!E22*(1+'Параметры'!C17)^(H$4-1)</f>
        <v>15710.0</v>
      </c>
      <c r="I41" s="54">
        <f>'Ввод данных'!E22*(1+'Параметры'!C17)^(I$4-1)</f>
        <v>15710.0</v>
      </c>
      <c r="J41" s="54">
        <f>'Ввод данных'!E22*(1+'Параметры'!C17)^(J$4-1)</f>
        <v>15710.0</v>
      </c>
      <c r="K41" s="54">
        <f>'Ввод данных'!E22*(1+'Параметры'!C17)^(K$4-1)</f>
        <v>15710.0</v>
      </c>
      <c r="L41" s="54">
        <f>'Ввод данных'!E22*(1+'Параметры'!C17)^(L$4-1)</f>
        <v>15710.0</v>
      </c>
      <c r="M41" s="54">
        <f>'Ввод данных'!E22*(1+'Параметры'!C17)^(M$4-1)</f>
        <v>15710.0</v>
      </c>
      <c r="N41" s="54">
        <f>'Ввод данных'!E22*(1+'Параметры'!C17)^(N$4-1)</f>
        <v>15710.0</v>
      </c>
    </row>
    <row r="42">
      <c r="B42" s="22" t="inlineStr">
        <is>
          <t>Транспортный налог</t>
        </is>
      </c>
      <c r="C42" s="24" t="inlineStr">
        <is>
          <t>тыс.руб</t>
        </is>
      </c>
      <c r="D42" s="54" t="n"/>
      <c r="E42" s="54">
        <f>'Ввод данных'!E23*15/1000</f>
        <v>12.0</v>
      </c>
      <c r="F42" s="54">
        <f>'Ввод данных'!E23*15/1000</f>
        <v>12.0</v>
      </c>
      <c r="G42" s="54">
        <f>'Ввод данных'!E23*15/1000</f>
        <v>12.0</v>
      </c>
      <c r="H42" s="54">
        <f>'Ввод данных'!E23*15/1000</f>
        <v>12.0</v>
      </c>
      <c r="I42" s="54">
        <f>'Ввод данных'!E23*15/1000</f>
        <v>12.0</v>
      </c>
      <c r="J42" s="54">
        <f>'Ввод данных'!E23*15/1000</f>
        <v>12.0</v>
      </c>
      <c r="K42" s="54">
        <f>'Ввод данных'!E23*15/1000</f>
        <v>12.0</v>
      </c>
      <c r="L42" s="54">
        <f>'Ввод данных'!E23*15/1000</f>
        <v>12.0</v>
      </c>
      <c r="M42" s="54">
        <f>'Ввод данных'!E23*15/1000</f>
        <v>12.0</v>
      </c>
      <c r="N42" s="54">
        <f>'Ввод данных'!E23*15/1000</f>
        <v>12.0</v>
      </c>
    </row>
    <row r="43">
      <c r="B43" s="22" t="inlineStr">
        <is>
          <t>Итого денежные затраты</t>
        </is>
      </c>
      <c r="C43" s="24" t="inlineStr">
        <is>
          <t>тыс.руб</t>
        </is>
      </c>
      <c r="D43" s="54" t="n"/>
      <c r="E43" s="65">
        <f>E36+E37+E38+E39+E40+E41+E42</f>
        <v>45956.95744585318</v>
      </c>
      <c r="F43" s="65">
        <f>F36+F37+F38+F39+F40+F41+F42</f>
        <v>65323.60296671728</v>
      </c>
      <c r="G43" s="65">
        <f>G36+G37+G38+G39+G40+G41+G42</f>
        <v>89442.30054677438</v>
      </c>
      <c r="H43" s="65">
        <f>H36+H37+H38+H39+H40+H41+H42</f>
        <v>82546.1650459124</v>
      </c>
      <c r="I43" s="65">
        <f>I36+I37+I38+I39+I40+I41+I42</f>
        <v>102175.76405575806</v>
      </c>
      <c r="J43" s="65">
        <f>J36+J37+J38+J39+J40+J41+J42</f>
        <v>78342.81028398685</v>
      </c>
      <c r="K43" s="65">
        <f>K36+K37+K38+K39+K40+K41+K42</f>
        <v>100822.81198324698</v>
      </c>
      <c r="L43" s="65">
        <f>L36+L37+L38+L39+L40+L41+L42</f>
        <v>66678.68370412907</v>
      </c>
      <c r="M43" s="65">
        <f>M36+M37+M38+M39+M40+M41+M42</f>
        <v>112172.12821215429</v>
      </c>
      <c r="N43" s="65">
        <f>N36+N37+N38+N39+N40+N41+N42</f>
        <v>74771.85211103868</v>
      </c>
    </row>
    <row r="44">
      <c r="B44" s="22" t="inlineStr">
        <is>
          <t>Амортизация (НУ)</t>
        </is>
      </c>
      <c r="C44" s="24" t="inlineStr">
        <is>
          <t>тыс.руб</t>
        </is>
      </c>
      <c r="D44" s="54" t="n"/>
      <c r="E44" s="54">
        <f>IF(E$4&lt;=INT('Параметры'!C9),'Производительность'!E5/'Параметры'!C9,IF(E$4=INT('Параметры'!C9)+1,'Производительность'!E5*('Параметры'!C9-INT('Параметры'!C9))/'Параметры'!C9,0))</f>
        <v>22034.23175290183</v>
      </c>
      <c r="F44" s="54">
        <f>IF(F$4&lt;=INT('Параметры'!C9),'Производительность'!E5/'Параметры'!C9,IF(F$4=INT('Параметры'!C9)+1,'Производительность'!E5*('Параметры'!C9-INT('Параметры'!C9))/'Параметры'!C9,0))</f>
        <v>22034.23175290183</v>
      </c>
      <c r="G44" s="54">
        <f>IF(G$4&lt;=INT('Параметры'!C9),'Производительность'!E5/'Параметры'!C9,IF(G$4=INT('Параметры'!C9)+1,'Производительность'!E5*('Параметры'!C9-INT('Параметры'!C9))/'Параметры'!C9,0))</f>
        <v>22034.23175290183</v>
      </c>
      <c r="H44" s="54">
        <f>IF(H$4&lt;=INT('Параметры'!C9),'Производительность'!E5/'Параметры'!C9,IF(H$4=INT('Параметры'!C9)+1,'Производительность'!E5*('Параметры'!C9-INT('Параметры'!C9))/'Параметры'!C9,0))</f>
        <v>22034.23175290183</v>
      </c>
      <c r="I44" s="54">
        <f>IF(I$4&lt;=INT('Параметры'!C9),'Производительность'!E5/'Параметры'!C9,IF(I$4=INT('Параметры'!C9)+1,'Производительность'!E5*('Параметры'!C9-INT('Параметры'!C9))/'Параметры'!C9,0))</f>
        <v>22034.23175290183</v>
      </c>
      <c r="J44" s="54">
        <f>IF(J$4&lt;=INT('Параметры'!C9),'Производительность'!E5/'Параметры'!C9,IF(J$4=INT('Параметры'!C9)+1,'Производительность'!E5*('Параметры'!C9-INT('Параметры'!C9))/'Параметры'!C9,0))</f>
        <v>1828.8412354908558</v>
      </c>
      <c r="K44" s="54">
        <f>IF(K$4&lt;=INT('Параметры'!C9),'Производительность'!E5/'Параметры'!C9,IF(K$4=INT('Параметры'!C9)+1,'Производительность'!E5*('Параметры'!C9-INT('Параметры'!C9))/'Параметры'!C9,0))</f>
        <v>0.0</v>
      </c>
      <c r="L44" s="54">
        <f>IF(L$4&lt;=INT('Параметры'!C9),'Производительность'!E5/'Параметры'!C9,IF(L$4=INT('Параметры'!C9)+1,'Производительность'!E5*('Параметры'!C9-INT('Параметры'!C9))/'Параметры'!C9,0))</f>
        <v>0.0</v>
      </c>
      <c r="M44" s="54">
        <f>IF(M$4&lt;=INT('Параметры'!C9),'Производительность'!E5/'Параметры'!C9,IF(M$4=INT('Параметры'!C9)+1,'Производительность'!E5*('Параметры'!C9-INT('Параметры'!C9))/'Параметры'!C9,0))</f>
        <v>0.0</v>
      </c>
      <c r="N44" s="54">
        <f>IF(N$4&lt;=INT('Параметры'!C9),'Производительность'!E5/'Параметры'!C9,IF(N$4=INT('Параметры'!C9)+1,'Производительность'!E5*('Параметры'!C9-INT('Параметры'!C9))/'Параметры'!C9,0))</f>
        <v>0.0</v>
      </c>
    </row>
    <row r="45">
      <c r="B45" s="22" t="inlineStr">
        <is>
          <t>Налогооблагаемая база</t>
        </is>
      </c>
      <c r="C45" s="24" t="inlineStr">
        <is>
          <t>тыс.руб</t>
        </is>
      </c>
      <c r="D45" s="54" t="n"/>
      <c r="E45" s="54">
        <f>E43+E44</f>
        <v>67991.189198755</v>
      </c>
      <c r="F45" s="54">
        <f>F43+F44</f>
        <v>87357.8347196191</v>
      </c>
      <c r="G45" s="54">
        <f>G43+G44</f>
        <v>111476.53229967621</v>
      </c>
      <c r="H45" s="54">
        <f>H43+H44</f>
        <v>104580.39679881424</v>
      </c>
      <c r="I45" s="54">
        <f>I43+I44</f>
        <v>124209.99580865989</v>
      </c>
      <c r="J45" s="54">
        <f>J43+J44</f>
        <v>80171.6515194777</v>
      </c>
      <c r="K45" s="54">
        <f>K43+K44</f>
        <v>100822.81198324698</v>
      </c>
      <c r="L45" s="54">
        <f>L43+L44</f>
        <v>66678.68370412907</v>
      </c>
      <c r="M45" s="54">
        <f>M43+M44</f>
        <v>112172.12821215429</v>
      </c>
      <c r="N45" s="54">
        <f>N43+N44</f>
        <v>74771.85211103868</v>
      </c>
    </row>
    <row r="46">
      <c r="B46" s="22" t="inlineStr">
        <is>
          <t>Налог на прибыль (щит)</t>
        </is>
      </c>
      <c r="C46" s="24" t="inlineStr">
        <is>
          <t>тыс.руб</t>
        </is>
      </c>
      <c r="D46" s="54" t="n"/>
      <c r="E46" s="54">
        <f>-E45*'Параметры'!C7</f>
        <v>-16997.79729968875</v>
      </c>
      <c r="F46" s="54">
        <f>-F45*'Параметры'!C7</f>
        <v>-21839.458679904776</v>
      </c>
      <c r="G46" s="54">
        <f>-G45*'Параметры'!C7</f>
        <v>-27869.133074919053</v>
      </c>
      <c r="H46" s="54">
        <f>-H45*'Параметры'!C7</f>
        <v>-26145.09919970356</v>
      </c>
      <c r="I46" s="54">
        <f>-I45*'Параметры'!C7</f>
        <v>-31052.498952164973</v>
      </c>
      <c r="J46" s="54">
        <f>-J45*'Параметры'!C7</f>
        <v>-20042.912879869426</v>
      </c>
      <c r="K46" s="54">
        <f>-K45*'Параметры'!C7</f>
        <v>-25205.702995811745</v>
      </c>
      <c r="L46" s="54">
        <f>-L45*'Параметры'!C7</f>
        <v>-16669.670926032268</v>
      </c>
      <c r="M46" s="54">
        <f>-M45*'Параметры'!C7</f>
        <v>-28043.032053038572</v>
      </c>
      <c r="N46" s="54">
        <f>-N45*'Параметры'!C7</f>
        <v>-18692.96302775967</v>
      </c>
    </row>
    <row r="47">
      <c r="B47" s="22" t="inlineStr">
        <is>
          <t>Операц. денежный поток</t>
        </is>
      </c>
      <c r="C47" s="24" t="inlineStr">
        <is>
          <t>тыс.руб</t>
        </is>
      </c>
      <c r="D47" s="54" t="n"/>
      <c r="E47" s="65">
        <f>E45+E46-E44</f>
        <v>28959.16014616442</v>
      </c>
      <c r="F47" s="65">
        <f>F45+F46-F44</f>
        <v>43484.1442868125</v>
      </c>
      <c r="G47" s="65">
        <f>G45+G46-G44</f>
        <v>61573.167471855326</v>
      </c>
      <c r="H47" s="65">
        <f>H45+H46-H44</f>
        <v>56401.06584620885</v>
      </c>
      <c r="I47" s="65">
        <f>I45+I46-I44</f>
        <v>71123.26510359309</v>
      </c>
      <c r="J47" s="65">
        <f>J45+J46-J44</f>
        <v>58299.897404117415</v>
      </c>
      <c r="K47" s="65">
        <f>K45+K46-K44</f>
        <v>75617.10898743523</v>
      </c>
      <c r="L47" s="65">
        <f>L45+L46-L44</f>
        <v>50009.0127780968</v>
      </c>
      <c r="M47" s="65">
        <f>M45+M46-M44</f>
        <v>84129.09615911572</v>
      </c>
      <c r="N47" s="65">
        <f>N45+N46-N44</f>
        <v>56078.889083279006</v>
      </c>
    </row>
    <row r="48">
      <c r="B48" s="22" t="inlineStr">
        <is>
          <t>Инвестиции / остаточная ст-ть</t>
        </is>
      </c>
      <c r="C48" s="24" t="inlineStr">
        <is>
          <t>тыс.руб</t>
        </is>
      </c>
      <c r="D48" s="54">
        <f>IF(D$4=0,'Производительность'!E5,IF(D$4='Параметры'!C8,-'Ввод данных'!E14*'Производительность'!E5,0))</f>
        <v>112000.0</v>
      </c>
      <c r="E48" s="54">
        <f>IF(E$4=0,'Производительность'!E5,IF(E$4='Параметры'!C8,-'Ввод данных'!E14*'Производительность'!E5,0))</f>
        <v>0.0</v>
      </c>
      <c r="F48" s="54">
        <f>IF(F$4=0,'Производительность'!E5,IF(F$4='Параметры'!C8,-'Ввод данных'!E14*'Производительность'!E5,0))</f>
        <v>0.0</v>
      </c>
      <c r="G48" s="54">
        <f>IF(G$4=0,'Производительность'!E5,IF(G$4='Параметры'!C8,-'Ввод данных'!E14*'Производительность'!E5,0))</f>
        <v>0.0</v>
      </c>
      <c r="H48" s="54">
        <f>IF(H$4=0,'Производительность'!E5,IF(H$4='Параметры'!C8,-'Ввод данных'!E14*'Производительность'!E5,0))</f>
        <v>0.0</v>
      </c>
      <c r="I48" s="54">
        <f>IF(I$4=0,'Производительность'!E5,IF(I$4='Параметры'!C8,-'Ввод данных'!E14*'Производительность'!E5,0))</f>
        <v>0.0</v>
      </c>
      <c r="J48" s="54">
        <f>IF(J$4=0,'Производительность'!E5,IF(J$4='Параметры'!C8,-'Ввод данных'!E14*'Производительность'!E5,0))</f>
        <v>0.0</v>
      </c>
      <c r="K48" s="54">
        <f>IF(K$4=0,'Производительность'!E5,IF(K$4='Параметры'!C8,-'Ввод данных'!E14*'Производительность'!E5,0))</f>
        <v>0.0</v>
      </c>
      <c r="L48" s="54">
        <f>IF(L$4=0,'Производительность'!E5,IF(L$4='Параметры'!C8,-'Ввод данных'!E14*'Производительность'!E5,0))</f>
        <v>0.0</v>
      </c>
      <c r="M48" s="54">
        <f>IF(M$4=0,'Производительность'!E5,IF(M$4='Параметры'!C8,-'Ввод данных'!E14*'Производительность'!E5,0))</f>
        <v>0.0</v>
      </c>
      <c r="N48" s="54">
        <f>IF(N$4=0,'Производительность'!E5,IF(N$4='Параметры'!C8,-'Ввод данных'!E14*'Производительность'!E5,0))</f>
        <v>-0.0</v>
      </c>
    </row>
    <row r="49">
      <c r="B49" s="22" t="inlineStr">
        <is>
          <t>Чистый денежный поток</t>
        </is>
      </c>
      <c r="C49" s="24" t="inlineStr">
        <is>
          <t>тыс.руб</t>
        </is>
      </c>
      <c r="D49" s="65">
        <f>0+D48</f>
        <v>112000.0</v>
      </c>
      <c r="E49" s="65">
        <f>E47+E48</f>
        <v>28959.16014616442</v>
      </c>
      <c r="F49" s="65">
        <f>F47+F48</f>
        <v>43484.1442868125</v>
      </c>
      <c r="G49" s="65">
        <f>G47+G48</f>
        <v>61573.167471855326</v>
      </c>
      <c r="H49" s="65">
        <f>H47+H48</f>
        <v>56401.06584620885</v>
      </c>
      <c r="I49" s="65">
        <f>I47+I48</f>
        <v>71123.26510359309</v>
      </c>
      <c r="J49" s="65">
        <f>J47+J48</f>
        <v>58299.897404117415</v>
      </c>
      <c r="K49" s="65">
        <f>K47+K48</f>
        <v>75617.10898743523</v>
      </c>
      <c r="L49" s="65">
        <f>L47+L48</f>
        <v>50009.0127780968</v>
      </c>
      <c r="M49" s="65">
        <f>M47+M48</f>
        <v>84129.09615911572</v>
      </c>
      <c r="N49" s="65">
        <f>N47+N48</f>
        <v>56078.889083279006</v>
      </c>
    </row>
    <row r="50">
      <c r="B50" s="22" t="inlineStr">
        <is>
          <t>Дисконтированный поток</t>
        </is>
      </c>
      <c r="C50" s="24" t="inlineStr">
        <is>
          <t>тыс.руб</t>
        </is>
      </c>
      <c r="D50" s="54">
        <f>D49*D$6</f>
        <v>112000.0</v>
      </c>
      <c r="E50" s="54">
        <f>E49*E$6</f>
        <v>25856.392987646803</v>
      </c>
      <c r="F50" s="54">
        <f>F49*F$6</f>
        <v>34665.29359599211</v>
      </c>
      <c r="G50" s="54">
        <f>G49*G$6</f>
        <v>43826.56440177383</v>
      </c>
      <c r="H50" s="54">
        <f>H49*H$6</f>
        <v>35843.89698656699</v>
      </c>
      <c r="I50" s="54">
        <f>I49*I$6</f>
        <v>40357.2506861722</v>
      </c>
      <c r="J50" s="54">
        <f>J49*J$6</f>
        <v>29536.542386370766</v>
      </c>
      <c r="K50" s="54">
        <f>K49*K$6</f>
        <v>34205.339916510675</v>
      </c>
      <c r="L50" s="54">
        <f>L49*L$6</f>
        <v>20197.80150887925</v>
      </c>
      <c r="M50" s="54">
        <f>M49*M$6</f>
        <v>30337.795467616423</v>
      </c>
      <c r="N50" s="54">
        <f>N49*N$6</f>
        <v>18055.901422553987</v>
      </c>
    </row>
    <row r="51">
      <c r="B51" s="22" t="inlineStr">
        <is>
          <t>Кумул. дисконт. поток</t>
        </is>
      </c>
      <c r="C51" s="24" t="inlineStr">
        <is>
          <t>тыс.руб</t>
        </is>
      </c>
      <c r="D51" s="54">
        <f>SUM($D50:D50)</f>
        <v>112000.0</v>
      </c>
      <c r="E51" s="54">
        <f>SUM($D50:E50)</f>
        <v>137856.3929876468</v>
      </c>
      <c r="F51" s="54">
        <f>SUM($D50:F50)</f>
        <v>172521.68658363892</v>
      </c>
      <c r="G51" s="54">
        <f>SUM($D50:G50)</f>
        <v>216348.25098541274</v>
      </c>
      <c r="H51" s="54">
        <f>SUM($D50:H50)</f>
        <v>252192.14797197975</v>
      </c>
      <c r="I51" s="54">
        <f>SUM($D50:I50)</f>
        <v>292549.398658152</v>
      </c>
      <c r="J51" s="54">
        <f>SUM($D50:J50)</f>
        <v>322085.94104452274</v>
      </c>
      <c r="K51" s="54">
        <f>SUM($D50:K50)</f>
        <v>356291.28096103336</v>
      </c>
      <c r="L51" s="54">
        <f>SUM($D50:L50)</f>
        <v>376489.0824699126</v>
      </c>
      <c r="M51" s="54">
        <f>SUM($D50:M50)</f>
        <v>406826.877937529</v>
      </c>
      <c r="N51" s="54">
        <f>SUM($D50:N50)</f>
        <v>424882.779360083</v>
      </c>
    </row>
    <row r="52">
      <c r="B52" s="39" t="inlineStr">
        <is>
          <t>Аннуитет по году</t>
        </is>
      </c>
      <c r="C52" s="24" t="inlineStr">
        <is>
          <t>руб/пог.м</t>
        </is>
      </c>
      <c r="D52" s="66" t="n"/>
      <c r="E52" s="66">
        <f>SUM($D50:E50)/SUM($E$6:E$6)/(SUM($E34:E34)/E$4)</f>
        <v>1385.2754068911875</v>
      </c>
      <c r="F52" s="66">
        <f>SUM($D50:F50)/SUM($E$6:F$6)/(SUM($E34:F34)/F$4)</f>
        <v>931.1701048349593</v>
      </c>
      <c r="G52" s="66">
        <f>SUM($D50:G50)/SUM($E$6:G$6)/(SUM($E34:G34)/G$4)</f>
        <v>832.6098977362109</v>
      </c>
      <c r="H52" s="66">
        <f>SUM($D50:H50)/SUM($E$6:H$6)/(SUM($E34:H34)/H$4)</f>
        <v>766.0988526157992</v>
      </c>
      <c r="I52" s="66">
        <f>SUM($D50:I50)/SUM($E$6:I$6)/(SUM($E34:I34)/I$4)</f>
        <v>749.6151187451125</v>
      </c>
      <c r="J52" s="66">
        <f>SUM($D50:J50)/SUM($E$6:J$6)/(SUM($E34:J34)/J$4)</f>
        <v>727.2203257471064</v>
      </c>
      <c r="K52" s="66">
        <f>SUM($D50:K50)/SUM($E$6:K$6)/(SUM($E34:K34)/K$4)</f>
        <v>725.0427299359841</v>
      </c>
      <c r="L52" s="66">
        <f>SUM($D50:L50)/SUM($E$6:L$6)/(SUM($E34:L34)/L$4)</f>
        <v>703.757544316194</v>
      </c>
      <c r="M52" s="66">
        <f>SUM($D50:M50)/SUM($E$6:M$6)/(SUM($E34:M34)/M$4)</f>
        <v>710.3470380451022</v>
      </c>
      <c r="N52" s="66">
        <f>SUM($D50:N50)/SUM($E$6:N$6)/(SUM($E34:N34)/N$4)</f>
        <v>700.2985229339255</v>
      </c>
    </row>
    <row r="54">
      <c r="B54" s="5" t="str">
        <f>"Вариант 3:  "&amp;'Ввод данных'!F7</f>
        <v>Вариант 3:  Sunward
SWDRT270SM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B55" s="22" t="inlineStr">
        <is>
          <t>КТГ</t>
        </is>
      </c>
      <c r="C55" s="24" t="inlineStr">
        <is>
          <t>коэф.</t>
        </is>
      </c>
      <c r="D55" s="58" t="n"/>
      <c r="E55" s="58">
        <f>'Данные по годам'!E15</f>
        <v>0.8948</v>
      </c>
      <c r="F55" s="58">
        <f>'Данные по годам'!F15</f>
        <v>0.8654</v>
      </c>
      <c r="G55" s="58">
        <f>'Данные по годам'!G15</f>
        <v>0.8454</v>
      </c>
      <c r="H55" s="58">
        <f>'Данные по годам'!H15</f>
        <v>0.8748</v>
      </c>
      <c r="I55" s="58">
        <f>'Данные по годам'!I15</f>
        <v>0.8654</v>
      </c>
      <c r="J55" s="58">
        <f>'Данные по годам'!J15</f>
        <v>0.8432</v>
      </c>
      <c r="K55" s="58">
        <f>'Данные по годам'!K15</f>
        <v>0.8621</v>
      </c>
      <c r="L55" s="58">
        <f>'Данные по годам'!L15</f>
        <v>0.8654</v>
      </c>
      <c r="M55" s="58">
        <f>'Данные по годам'!M15</f>
        <v>0.8498</v>
      </c>
      <c r="N55" s="58">
        <f>'Данные по годам'!N15</f>
        <v>0.8543</v>
      </c>
    </row>
    <row r="56">
      <c r="B56" s="22" t="inlineStr">
        <is>
          <t>Эффективное время</t>
        </is>
      </c>
      <c r="C56" s="24" t="inlineStr">
        <is>
          <t>час/год</t>
        </is>
      </c>
      <c r="D56" s="54" t="n"/>
      <c r="E56" s="54">
        <f>'Параметры'!C27*E55*(1-137.92/(60*'Параметры'!C28))</f>
        <v>6336.949738666667</v>
      </c>
      <c r="F56" s="54">
        <f>'Параметры'!C27*F55*(1-137.92/(60*'Параметры'!C28))</f>
        <v>6128.739722666667</v>
      </c>
      <c r="G56" s="54">
        <f>'Параметры'!C27*G55*(1-137.92/(60*'Параметры'!C28))</f>
        <v>5987.100256000001</v>
      </c>
      <c r="H56" s="54">
        <f>'Параметры'!C27*H55*(1-137.92/(60*'Параметры'!C28))</f>
        <v>6195.310272000001</v>
      </c>
      <c r="I56" s="54">
        <f>'Параметры'!C27*I55*(1-137.92/(60*'Параметры'!C28))</f>
        <v>6128.739722666667</v>
      </c>
      <c r="J56" s="54">
        <f>'Параметры'!C27*J55*(1-137.92/(60*'Параметры'!C28))</f>
        <v>5971.519914666667</v>
      </c>
      <c r="K56" s="54">
        <f>'Параметры'!C27*K55*(1-137.92/(60*'Параметры'!C28))</f>
        <v>6105.369210666668</v>
      </c>
      <c r="L56" s="54">
        <f>'Параметры'!C27*L55*(1-137.92/(60*'Параметры'!C28))</f>
        <v>6128.739722666667</v>
      </c>
      <c r="M56" s="54">
        <f>'Параметры'!C27*M55*(1-137.92/(60*'Параметры'!C28))</f>
        <v>6018.260938666667</v>
      </c>
      <c r="N56" s="54">
        <f>'Параметры'!C27*N55*(1-137.92/(60*'Параметры'!C28))</f>
        <v>6050.129818666667</v>
      </c>
    </row>
    <row r="57">
      <c r="B57" s="22" t="inlineStr">
        <is>
          <t>Объём бурения</t>
        </is>
      </c>
      <c r="C57" s="24" t="inlineStr">
        <is>
          <t>тыс.пог.м</t>
        </is>
      </c>
      <c r="D57" s="64" t="n"/>
      <c r="E57" s="64">
        <f>'Производительность'!F12*E56/1000</f>
        <v>126.96469611408122</v>
      </c>
      <c r="F57" s="64">
        <f>'Производительность'!F12*F56/1000</f>
        <v>122.79308003702043</v>
      </c>
      <c r="G57" s="64">
        <f>'Производительность'!F12*G56/1000</f>
        <v>119.95524597099269</v>
      </c>
      <c r="H57" s="64">
        <f>'Производительность'!F12*H56/1000</f>
        <v>124.12686204805347</v>
      </c>
      <c r="I57" s="64">
        <f>'Производительность'!F12*I56/1000</f>
        <v>122.79308003702043</v>
      </c>
      <c r="J57" s="64">
        <f>'Производительность'!F12*J56/1000</f>
        <v>119.64308422372964</v>
      </c>
      <c r="K57" s="64">
        <f>'Производительность'!F12*K56/1000</f>
        <v>122.32483741612587</v>
      </c>
      <c r="L57" s="64">
        <f>'Производительность'!F12*L56/1000</f>
        <v>122.79308003702043</v>
      </c>
      <c r="M57" s="64">
        <f>'Производительность'!F12*M56/1000</f>
        <v>120.5795694655188</v>
      </c>
      <c r="N57" s="64">
        <f>'Производительность'!F12*N56/1000</f>
        <v>121.21808213037504</v>
      </c>
    </row>
    <row r="58">
      <c r="B58" s="22" t="inlineStr">
        <is>
          <t>Объём взрывания</t>
        </is>
      </c>
      <c r="C58" s="24" t="inlineStr">
        <is>
          <t>тыс.м³</t>
        </is>
      </c>
      <c r="D58" s="54" t="n"/>
      <c r="E58" s="54">
        <f>E57*'Параметры'!C35</f>
        <v>6280.308693283028</v>
      </c>
      <c r="F58" s="54">
        <f>F57*'Параметры'!C35</f>
        <v>6073.9597040312165</v>
      </c>
      <c r="G58" s="54">
        <f>G57*'Параметры'!C35</f>
        <v>5933.586241955154</v>
      </c>
      <c r="H58" s="54">
        <f>H57*'Параметры'!C35</f>
        <v>6139.935231206965</v>
      </c>
      <c r="I58" s="54">
        <f>I57*'Параметры'!C35</f>
        <v>6073.9597040312165</v>
      </c>
      <c r="J58" s="54">
        <f>J57*'Параметры'!C35</f>
        <v>5918.145161126788</v>
      </c>
      <c r="K58" s="54">
        <f>K57*'Параметры'!C35</f>
        <v>6050.798082788667</v>
      </c>
      <c r="L58" s="54">
        <f>L57*'Параметры'!C35</f>
        <v>6073.9597040312165</v>
      </c>
      <c r="M58" s="54">
        <f>M57*'Параметры'!C35</f>
        <v>5964.468403611888</v>
      </c>
      <c r="N58" s="54">
        <f>N57*'Параметры'!C35</f>
        <v>5996.052432579002</v>
      </c>
    </row>
    <row r="59">
      <c r="B59" s="22" t="inlineStr">
        <is>
          <t>Топливо/энергия</t>
        </is>
      </c>
      <c r="C59" s="24" t="inlineStr">
        <is>
          <t>тыс.руб</t>
        </is>
      </c>
      <c r="D59" s="54" t="n"/>
      <c r="E59" s="54">
        <f>E56*'Данные по годам'!E17/1000*'Параметры'!C10*(1+'Параметры'!C15)^(E$4-1)</f>
        <v>20959.79014833144</v>
      </c>
      <c r="F59" s="54">
        <f>F56*'Данные по годам'!F17/1000*'Параметры'!C10*(1+'Параметры'!C15)^(F$4-1)</f>
        <v>20271.12471431161</v>
      </c>
      <c r="G59" s="54">
        <f>G56*'Данные по годам'!G17/1000*'Параметры'!C10*(1+'Параметры'!C15)^(G$4-1)</f>
        <v>19802.644827223292</v>
      </c>
      <c r="H59" s="54">
        <f>H56*'Данные по годам'!H17/1000*'Параметры'!C10*(1+'Параметры'!C15)^(H$4-1)</f>
        <v>20491.31026124312</v>
      </c>
      <c r="I59" s="54">
        <f>I56*'Данные по годам'!I17/1000*'Параметры'!C10*(1+'Параметры'!C15)^(I$4-1)</f>
        <v>20271.12471431161</v>
      </c>
      <c r="J59" s="54">
        <f>J56*'Данные по годам'!J17/1000*'Параметры'!C10*(1+'Параметры'!C15)^(J$4-1)</f>
        <v>19751.112039643576</v>
      </c>
      <c r="K59" s="54">
        <f>K56*'Данные по годам'!K17/1000*'Параметры'!C10*(1+'Параметры'!C15)^(K$4-1)</f>
        <v>20193.82553294204</v>
      </c>
      <c r="L59" s="54">
        <f>L56*'Данные по годам'!L17/1000*'Параметры'!C10*(1+'Параметры'!C15)^(L$4-1)</f>
        <v>20271.12471431161</v>
      </c>
      <c r="M59" s="54">
        <f>M56*'Данные по годам'!M17/1000*'Параметры'!C10*(1+'Параметры'!C15)^(M$4-1)</f>
        <v>19905.710402382723</v>
      </c>
      <c r="N59" s="54">
        <f>N56*'Данные по годам'!N17/1000*'Параметры'!C10*(1+'Параметры'!C15)^(N$4-1)</f>
        <v>20011.11837697759</v>
      </c>
    </row>
    <row r="60">
      <c r="B60" s="22" t="inlineStr">
        <is>
          <t>ТОиР и сервис (по годам)</t>
        </is>
      </c>
      <c r="C60" s="24" t="inlineStr">
        <is>
          <t>тыс.руб</t>
        </is>
      </c>
      <c r="D60" s="54" t="n"/>
      <c r="E60" s="54">
        <f>'Данные по годам'!E16*IF('Данные по годам'!$D$16="CNY",'Параметры'!C21,IF('Данные по годам'!$D$16="USD",'Параметры'!C22,IF('Данные по годам'!$D$16="EUR",'Параметры'!C23,1)))</f>
        <v>14044.460864207933</v>
      </c>
      <c r="F60" s="54">
        <f>'Данные по годам'!F16*IF('Данные по годам'!$D$16="CNY",'Параметры'!C21,IF('Данные по годам'!$D$16="USD",'Параметры'!C22,IF('Данные по годам'!$D$16="EUR",'Параметры'!C23,1)))</f>
        <v>33943.069504764</v>
      </c>
      <c r="G60" s="54">
        <f>'Данные по годам'!G16*IF('Данные по годам'!$D$16="CNY",'Параметры'!C21,IF('Данные по годам'!$D$16="USD",'Параметры'!C22,IF('Данные по годам'!$D$16="EUR",'Параметры'!C23,1)))</f>
        <v>58423.64675808094</v>
      </c>
      <c r="H60" s="54">
        <f>'Данные по годам'!H16*IF('Данные по годам'!$D$16="CNY",'Параметры'!C21,IF('Данные по годам'!$D$16="USD",'Параметры'!C22,IF('Данные по годам'!$D$16="EUR",'Параметры'!C23,1)))</f>
        <v>50995.548137527</v>
      </c>
      <c r="I60" s="54">
        <f>'Данные по годам'!I16*IF('Данные по годам'!$D$16="CNY",'Параметры'!C21,IF('Данные по годам'!$D$16="USD",'Параметры'!C22,IF('Данные по годам'!$D$16="EUR",'Параметры'!C23,1)))</f>
        <v>70795.23059380478</v>
      </c>
      <c r="J60" s="54">
        <f>'Данные по годам'!J16*IF('Данные по годам'!$D$16="CNY",'Параметры'!C21,IF('Данные по годам'!$D$16="USD",'Параметры'!C22,IF('Данные по годам'!$D$16="EUR",'Параметры'!C23,1)))</f>
        <v>47363.963259352</v>
      </c>
      <c r="K60" s="54">
        <f>'Данные по годам'!K16*IF('Данные по годам'!$D$16="CNY",'Параметры'!C21,IF('Данные по годам'!$D$16="USD",'Параметры'!C22,IF('Данные по годам'!$D$16="EUR",'Параметры'!C23,1)))</f>
        <v>69501.98866738158</v>
      </c>
      <c r="L60" s="54">
        <f>'Данные по годам'!L16*IF('Данные по годам'!$D$16="CNY",'Параметры'!C21,IF('Данные по годам'!$D$16="USD",'Параметры'!C22,IF('Данные по годам'!$D$16="EUR",'Параметры'!C23,1)))</f>
        <v>35298.15024217578</v>
      </c>
      <c r="M60" s="54">
        <f>'Данные по годам'!M16*IF('Данные по годам'!$D$16="CNY",'Параметры'!C21,IF('Данные по годам'!$D$16="USD",'Параметры'!C22,IF('Данные по годам'!$D$16="EUR",'Параметры'!C23,1)))</f>
        <v>81073.86089534369</v>
      </c>
      <c r="N60" s="54">
        <f>'Данные по годам'!N16*IF('Данные по годам'!$D$16="CNY",'Параметры'!C21,IF('Данные по годам'!$D$16="USD",'Параметры'!C22,IF('Данные по годам'!$D$16="EUR",'Параметры'!C23,1)))</f>
        <v>43592.16186774461</v>
      </c>
    </row>
    <row r="61">
      <c r="B61" s="22" t="inlineStr">
        <is>
          <t>Долота</t>
        </is>
      </c>
      <c r="C61" s="24" t="inlineStr">
        <is>
          <t>тыс.руб</t>
        </is>
      </c>
      <c r="D61" s="54" t="n"/>
      <c r="E61" s="54">
        <f>E57*'Поставщик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годам'!$D$16="EUR",'Параметры'!C23,1)))*(1+'Параметры'!C16)^(E$4-1)</f>
        <v>0.0</v>
      </c>
      <c r="F61" s="54">
        <f>F57*'Поставщик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годам'!$D$16="EUR",'Параметры'!C23,1)))*(1+'Параметры'!C16)^(F$4-1)</f>
        <v>0.0</v>
      </c>
      <c r="G61" s="54">
        <f>G57*'Поставщик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годам'!$D$16="EUR",'Параметры'!C23,1)))*(1+'Параметры'!C16)^(G$4-1)</f>
        <v>0.0</v>
      </c>
      <c r="H61" s="54">
        <f>H57*'Поставщик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годам'!$D$16="EUR",'Параметры'!C23,1)))*(1+'Параметры'!C16)^(H$4-1)</f>
        <v>0.0</v>
      </c>
      <c r="I61" s="54">
        <f>I57*'Поставщик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годам'!$D$16="EUR",'Параметры'!C23,1)))*(1+'Параметры'!C16)^(I$4-1)</f>
        <v>0.0</v>
      </c>
      <c r="J61" s="54">
        <f>J57*'Поставщик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годам'!$D$16="EUR",'Параметры'!C23,1)))*(1+'Параметры'!C16)^(J$4-1)</f>
        <v>0.0</v>
      </c>
      <c r="K61" s="54">
        <f>K57*'Поставщик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годам'!$D$16="EUR",'Параметры'!C23,1)))*(1+'Параметры'!C16)^(K$4-1)</f>
        <v>0.0</v>
      </c>
      <c r="L61" s="54">
        <f>L57*'Поставщик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годам'!$D$16="EUR",'Параметры'!C23,1)))*(1+'Параметры'!C16)^(L$4-1)</f>
        <v>0.0</v>
      </c>
      <c r="M61" s="54">
        <f>M57*'Поставщик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годам'!$D$16="EUR",'Параметры'!C23,1)))*(1+'Параметры'!C16)^(M$4-1)</f>
        <v>0.0</v>
      </c>
      <c r="N61" s="54">
        <f>N57*'Поставщик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годам'!$D$16="EUR",'Параметры'!C23,1)))*(1+'Параметры'!C16)^(N$4-1)</f>
        <v>0.0</v>
      </c>
    </row>
    <row r="62">
      <c r="B62" s="22" t="inlineStr">
        <is>
          <t>Штанги/адаптеры</t>
        </is>
      </c>
      <c r="C62" s="24" t="inlineStr">
        <is>
          <t>тыс.руб</t>
        </is>
      </c>
      <c r="D62" s="54" t="n"/>
      <c r="E62" s="54">
        <f>E57*'Поставщик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годам'!$D$16="EUR",'Параметры'!C23,1)))*(1+'Параметры'!C16)^(E$4-1)</f>
        <v>0.0</v>
      </c>
      <c r="F62" s="54">
        <f>F57*'Поставщик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годам'!$D$16="EUR",'Параметры'!C23,1)))*(1+'Параметры'!C16)^(F$4-1)</f>
        <v>0.0</v>
      </c>
      <c r="G62" s="54">
        <f>G57*'Поставщик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годам'!$D$16="EUR",'Параметры'!C23,1)))*(1+'Параметры'!C16)^(G$4-1)</f>
        <v>0.0</v>
      </c>
      <c r="H62" s="54">
        <f>H57*'Поставщик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годам'!$D$16="EUR",'Параметры'!C23,1)))*(1+'Параметры'!C16)^(H$4-1)</f>
        <v>0.0</v>
      </c>
      <c r="I62" s="54">
        <f>I57*'Поставщик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годам'!$D$16="EUR",'Параметры'!C23,1)))*(1+'Параметры'!C16)^(I$4-1)</f>
        <v>0.0</v>
      </c>
      <c r="J62" s="54">
        <f>J57*'Поставщик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годам'!$D$16="EUR",'Параметры'!C23,1)))*(1+'Параметры'!C16)^(J$4-1)</f>
        <v>0.0</v>
      </c>
      <c r="K62" s="54">
        <f>K57*'Поставщик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годам'!$D$16="EUR",'Параметры'!C23,1)))*(1+'Параметры'!C16)^(K$4-1)</f>
        <v>0.0</v>
      </c>
      <c r="L62" s="54">
        <f>L57*'Поставщик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годам'!$D$16="EUR",'Параметры'!C23,1)))*(1+'Параметры'!C16)^(L$4-1)</f>
        <v>0.0</v>
      </c>
      <c r="M62" s="54">
        <f>M57*'Поставщик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годам'!$D$16="EUR",'Параметры'!C23,1)))*(1+'Параметры'!C16)^(M$4-1)</f>
        <v>0.0</v>
      </c>
      <c r="N62" s="54">
        <f>N57*'Поставщик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годам'!$D$16="EUR",'Параметры'!C23,1)))*(1+'Параметры'!C16)^(N$4-1)</f>
        <v>0.0</v>
      </c>
    </row>
    <row r="63">
      <c r="B63" s="22" t="inlineStr">
        <is>
          <t>Расходники</t>
        </is>
      </c>
      <c r="C63" s="24" t="inlineStr">
        <is>
          <t>тыс.руб</t>
        </is>
      </c>
      <c r="D63" s="54" t="n"/>
      <c r="E63" s="54">
        <f>E57*'Поставщик 3'!$D$257*(1+'Параметры'!C16)^(E$4-1)</f>
        <v>0.0</v>
      </c>
      <c r="F63" s="54">
        <f>F57*'Поставщик 3'!$D$257*(1+'Параметры'!C16)^(F$4-1)</f>
        <v>0.0</v>
      </c>
      <c r="G63" s="54">
        <f>G57*'Поставщик 3'!$D$257*(1+'Параметры'!C16)^(G$4-1)</f>
        <v>0.0</v>
      </c>
      <c r="H63" s="54">
        <f>H57*'Поставщик 3'!$D$257*(1+'Параметры'!C16)^(H$4-1)</f>
        <v>0.0</v>
      </c>
      <c r="I63" s="54">
        <f>I57*'Поставщик 3'!$D$257*(1+'Параметры'!C16)^(I$4-1)</f>
        <v>0.0</v>
      </c>
      <c r="J63" s="54">
        <f>J57*'Поставщик 3'!$D$257*(1+'Параметры'!C16)^(J$4-1)</f>
        <v>0.0</v>
      </c>
      <c r="K63" s="54">
        <f>K57*'Поставщик 3'!$D$257*(1+'Параметры'!C16)^(K$4-1)</f>
        <v>0.0</v>
      </c>
      <c r="L63" s="54">
        <f>L57*'Поставщик 3'!$D$257*(1+'Параметры'!C16)^(L$4-1)</f>
        <v>0.0</v>
      </c>
      <c r="M63" s="54">
        <f>M57*'Поставщик 3'!$D$257*(1+'Параметры'!C16)^(M$4-1)</f>
        <v>0.0</v>
      </c>
      <c r="N63" s="54">
        <f>N57*'Поставщик 3'!$D$257*(1+'Параметры'!C16)^(N$4-1)</f>
        <v>0.0</v>
      </c>
    </row>
    <row r="64">
      <c r="B64" s="22" t="inlineStr">
        <is>
          <t>Персонал</t>
        </is>
      </c>
      <c r="C64" s="24" t="inlineStr">
        <is>
          <t>тыс.руб</t>
        </is>
      </c>
      <c r="D64" s="54" t="n"/>
      <c r="E64" s="54">
        <f>'Ввод данных'!F22*(1+'Параметры'!C17)^(E$4-1)</f>
        <v>15710.0</v>
      </c>
      <c r="F64" s="54">
        <f>'Ввод данных'!F22*(1+'Параметры'!C17)^(F$4-1)</f>
        <v>15710.0</v>
      </c>
      <c r="G64" s="54">
        <f>'Ввод данных'!F22*(1+'Параметры'!C17)^(G$4-1)</f>
        <v>15710.0</v>
      </c>
      <c r="H64" s="54">
        <f>'Ввод данных'!F22*(1+'Параметры'!C17)^(H$4-1)</f>
        <v>15710.0</v>
      </c>
      <c r="I64" s="54">
        <f>'Ввод данных'!F22*(1+'Параметры'!C17)^(I$4-1)</f>
        <v>15710.0</v>
      </c>
      <c r="J64" s="54">
        <f>'Ввод данных'!F22*(1+'Параметры'!C17)^(J$4-1)</f>
        <v>15710.0</v>
      </c>
      <c r="K64" s="54">
        <f>'Ввод данных'!F22*(1+'Параметры'!C17)^(K$4-1)</f>
        <v>15710.0</v>
      </c>
      <c r="L64" s="54">
        <f>'Ввод данных'!F22*(1+'Параметры'!C17)^(L$4-1)</f>
        <v>15710.0</v>
      </c>
      <c r="M64" s="54">
        <f>'Ввод данных'!F22*(1+'Параметры'!C17)^(M$4-1)</f>
        <v>15710.0</v>
      </c>
      <c r="N64" s="54">
        <f>'Ввод данных'!F22*(1+'Параметры'!C17)^(N$4-1)</f>
        <v>15710.0</v>
      </c>
    </row>
    <row r="65">
      <c r="B65" s="22" t="inlineStr">
        <is>
          <t>Транспортный налог</t>
        </is>
      </c>
      <c r="C65" s="24" t="inlineStr">
        <is>
          <t>тыс.руб</t>
        </is>
      </c>
      <c r="D65" s="54" t="n"/>
      <c r="E65" s="54">
        <f>'Ввод данных'!F23*15/1000</f>
        <v>12.0</v>
      </c>
      <c r="F65" s="54">
        <f>'Ввод данных'!F23*15/1000</f>
        <v>12.0</v>
      </c>
      <c r="G65" s="54">
        <f>'Ввод данных'!F23*15/1000</f>
        <v>12.0</v>
      </c>
      <c r="H65" s="54">
        <f>'Ввод данных'!F23*15/1000</f>
        <v>12.0</v>
      </c>
      <c r="I65" s="54">
        <f>'Ввод данных'!F23*15/1000</f>
        <v>12.0</v>
      </c>
      <c r="J65" s="54">
        <f>'Ввод данных'!F23*15/1000</f>
        <v>12.0</v>
      </c>
      <c r="K65" s="54">
        <f>'Ввод данных'!F23*15/1000</f>
        <v>12.0</v>
      </c>
      <c r="L65" s="54">
        <f>'Ввод данных'!F23*15/1000</f>
        <v>12.0</v>
      </c>
      <c r="M65" s="54">
        <f>'Ввод данных'!F23*15/1000</f>
        <v>12.0</v>
      </c>
      <c r="N65" s="54">
        <f>'Ввод данных'!F23*15/1000</f>
        <v>12.0</v>
      </c>
    </row>
    <row r="66">
      <c r="B66" s="22" t="inlineStr">
        <is>
          <t>Итого денежные затраты</t>
        </is>
      </c>
      <c r="C66" s="24" t="inlineStr">
        <is>
          <t>тыс.руб</t>
        </is>
      </c>
      <c r="D66" s="54" t="n"/>
      <c r="E66" s="65">
        <f>E59+E60+E61+E62+E63+E64+E65</f>
        <v>50726.251012539375</v>
      </c>
      <c r="F66" s="65">
        <f>F59+F60+F61+F62+F63+F64+F65</f>
        <v>69936.19421907561</v>
      </c>
      <c r="G66" s="65">
        <f>G59+G60+G61+G62+G63+G64+G65</f>
        <v>93948.29158530424</v>
      </c>
      <c r="H66" s="65">
        <f>H59+H60+H61+H62+H63+H64+H65</f>
        <v>87208.85839877013</v>
      </c>
      <c r="I66" s="65">
        <f>I59+I60+I61+I62+I63+I64+I65</f>
        <v>106788.35530811638</v>
      </c>
      <c r="J66" s="65">
        <f>J59+J60+J61+J62+J63+J64+J65</f>
        <v>82837.07529899558</v>
      </c>
      <c r="K66" s="65">
        <f>K59+K60+K61+K62+K63+K64+K65</f>
        <v>105417.81420032361</v>
      </c>
      <c r="L66" s="65">
        <f>L59+L60+L61+L62+L63+L64+L65</f>
        <v>71291.2749564874</v>
      </c>
      <c r="M66" s="65">
        <f>M59+M60+M61+M62+M63+M64+M65</f>
        <v>116701.57129772642</v>
      </c>
      <c r="N66" s="65">
        <f>N59+N60+N61+N62+N63+N64+N65</f>
        <v>79325.2802447222</v>
      </c>
    </row>
    <row r="67">
      <c r="B67" s="22" t="inlineStr">
        <is>
          <t>Амортизация (НУ)</t>
        </is>
      </c>
      <c r="C67" s="24" t="inlineStr">
        <is>
          <t>тыс.руб</t>
        </is>
      </c>
      <c r="D67" s="54" t="n"/>
      <c r="E67" s="54">
        <f>IF(E$4&lt;=INT('Параметры'!C9),'Производительность'!F5/'Параметры'!C9,IF(E$4=INT('Параметры'!C9)+1,'Производительность'!F5*('Параметры'!C9-INT('Параметры'!C9))/'Параметры'!C9,0))</f>
        <v>26755.852842809363</v>
      </c>
      <c r="F67" s="54">
        <f>IF(F$4&lt;=INT('Параметры'!C9),'Производительность'!F5/'Параметры'!C9,IF(F$4=INT('Параметры'!C9)+1,'Производительность'!F5*('Параметры'!C9-INT('Параметры'!C9))/'Параметры'!C9,0))</f>
        <v>26755.852842809363</v>
      </c>
      <c r="G67" s="54">
        <f>IF(G$4&lt;=INT('Параметры'!C9),'Производительность'!F5/'Параметры'!C9,IF(G$4=INT('Параметры'!C9)+1,'Производительность'!F5*('Параметры'!C9-INT('Параметры'!C9))/'Параметры'!C9,0))</f>
        <v>26755.852842809363</v>
      </c>
      <c r="H67" s="54">
        <f>IF(H$4&lt;=INT('Параметры'!C9),'Производительность'!F5/'Параметры'!C9,IF(H$4=INT('Параметры'!C9)+1,'Производительность'!F5*('Параметры'!C9-INT('Параметры'!C9))/'Параметры'!C9,0))</f>
        <v>26755.852842809363</v>
      </c>
      <c r="I67" s="54">
        <f>IF(I$4&lt;=INT('Параметры'!C9),'Производительность'!F5/'Параметры'!C9,IF(I$4=INT('Параметры'!C9)+1,'Производительность'!F5*('Параметры'!C9-INT('Параметры'!C9))/'Параметры'!C9,0))</f>
        <v>26755.852842809363</v>
      </c>
      <c r="J67" s="54">
        <f>IF(J$4&lt;=INT('Параметры'!C9),'Производительность'!F5/'Параметры'!C9,IF(J$4=INT('Параметры'!C9)+1,'Производительность'!F5*('Параметры'!C9-INT('Параметры'!C9))/'Параметры'!C9,0))</f>
        <v>2220.735785953182</v>
      </c>
      <c r="K67" s="54">
        <f>IF(K$4&lt;=INT('Параметры'!C9),'Производительность'!F5/'Параметры'!C9,IF(K$4=INT('Параметры'!C9)+1,'Производительность'!F5*('Параметры'!C9-INT('Параметры'!C9))/'Параметры'!C9,0))</f>
        <v>0.0</v>
      </c>
      <c r="L67" s="54">
        <f>IF(L$4&lt;=INT('Параметры'!C9),'Производительность'!F5/'Параметры'!C9,IF(L$4=INT('Параметры'!C9)+1,'Производительность'!F5*('Параметры'!C9-INT('Параметры'!C9))/'Параметры'!C9,0))</f>
        <v>0.0</v>
      </c>
      <c r="M67" s="54">
        <f>IF(M$4&lt;=INT('Параметры'!C9),'Производительность'!F5/'Параметры'!C9,IF(M$4=INT('Параметры'!C9)+1,'Производительность'!F5*('Параметры'!C9-INT('Параметры'!C9))/'Параметры'!C9,0))</f>
        <v>0.0</v>
      </c>
      <c r="N67" s="54">
        <f>IF(N$4&lt;=INT('Параметры'!C9),'Производительность'!F5/'Параметры'!C9,IF(N$4=INT('Параметры'!C9)+1,'Производительность'!F5*('Параметры'!C9-INT('Параметры'!C9))/'Параметры'!C9,0))</f>
        <v>0.0</v>
      </c>
    </row>
    <row r="68">
      <c r="B68" s="22" t="inlineStr">
        <is>
          <t>Налогооблагаемая база</t>
        </is>
      </c>
      <c r="C68" s="24" t="inlineStr">
        <is>
          <t>тыс.руб</t>
        </is>
      </c>
      <c r="D68" s="54" t="n"/>
      <c r="E68" s="54">
        <f>E66+E67</f>
        <v>77482.10385534875</v>
      </c>
      <c r="F68" s="54">
        <f>F66+F67</f>
        <v>96692.04706188498</v>
      </c>
      <c r="G68" s="54">
        <f>G66+G67</f>
        <v>120704.14442811359</v>
      </c>
      <c r="H68" s="54">
        <f>H66+H67</f>
        <v>113964.7112415795</v>
      </c>
      <c r="I68" s="54">
        <f>I66+I67</f>
        <v>133544.20815092576</v>
      </c>
      <c r="J68" s="54">
        <f>J66+J67</f>
        <v>85057.81108494876</v>
      </c>
      <c r="K68" s="54">
        <f>K66+K67</f>
        <v>105417.81420032361</v>
      </c>
      <c r="L68" s="54">
        <f>L66+L67</f>
        <v>71291.2749564874</v>
      </c>
      <c r="M68" s="54">
        <f>M66+M67</f>
        <v>116701.57129772642</v>
      </c>
      <c r="N68" s="54">
        <f>N66+N67</f>
        <v>79325.2802447222</v>
      </c>
    </row>
    <row r="69">
      <c r="B69" s="22" t="inlineStr">
        <is>
          <t>Налог на прибыль (щит)</t>
        </is>
      </c>
      <c r="C69" s="24" t="inlineStr">
        <is>
          <t>тыс.руб</t>
        </is>
      </c>
      <c r="D69" s="54" t="n"/>
      <c r="E69" s="54">
        <f>-E68*'Параметры'!C7</f>
        <v>-19370.525963837186</v>
      </c>
      <c r="F69" s="54">
        <f>-F68*'Параметры'!C7</f>
        <v>-24173.011765471245</v>
      </c>
      <c r="G69" s="54">
        <f>-G68*'Параметры'!C7</f>
        <v>-30176.036107028398</v>
      </c>
      <c r="H69" s="54">
        <f>-H68*'Параметры'!C7</f>
        <v>-28491.177810394875</v>
      </c>
      <c r="I69" s="54">
        <f>-I68*'Параметры'!C7</f>
        <v>-33386.05203773144</v>
      </c>
      <c r="J69" s="54">
        <f>-J68*'Параметры'!C7</f>
        <v>-21264.45277123719</v>
      </c>
      <c r="K69" s="54">
        <f>-K68*'Параметры'!C7</f>
        <v>-26354.453550080903</v>
      </c>
      <c r="L69" s="54">
        <f>-L68*'Параметры'!C7</f>
        <v>-17822.81873912185</v>
      </c>
      <c r="M69" s="54">
        <f>-M68*'Параметры'!C7</f>
        <v>-29175.392824431605</v>
      </c>
      <c r="N69" s="54">
        <f>-N68*'Параметры'!C7</f>
        <v>-19831.32006118055</v>
      </c>
    </row>
    <row r="70">
      <c r="B70" s="22" t="inlineStr">
        <is>
          <t>Операц. денежный поток</t>
        </is>
      </c>
      <c r="C70" s="24" t="inlineStr">
        <is>
          <t>тыс.руб</t>
        </is>
      </c>
      <c r="D70" s="54" t="n"/>
      <c r="E70" s="65">
        <f>E68+E69-E67</f>
        <v>31355.725048702196</v>
      </c>
      <c r="F70" s="65">
        <f>F68+F69-F67</f>
        <v>45763.182453604364</v>
      </c>
      <c r="G70" s="65">
        <f>G68+G69-G67</f>
        <v>63772.25547827583</v>
      </c>
      <c r="H70" s="65">
        <f>H68+H69-H67</f>
        <v>58717.68058837526</v>
      </c>
      <c r="I70" s="65">
        <f>I68+I69-I67</f>
        <v>73402.30327038496</v>
      </c>
      <c r="J70" s="65">
        <f>J68+J69-J67</f>
        <v>61572.62252775838</v>
      </c>
      <c r="K70" s="65">
        <f>K68+K69-K67</f>
        <v>79063.36065024271</v>
      </c>
      <c r="L70" s="65">
        <f>L68+L69-L67</f>
        <v>53468.45621736554</v>
      </c>
      <c r="M70" s="65">
        <f>M68+M69-M67</f>
        <v>87526.17847329481</v>
      </c>
      <c r="N70" s="65">
        <f>N68+N69-N67</f>
        <v>59493.960183541654</v>
      </c>
    </row>
    <row r="71">
      <c r="B71" s="22" t="inlineStr">
        <is>
          <t>Инвестиции / остаточная ст-ть</t>
        </is>
      </c>
      <c r="C71" s="24" t="inlineStr">
        <is>
          <t>тыс.руб</t>
        </is>
      </c>
      <c r="D71" s="54">
        <f>IF(D$4=0,'Производительность'!F5,IF(D$4='Параметры'!C8,-'Ввод данных'!F14*'Производительность'!F5,0))</f>
        <v>136000.0</v>
      </c>
      <c r="E71" s="54">
        <f>IF(E$4=0,'Производительность'!F5,IF(E$4='Параметры'!C8,-'Ввод данных'!F14*'Производительность'!F5,0))</f>
        <v>0.0</v>
      </c>
      <c r="F71" s="54">
        <f>IF(F$4=0,'Производительность'!F5,IF(F$4='Параметры'!C8,-'Ввод данных'!F14*'Производительность'!F5,0))</f>
        <v>0.0</v>
      </c>
      <c r="G71" s="54">
        <f>IF(G$4=0,'Производительность'!F5,IF(G$4='Параметры'!C8,-'Ввод данных'!F14*'Производительность'!F5,0))</f>
        <v>0.0</v>
      </c>
      <c r="H71" s="54">
        <f>IF(H$4=0,'Производительность'!F5,IF(H$4='Параметры'!C8,-'Ввод данных'!F14*'Производительность'!F5,0))</f>
        <v>0.0</v>
      </c>
      <c r="I71" s="54">
        <f>IF(I$4=0,'Производительность'!F5,IF(I$4='Параметры'!C8,-'Ввод данных'!F14*'Производительность'!F5,0))</f>
        <v>0.0</v>
      </c>
      <c r="J71" s="54">
        <f>IF(J$4=0,'Производительность'!F5,IF(J$4='Параметры'!C8,-'Ввод данных'!F14*'Производительность'!F5,0))</f>
        <v>0.0</v>
      </c>
      <c r="K71" s="54">
        <f>IF(K$4=0,'Производительность'!F5,IF(K$4='Параметры'!C8,-'Ввод данных'!F14*'Производительность'!F5,0))</f>
        <v>0.0</v>
      </c>
      <c r="L71" s="54">
        <f>IF(L$4=0,'Производительность'!F5,IF(L$4='Параметры'!C8,-'Ввод данных'!F14*'Производительность'!F5,0))</f>
        <v>0.0</v>
      </c>
      <c r="M71" s="54">
        <f>IF(M$4=0,'Производительность'!F5,IF(M$4='Параметры'!C8,-'Ввод данных'!F14*'Производительность'!F5,0))</f>
        <v>0.0</v>
      </c>
      <c r="N71" s="54">
        <f>IF(N$4=0,'Производительность'!F5,IF(N$4='Параметры'!C8,-'Ввод данных'!F14*'Производительность'!F5,0))</f>
        <v>-0.0</v>
      </c>
    </row>
    <row r="72">
      <c r="B72" s="22" t="inlineStr">
        <is>
          <t>Чистый денежный поток</t>
        </is>
      </c>
      <c r="C72" s="24" t="inlineStr">
        <is>
          <t>тыс.руб</t>
        </is>
      </c>
      <c r="D72" s="65">
        <f>0+D71</f>
        <v>136000.0</v>
      </c>
      <c r="E72" s="65">
        <f>E70+E71</f>
        <v>31355.725048702196</v>
      </c>
      <c r="F72" s="65">
        <f>F70+F71</f>
        <v>45763.182453604364</v>
      </c>
      <c r="G72" s="65">
        <f>G70+G71</f>
        <v>63772.25547827583</v>
      </c>
      <c r="H72" s="65">
        <f>H70+H71</f>
        <v>58717.68058837526</v>
      </c>
      <c r="I72" s="65">
        <f>I70+I71</f>
        <v>73402.30327038496</v>
      </c>
      <c r="J72" s="65">
        <f>J70+J71</f>
        <v>61572.62252775838</v>
      </c>
      <c r="K72" s="65">
        <f>K70+K71</f>
        <v>79063.36065024271</v>
      </c>
      <c r="L72" s="65">
        <f>L70+L71</f>
        <v>53468.45621736554</v>
      </c>
      <c r="M72" s="65">
        <f>M70+M71</f>
        <v>87526.17847329481</v>
      </c>
      <c r="N72" s="65">
        <f>N70+N71</f>
        <v>59493.960183541654</v>
      </c>
    </row>
    <row r="73">
      <c r="B73" s="22" t="inlineStr">
        <is>
          <t>Дисконтированный поток</t>
        </is>
      </c>
      <c r="C73" s="24" t="inlineStr">
        <is>
          <t>тыс.руб</t>
        </is>
      </c>
      <c r="D73" s="54">
        <f>D72*D$6</f>
        <v>136000.0</v>
      </c>
      <c r="E73" s="54">
        <f>E72*E$6</f>
        <v>27996.18307919839</v>
      </c>
      <c r="F73" s="54">
        <f>F72*F$6</f>
        <v>36482.12886926368</v>
      </c>
      <c r="G73" s="54">
        <f>G72*G$6</f>
        <v>45391.83180794732</v>
      </c>
      <c r="H73" s="54">
        <f>H72*H$6</f>
        <v>37316.147535912896</v>
      </c>
      <c r="I73" s="54">
        <f>I72*I$6</f>
        <v>41650.43814721759</v>
      </c>
      <c r="J73" s="54">
        <f>J72*J$6</f>
        <v>31194.606785066175</v>
      </c>
      <c r="K73" s="54">
        <f>K72*K$6</f>
        <v>35764.2491520351</v>
      </c>
      <c r="L73" s="54">
        <f>L72*L$6</f>
        <v>21595.01269214316</v>
      </c>
      <c r="M73" s="54">
        <f>M72*M$6</f>
        <v>31562.817405797025</v>
      </c>
      <c r="N73" s="54">
        <f>N72*N$6</f>
        <v>19155.4629178929</v>
      </c>
    </row>
    <row r="74">
      <c r="B74" s="22" t="inlineStr">
        <is>
          <t>Кумул. дисконт. поток</t>
        </is>
      </c>
      <c r="C74" s="24" t="inlineStr">
        <is>
          <t>тыс.руб</t>
        </is>
      </c>
      <c r="D74" s="54">
        <f>SUM($D73:D73)</f>
        <v>136000.0</v>
      </c>
      <c r="E74" s="54">
        <f>SUM($D73:E73)</f>
        <v>163996.18307919838</v>
      </c>
      <c r="F74" s="54">
        <f>SUM($D73:F73)</f>
        <v>200478.31194846207</v>
      </c>
      <c r="G74" s="54">
        <f>SUM($D73:G73)</f>
        <v>245870.14375640938</v>
      </c>
      <c r="H74" s="54">
        <f>SUM($D73:H73)</f>
        <v>283186.2912923223</v>
      </c>
      <c r="I74" s="54">
        <f>SUM($D73:I73)</f>
        <v>324836.72943953983</v>
      </c>
      <c r="J74" s="54">
        <f>SUM($D73:J73)</f>
        <v>356031.336224606</v>
      </c>
      <c r="K74" s="54">
        <f>SUM($D73:K73)</f>
        <v>391795.58537664113</v>
      </c>
      <c r="L74" s="54">
        <f>SUM($D73:L73)</f>
        <v>413390.5980687843</v>
      </c>
      <c r="M74" s="54">
        <f>SUM($D73:M73)</f>
        <v>444953.4154745813</v>
      </c>
      <c r="N74" s="54">
        <f>SUM($D73:N73)</f>
        <v>464108.8783924742</v>
      </c>
    </row>
    <row r="75">
      <c r="B75" s="39" t="inlineStr">
        <is>
          <t>Аннуитет по году</t>
        </is>
      </c>
      <c r="C75" s="24" t="inlineStr">
        <is>
          <t>руб/пог.м</t>
        </is>
      </c>
      <c r="D75" s="66" t="n"/>
      <c r="E75" s="66">
        <f>SUM($D73:E73)/SUM($E$6:E$6)/(SUM($E57:E57)/E$4)</f>
        <v>1446.667701103814</v>
      </c>
      <c r="F75" s="66">
        <f>SUM($D73:F73)/SUM($E$6:F$6)/(SUM($E57:F57)/F$4)</f>
        <v>949.9014665086802</v>
      </c>
      <c r="G75" s="66">
        <f>SUM($D73:G73)/SUM($E$6:G$6)/(SUM($E57:G57)/G$4)</f>
        <v>830.65332496615</v>
      </c>
      <c r="H75" s="66">
        <f>SUM($D73:H73)/SUM($E$6:H$6)/(SUM($E57:H57)/H$4)</f>
        <v>755.1814421777526</v>
      </c>
      <c r="I75" s="66">
        <f>SUM($D73:I73)/SUM($E$6:I$6)/(SUM($E57:I57)/I$4)</f>
        <v>730.6848260560624</v>
      </c>
      <c r="J75" s="66">
        <f>SUM($D73:J73)/SUM($E$6:J$6)/(SUM($E57:J57)/J$4)</f>
        <v>705.6807923016764</v>
      </c>
      <c r="K75" s="66">
        <f>SUM($D73:K73)/SUM($E$6:K$6)/(SUM($E57:K57)/K$4)</f>
        <v>699.9125450870989</v>
      </c>
      <c r="L75" s="66">
        <f>SUM($D73:L73)/SUM($E$6:L$6)/(SUM($E57:L57)/L$4)</f>
        <v>678.3551143166562</v>
      </c>
      <c r="M75" s="66">
        <f>SUM($D73:M73)/SUM($E$6:M$6)/(SUM($E57:M57)/M$4)</f>
        <v>682.026599562925</v>
      </c>
      <c r="N75" s="66">
        <f>SUM($D73:N73)/SUM($E$6:N$6)/(SUM($E57:N57)/N$4)</f>
        <v>671.5212951727246</v>
      </c>
    </row>
    <row r="77">
      <c r="B77" s="5" t="str">
        <f>"Вариант 4:  "&amp;'Ввод данных'!G7</f>
        <v>Вариант 4:  Sunward
SWDRT270B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B78" s="22" t="inlineStr">
        <is>
          <t>КТГ</t>
        </is>
      </c>
      <c r="C78" s="24" t="inlineStr">
        <is>
          <t>коэф.</t>
        </is>
      </c>
      <c r="D78" s="58" t="n"/>
      <c r="E78" s="58">
        <f>'Данные по годам'!E19</f>
        <v>0.93</v>
      </c>
      <c r="F78" s="58">
        <f>'Данные по годам'!F19</f>
        <v>0.93</v>
      </c>
      <c r="G78" s="58">
        <f>'Данные по годам'!G19</f>
        <v>0.92</v>
      </c>
      <c r="H78" s="58">
        <f>'Данные по годам'!H19</f>
        <v>0.92</v>
      </c>
      <c r="I78" s="58">
        <f>'Данные по годам'!I19</f>
        <v>0.87</v>
      </c>
      <c r="J78" s="58">
        <f>'Данные по годам'!J19</f>
        <v>0.9</v>
      </c>
      <c r="K78" s="58">
        <f>'Данные по годам'!K19</f>
        <v>0.85</v>
      </c>
      <c r="L78" s="58">
        <f>'Данные по годам'!L19</f>
        <v>0.9</v>
      </c>
      <c r="M78" s="58">
        <f>'Данные по годам'!M19</f>
        <v>0.9</v>
      </c>
      <c r="N78" s="58">
        <f>'Данные по годам'!N19</f>
        <v>0.85</v>
      </c>
    </row>
    <row r="79">
      <c r="B79" s="22" t="inlineStr">
        <is>
          <t>Эффективное время</t>
        </is>
      </c>
      <c r="C79" s="24" t="inlineStr">
        <is>
          <t>час/год</t>
        </is>
      </c>
      <c r="D79" s="54" t="n"/>
      <c r="E79" s="54">
        <f>'Параметры'!C27*E78*(1-137.92/(60*'Параметры'!C28))</f>
        <v>6586.235200000001</v>
      </c>
      <c r="F79" s="54">
        <f>'Параметры'!C27*F78*(1-137.92/(60*'Параметры'!C28))</f>
        <v>6586.235200000001</v>
      </c>
      <c r="G79" s="54">
        <f>'Параметры'!C27*G78*(1-137.92/(60*'Параметры'!C28))</f>
        <v>6515.415466666668</v>
      </c>
      <c r="H79" s="54">
        <f>'Параметры'!C27*H78*(1-137.92/(60*'Параметры'!C28))</f>
        <v>6515.415466666668</v>
      </c>
      <c r="I79" s="54">
        <f>'Параметры'!C27*I78*(1-137.92/(60*'Параметры'!C28))</f>
        <v>6161.3168000000005</v>
      </c>
      <c r="J79" s="54">
        <f>'Параметры'!C27*J78*(1-137.92/(60*'Параметры'!C28))</f>
        <v>6373.776000000001</v>
      </c>
      <c r="K79" s="54">
        <f>'Параметры'!C27*K78*(1-137.92/(60*'Параметры'!C28))</f>
        <v>6019.677333333334</v>
      </c>
      <c r="L79" s="54">
        <f>'Параметры'!C27*L78*(1-137.92/(60*'Параметры'!C28))</f>
        <v>6373.776000000001</v>
      </c>
      <c r="M79" s="54">
        <f>'Параметры'!C27*M78*(1-137.92/(60*'Параметры'!C28))</f>
        <v>6373.776000000001</v>
      </c>
      <c r="N79" s="54">
        <f>'Параметры'!C27*N78*(1-137.92/(60*'Параметры'!C28))</f>
        <v>6019.677333333334</v>
      </c>
    </row>
    <row r="80">
      <c r="B80" s="22" t="inlineStr">
        <is>
          <t>Объём бурения</t>
        </is>
      </c>
      <c r="C80" s="24" t="inlineStr">
        <is>
          <t>тыс.пог.м</t>
        </is>
      </c>
      <c r="D80" s="64" t="n"/>
      <c r="E80" s="64">
        <f>'Производительность'!G12*E79/1000</f>
        <v>131.95928407029004</v>
      </c>
      <c r="F80" s="64">
        <f>'Производительность'!G12*F79/1000</f>
        <v>131.95928407029004</v>
      </c>
      <c r="G80" s="64">
        <f>'Производительность'!G12*G79/1000</f>
        <v>130.54036703727618</v>
      </c>
      <c r="H80" s="64">
        <f>'Производительность'!G12*H79/1000</f>
        <v>130.54036703727618</v>
      </c>
      <c r="I80" s="64">
        <f>'Производительность'!G12*I79/1000</f>
        <v>123.44578187220682</v>
      </c>
      <c r="J80" s="64">
        <f>'Производительность'!G12*J79/1000</f>
        <v>127.70253297124844</v>
      </c>
      <c r="K80" s="64">
        <f>'Производительность'!G12*K79/1000</f>
        <v>120.60794780617907</v>
      </c>
      <c r="L80" s="64">
        <f>'Производительность'!G12*L79/1000</f>
        <v>127.70253297124844</v>
      </c>
      <c r="M80" s="64">
        <f>'Производительность'!G12*M79/1000</f>
        <v>127.70253297124844</v>
      </c>
      <c r="N80" s="64">
        <f>'Производительность'!G12*N79/1000</f>
        <v>120.60794780617907</v>
      </c>
    </row>
    <row r="81">
      <c r="B81" s="22" t="inlineStr">
        <is>
          <t>Объём взрывания</t>
        </is>
      </c>
      <c r="C81" s="24" t="inlineStr">
        <is>
          <t>тыс.м³</t>
        </is>
      </c>
      <c r="D81" s="54" t="n"/>
      <c r="E81" s="54">
        <f>E80*'Параметры'!C35</f>
        <v>6527.365986536897</v>
      </c>
      <c r="F81" s="54">
        <f>F80*'Параметры'!C35</f>
        <v>6527.365986536897</v>
      </c>
      <c r="G81" s="54">
        <f>G80*'Параметры'!C35</f>
        <v>6457.179255498867</v>
      </c>
      <c r="H81" s="54">
        <f>H80*'Параметры'!C35</f>
        <v>6457.179255498867</v>
      </c>
      <c r="I81" s="54">
        <f>I80*'Параметры'!C35</f>
        <v>6106.245600308711</v>
      </c>
      <c r="J81" s="54">
        <f>J80*'Параметры'!C35</f>
        <v>6316.8057934228045</v>
      </c>
      <c r="K81" s="54">
        <f>K80*'Параметры'!C35</f>
        <v>5965.8721382326485</v>
      </c>
      <c r="L81" s="54">
        <f>L80*'Параметры'!C35</f>
        <v>6316.8057934228045</v>
      </c>
      <c r="M81" s="54">
        <f>M80*'Параметры'!C35</f>
        <v>6316.8057934228045</v>
      </c>
      <c r="N81" s="54">
        <f>N80*'Параметры'!C35</f>
        <v>5965.8721382326485</v>
      </c>
    </row>
    <row r="82">
      <c r="B82" s="22" t="inlineStr">
        <is>
          <t>Топливо/энергия</t>
        </is>
      </c>
      <c r="C82" s="24" t="inlineStr">
        <is>
          <t>тыс.руб</t>
        </is>
      </c>
      <c r="D82" s="54" t="n"/>
      <c r="E82" s="54">
        <f>E79*'Данные по годам'!E21/1000*'Параметры'!C10*(1+'Параметры'!C15)^(E$4-1)</f>
        <v>32524.286292826244</v>
      </c>
      <c r="F82" s="54">
        <f>F79*'Данные по годам'!F21/1000*'Параметры'!C10*(1+'Параметры'!C15)^(F$4-1)</f>
        <v>32524.286292826244</v>
      </c>
      <c r="G82" s="54">
        <f>G79*'Данные по годам'!G21/1000*'Параметры'!C10*(1+'Параметры'!C15)^(G$4-1)</f>
        <v>32174.562784301233</v>
      </c>
      <c r="H82" s="54">
        <f>H79*'Данные по годам'!H21/1000*'Параметры'!C10*(1+'Параметры'!C15)^(H$4-1)</f>
        <v>32174.562784301233</v>
      </c>
      <c r="I82" s="54">
        <f>I79*'Данные по годам'!I21/1000*'Параметры'!C10*(1+'Параметры'!C15)^(I$4-1)</f>
        <v>30425.945241676163</v>
      </c>
      <c r="J82" s="54">
        <f>J79*'Данные по годам'!J21/1000*'Параметры'!C10*(1+'Параметры'!C15)^(J$4-1)</f>
        <v>31475.115767251205</v>
      </c>
      <c r="K82" s="54">
        <f>K79*'Данные по годам'!K21/1000*'Параметры'!C10*(1+'Параметры'!C15)^(K$4-1)</f>
        <v>29726.498224626135</v>
      </c>
      <c r="L82" s="54">
        <f>L79*'Данные по годам'!L21/1000*'Параметры'!C10*(1+'Параметры'!C15)^(L$4-1)</f>
        <v>31475.115767251205</v>
      </c>
      <c r="M82" s="54">
        <f>M79*'Данные по годам'!M21/1000*'Параметры'!C10*(1+'Параметры'!C15)^(M$4-1)</f>
        <v>31475.115767251205</v>
      </c>
      <c r="N82" s="54">
        <f>N79*'Данные по годам'!N21/1000*'Параметры'!C10*(1+'Параметры'!C15)^(N$4-1)</f>
        <v>29726.498224626135</v>
      </c>
    </row>
    <row r="83">
      <c r="B83" s="22" t="inlineStr">
        <is>
          <t>ТОиР и сервис (по годам)</t>
        </is>
      </c>
      <c r="C83" s="24" t="inlineStr">
        <is>
          <t>тыс.руб</t>
        </is>
      </c>
      <c r="D83" s="54" t="n"/>
      <c r="E83" s="54">
        <f>'Данные по годам'!E20*IF('Данные по годам'!$D$20="CNY",'Параметры'!C21,IF('Данные по годам'!$D$20="USD",'Параметры'!C22,IF('Данные по годам'!$D$20="EUR",'Параметры'!C23,1)))</f>
        <v>18075.946833860813</v>
      </c>
      <c r="F83" s="54">
        <f>'Данные по годам'!F20*IF('Данные по годам'!$D$20="CNY",'Параметры'!C21,IF('Данные по годам'!$D$20="USD",'Параметры'!C22,IF('Данные по годам'!$D$20="EUR",'Параметры'!C23,1)))</f>
        <v>43686.48434983971</v>
      </c>
      <c r="G83" s="54">
        <f>'Данные по годам'!G20*IF('Данные по годам'!$D$20="CNY",'Параметры'!C21,IF('Данные по годам'!$D$20="USD",'Параметры'!C22,IF('Данные по годам'!$D$20="EUR",'Параметры'!C23,1)))</f>
        <v>75194.25222869845</v>
      </c>
      <c r="H83" s="54">
        <f>'Данные по годам'!H20*IF('Данные по годам'!$D$20="CNY",'Параметры'!C21,IF('Данные по годам'!$D$20="USD",'Параметры'!C22,IF('Данные по годам'!$D$20="EUR",'Параметры'!C23,1)))</f>
        <v>65633.90548132046</v>
      </c>
      <c r="I83" s="54">
        <f>'Данные по годам'!I20*IF('Данные по годам'!$D$20="CNY",'Параметры'!C21,IF('Данные по годам'!$D$20="USD",'Параметры'!C22,IF('Данные по годам'!$D$20="EUR",'Параметры'!C23,1)))</f>
        <v>91117.11988644587</v>
      </c>
      <c r="J83" s="54">
        <f>'Данные по годам'!J20*IF('Данные по годам'!$D$20="CNY",'Параметры'!C21,IF('Данные по годам'!$D$20="USD",'Параметры'!C22,IF('Данные по годам'!$D$20="EUR",'Параметры'!C23,1)))</f>
        <v>60959.868092826786</v>
      </c>
      <c r="K83" s="54">
        <f>'Данные по годам'!K20*IF('Данные по годам'!$D$20="CNY",'Параметры'!C21,IF('Данные по годам'!$D$20="USD",'Параметры'!C22,IF('Данные по годам'!$D$20="EUR",'Параметры'!C23,1)))</f>
        <v>89452.6507030883</v>
      </c>
      <c r="L83" s="54">
        <f>'Данные по годам'!L20*IF('Данные по годам'!$D$20="CNY",'Параметры'!C21,IF('Данные по годам'!$D$20="USD",'Параметры'!C22,IF('Данные по годам'!$D$20="EUR",'Параметры'!C23,1)))</f>
        <v>45430.54327825809</v>
      </c>
      <c r="M83" s="54">
        <f>'Данные по годам'!M20*IF('Данные по годам'!$D$20="CNY",'Параметры'!C21,IF('Данные по годам'!$D$20="USD",'Параметры'!C22,IF('Данные по годам'!$D$20="EUR",'Параметры'!C23,1)))</f>
        <v>104346.2481991621</v>
      </c>
      <c r="N83" s="54">
        <f>'Данные по годам'!N20*IF('Данные по годам'!$D$20="CNY",'Параметры'!C21,IF('Данные по годам'!$D$20="USD",'Параметры'!C22,IF('Данные по годам'!$D$20="EUR",'Параметры'!C23,1)))</f>
        <v>56105.364806315425</v>
      </c>
    </row>
    <row r="84">
      <c r="B84" s="22" t="inlineStr">
        <is>
          <t>Долота</t>
        </is>
      </c>
      <c r="C84" s="24" t="inlineStr">
        <is>
          <t>тыс.руб</t>
        </is>
      </c>
      <c r="D84" s="54" t="n"/>
      <c r="E84" s="54">
        <f>E80*'Поставщик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годам'!$D$20="EUR",'Параметры'!C23,1)))*(1+'Параметры'!C16)^(E$4-1)</f>
        <v>0.0</v>
      </c>
      <c r="F84" s="54">
        <f>F80*'Поставщик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годам'!$D$20="EUR",'Параметры'!C23,1)))*(1+'Параметры'!C16)^(F$4-1)</f>
        <v>0.0</v>
      </c>
      <c r="G84" s="54">
        <f>G80*'Поставщик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годам'!$D$20="EUR",'Параметры'!C23,1)))*(1+'Параметры'!C16)^(G$4-1)</f>
        <v>0.0</v>
      </c>
      <c r="H84" s="54">
        <f>H80*'Поставщик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годам'!$D$20="EUR",'Параметры'!C23,1)))*(1+'Параметры'!C16)^(H$4-1)</f>
        <v>0.0</v>
      </c>
      <c r="I84" s="54">
        <f>I80*'Поставщик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годам'!$D$20="EUR",'Параметры'!C23,1)))*(1+'Параметры'!C16)^(I$4-1)</f>
        <v>0.0</v>
      </c>
      <c r="J84" s="54">
        <f>J80*'Поставщик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годам'!$D$20="EUR",'Параметры'!C23,1)))*(1+'Параметры'!C16)^(J$4-1)</f>
        <v>0.0</v>
      </c>
      <c r="K84" s="54">
        <f>K80*'Поставщик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годам'!$D$20="EUR",'Параметры'!C23,1)))*(1+'Параметры'!C16)^(K$4-1)</f>
        <v>0.0</v>
      </c>
      <c r="L84" s="54">
        <f>L80*'Поставщик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годам'!$D$20="EUR",'Параметры'!C23,1)))*(1+'Параметры'!C16)^(L$4-1)</f>
        <v>0.0</v>
      </c>
      <c r="M84" s="54">
        <f>M80*'Поставщик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годам'!$D$20="EUR",'Параметры'!C23,1)))*(1+'Параметры'!C16)^(M$4-1)</f>
        <v>0.0</v>
      </c>
      <c r="N84" s="54">
        <f>N80*'Поставщик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годам'!$D$20="EUR",'Параметры'!C23,1)))*(1+'Параметры'!C16)^(N$4-1)</f>
        <v>0.0</v>
      </c>
    </row>
    <row r="85">
      <c r="B85" s="22" t="inlineStr">
        <is>
          <t>Штанги/адаптеры</t>
        </is>
      </c>
      <c r="C85" s="24" t="inlineStr">
        <is>
          <t>тыс.руб</t>
        </is>
      </c>
      <c r="D85" s="54" t="n"/>
      <c r="E85" s="54">
        <f>E80*'Поставщик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годам'!$D$20="EUR",'Параметры'!C23,1)))*(1+'Параметры'!C16)^(E$4-1)</f>
        <v>0.0</v>
      </c>
      <c r="F85" s="54">
        <f>F80*'Поставщик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годам'!$D$20="EUR",'Параметры'!C23,1)))*(1+'Параметры'!C16)^(F$4-1)</f>
        <v>0.0</v>
      </c>
      <c r="G85" s="54">
        <f>G80*'Поставщик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годам'!$D$20="EUR",'Параметры'!C23,1)))*(1+'Параметры'!C16)^(G$4-1)</f>
        <v>0.0</v>
      </c>
      <c r="H85" s="54">
        <f>H80*'Поставщик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годам'!$D$20="EUR",'Параметры'!C23,1)))*(1+'Параметры'!C16)^(H$4-1)</f>
        <v>0.0</v>
      </c>
      <c r="I85" s="54">
        <f>I80*'Поставщик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годам'!$D$20="EUR",'Параметры'!C23,1)))*(1+'Параметры'!C16)^(I$4-1)</f>
        <v>0.0</v>
      </c>
      <c r="J85" s="54">
        <f>J80*'Поставщик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годам'!$D$20="EUR",'Параметры'!C23,1)))*(1+'Параметры'!C16)^(J$4-1)</f>
        <v>0.0</v>
      </c>
      <c r="K85" s="54">
        <f>K80*'Поставщик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годам'!$D$20="EUR",'Параметры'!C23,1)))*(1+'Параметры'!C16)^(K$4-1)</f>
        <v>0.0</v>
      </c>
      <c r="L85" s="54">
        <f>L80*'Поставщик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годам'!$D$20="EUR",'Параметры'!C23,1)))*(1+'Параметры'!C16)^(L$4-1)</f>
        <v>0.0</v>
      </c>
      <c r="M85" s="54">
        <f>M80*'Поставщик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годам'!$D$20="EUR",'Параметры'!C23,1)))*(1+'Параметры'!C16)^(M$4-1)</f>
        <v>0.0</v>
      </c>
      <c r="N85" s="54">
        <f>N80*'Поставщик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годам'!$D$20="EUR",'Параметры'!C23,1)))*(1+'Параметры'!C16)^(N$4-1)</f>
        <v>0.0</v>
      </c>
    </row>
    <row r="86">
      <c r="B86" s="22" t="inlineStr">
        <is>
          <t>Расходники</t>
        </is>
      </c>
      <c r="C86" s="24" t="inlineStr">
        <is>
          <t>тыс.руб</t>
        </is>
      </c>
      <c r="D86" s="54" t="n"/>
      <c r="E86" s="54">
        <f>E80*'Поставщик 4'!$D$257*(1+'Параметры'!C16)^(E$4-1)</f>
        <v>0.0</v>
      </c>
      <c r="F86" s="54">
        <f>F80*'Поставщик 4'!$D$257*(1+'Параметры'!C16)^(F$4-1)</f>
        <v>0.0</v>
      </c>
      <c r="G86" s="54">
        <f>G80*'Поставщик 4'!$D$257*(1+'Параметры'!C16)^(G$4-1)</f>
        <v>0.0</v>
      </c>
      <c r="H86" s="54">
        <f>H80*'Поставщик 4'!$D$257*(1+'Параметры'!C16)^(H$4-1)</f>
        <v>0.0</v>
      </c>
      <c r="I86" s="54">
        <f>I80*'Поставщик 4'!$D$257*(1+'Параметры'!C16)^(I$4-1)</f>
        <v>0.0</v>
      </c>
      <c r="J86" s="54">
        <f>J80*'Поставщик 4'!$D$257*(1+'Параметры'!C16)^(J$4-1)</f>
        <v>0.0</v>
      </c>
      <c r="K86" s="54">
        <f>K80*'Поставщик 4'!$D$257*(1+'Параметры'!C16)^(K$4-1)</f>
        <v>0.0</v>
      </c>
      <c r="L86" s="54">
        <f>L80*'Поставщик 4'!$D$257*(1+'Параметры'!C16)^(L$4-1)</f>
        <v>0.0</v>
      </c>
      <c r="M86" s="54">
        <f>M80*'Поставщик 4'!$D$257*(1+'Параметры'!C16)^(M$4-1)</f>
        <v>0.0</v>
      </c>
      <c r="N86" s="54">
        <f>N80*'Поставщик 4'!$D$257*(1+'Параметры'!C16)^(N$4-1)</f>
        <v>0.0</v>
      </c>
    </row>
    <row r="87">
      <c r="B87" s="22" t="inlineStr">
        <is>
          <t>Персонал</t>
        </is>
      </c>
      <c r="C87" s="24" t="inlineStr">
        <is>
          <t>тыс.руб</t>
        </is>
      </c>
      <c r="D87" s="54" t="n"/>
      <c r="E87" s="54">
        <f>'Ввод данных'!G22*(1+'Параметры'!C17)^(E$4-1)</f>
        <v>15710.0</v>
      </c>
      <c r="F87" s="54">
        <f>'Ввод данных'!G22*(1+'Параметры'!C17)^(F$4-1)</f>
        <v>15710.0</v>
      </c>
      <c r="G87" s="54">
        <f>'Ввод данных'!G22*(1+'Параметры'!C17)^(G$4-1)</f>
        <v>15710.0</v>
      </c>
      <c r="H87" s="54">
        <f>'Ввод данных'!G22*(1+'Параметры'!C17)^(H$4-1)</f>
        <v>15710.0</v>
      </c>
      <c r="I87" s="54">
        <f>'Ввод данных'!G22*(1+'Параметры'!C17)^(I$4-1)</f>
        <v>15710.0</v>
      </c>
      <c r="J87" s="54">
        <f>'Ввод данных'!G22*(1+'Параметры'!C17)^(J$4-1)</f>
        <v>15710.0</v>
      </c>
      <c r="K87" s="54">
        <f>'Ввод данных'!G22*(1+'Параметры'!C17)^(K$4-1)</f>
        <v>15710.0</v>
      </c>
      <c r="L87" s="54">
        <f>'Ввод данных'!G22*(1+'Параметры'!C17)^(L$4-1)</f>
        <v>15710.0</v>
      </c>
      <c r="M87" s="54">
        <f>'Ввод данных'!G22*(1+'Параметры'!C17)^(M$4-1)</f>
        <v>15710.0</v>
      </c>
      <c r="N87" s="54">
        <f>'Ввод данных'!G22*(1+'Параметры'!C17)^(N$4-1)</f>
        <v>15710.0</v>
      </c>
    </row>
    <row r="88">
      <c r="B88" s="22" t="inlineStr">
        <is>
          <t>Транспортный налог</t>
        </is>
      </c>
      <c r="C88" s="24" t="inlineStr">
        <is>
          <t>тыс.руб</t>
        </is>
      </c>
      <c r="D88" s="54" t="n"/>
      <c r="E88" s="54">
        <f>'Ввод данных'!G23*15/1000</f>
        <v>12.0</v>
      </c>
      <c r="F88" s="54">
        <f>'Ввод данных'!G23*15/1000</f>
        <v>12.0</v>
      </c>
      <c r="G88" s="54">
        <f>'Ввод данных'!G23*15/1000</f>
        <v>12.0</v>
      </c>
      <c r="H88" s="54">
        <f>'Ввод данных'!G23*15/1000</f>
        <v>12.0</v>
      </c>
      <c r="I88" s="54">
        <f>'Ввод данных'!G23*15/1000</f>
        <v>12.0</v>
      </c>
      <c r="J88" s="54">
        <f>'Ввод данных'!G23*15/1000</f>
        <v>12.0</v>
      </c>
      <c r="K88" s="54">
        <f>'Ввод данных'!G23*15/1000</f>
        <v>12.0</v>
      </c>
      <c r="L88" s="54">
        <f>'Ввод данных'!G23*15/1000</f>
        <v>12.0</v>
      </c>
      <c r="M88" s="54">
        <f>'Ввод данных'!G23*15/1000</f>
        <v>12.0</v>
      </c>
      <c r="N88" s="54">
        <f>'Ввод данных'!G23*15/1000</f>
        <v>12.0</v>
      </c>
    </row>
    <row r="89">
      <c r="B89" s="22" t="inlineStr">
        <is>
          <t>Итого денежные затраты</t>
        </is>
      </c>
      <c r="C89" s="24" t="inlineStr">
        <is>
          <t>тыс.руб</t>
        </is>
      </c>
      <c r="D89" s="54" t="n"/>
      <c r="E89" s="65">
        <f>E82+E83+E84+E85+E86+E87+E88</f>
        <v>66322.23312668706</v>
      </c>
      <c r="F89" s="65">
        <f>F82+F83+F84+F85+F86+F87+F88</f>
        <v>91932.77064266596</v>
      </c>
      <c r="G89" s="65">
        <f>G82+G83+G84+G85+G86+G87+G88</f>
        <v>123090.81501299968</v>
      </c>
      <c r="H89" s="65">
        <f>H82+H83+H84+H85+H86+H87+H88</f>
        <v>113530.46826562169</v>
      </c>
      <c r="I89" s="65">
        <f>I82+I83+I84+I85+I86+I87+I88</f>
        <v>137265.06512812205</v>
      </c>
      <c r="J89" s="65">
        <f>J82+J83+J84+J85+J86+J87+J88</f>
        <v>108156.98386007799</v>
      </c>
      <c r="K89" s="65">
        <f>K82+K83+K84+K85+K86+K87+K88</f>
        <v>134901.14892771444</v>
      </c>
      <c r="L89" s="65">
        <f>L82+L83+L84+L85+L86+L87+L88</f>
        <v>92627.6590455093</v>
      </c>
      <c r="M89" s="65">
        <f>M82+M83+M84+M85+M86+M87+M88</f>
        <v>151543.3639664133</v>
      </c>
      <c r="N89" s="65">
        <f>N82+N83+N84+N85+N86+N87+N88</f>
        <v>101553.86303094156</v>
      </c>
    </row>
    <row r="90">
      <c r="B90" s="22" t="inlineStr">
        <is>
          <t>Амортизация (НУ)</t>
        </is>
      </c>
      <c r="C90" s="24" t="inlineStr">
        <is>
          <t>тыс.руб</t>
        </is>
      </c>
      <c r="D90" s="54" t="n"/>
      <c r="E90" s="54">
        <f>IF(E$4&lt;=INT('Параметры'!C9),'Производительность'!G5/'Параметры'!C9,IF(E$4=INT('Параметры'!C9)+1,'Производительность'!G5*('Параметры'!C9-INT('Параметры'!C9))/'Параметры'!C9,0))</f>
        <v>26755.852842809363</v>
      </c>
      <c r="F90" s="54">
        <f>IF(F$4&lt;=INT('Параметры'!C9),'Производительность'!G5/'Параметры'!C9,IF(F$4=INT('Параметры'!C9)+1,'Производительность'!G5*('Параметры'!C9-INT('Параметры'!C9))/'Параметры'!C9,0))</f>
        <v>26755.852842809363</v>
      </c>
      <c r="G90" s="54">
        <f>IF(G$4&lt;=INT('Параметры'!C9),'Производительность'!G5/'Параметры'!C9,IF(G$4=INT('Параметры'!C9)+1,'Производительность'!G5*('Параметры'!C9-INT('Параметры'!C9))/'Параметры'!C9,0))</f>
        <v>26755.852842809363</v>
      </c>
      <c r="H90" s="54">
        <f>IF(H$4&lt;=INT('Параметры'!C9),'Производительность'!G5/'Параметры'!C9,IF(H$4=INT('Параметры'!C9)+1,'Производительность'!G5*('Параметры'!C9-INT('Параметры'!C9))/'Параметры'!C9,0))</f>
        <v>26755.852842809363</v>
      </c>
      <c r="I90" s="54">
        <f>IF(I$4&lt;=INT('Параметры'!C9),'Производительность'!G5/'Параметры'!C9,IF(I$4=INT('Параметры'!C9)+1,'Производительность'!G5*('Параметры'!C9-INT('Параметры'!C9))/'Параметры'!C9,0))</f>
        <v>26755.852842809363</v>
      </c>
      <c r="J90" s="54">
        <f>IF(J$4&lt;=INT('Параметры'!C9),'Производительность'!G5/'Параметры'!C9,IF(J$4=INT('Параметры'!C9)+1,'Производительность'!G5*('Параметры'!C9-INT('Параметры'!C9))/'Параметры'!C9,0))</f>
        <v>2220.735785953182</v>
      </c>
      <c r="K90" s="54">
        <f>IF(K$4&lt;=INT('Параметры'!C9),'Производительность'!G5/'Параметры'!C9,IF(K$4=INT('Параметры'!C9)+1,'Производительность'!G5*('Параметры'!C9-INT('Параметры'!C9))/'Параметры'!C9,0))</f>
        <v>0.0</v>
      </c>
      <c r="L90" s="54">
        <f>IF(L$4&lt;=INT('Параметры'!C9),'Производительность'!G5/'Параметры'!C9,IF(L$4=INT('Параметры'!C9)+1,'Производительность'!G5*('Параметры'!C9-INT('Параметры'!C9))/'Параметры'!C9,0))</f>
        <v>0.0</v>
      </c>
      <c r="M90" s="54">
        <f>IF(M$4&lt;=INT('Параметры'!C9),'Производительность'!G5/'Параметры'!C9,IF(M$4=INT('Параметры'!C9)+1,'Производительность'!G5*('Параметры'!C9-INT('Параметры'!C9))/'Параметры'!C9,0))</f>
        <v>0.0</v>
      </c>
      <c r="N90" s="54">
        <f>IF(N$4&lt;=INT('Параметры'!C9),'Производительность'!G5/'Параметры'!C9,IF(N$4=INT('Параметры'!C9)+1,'Производительность'!G5*('Параметры'!C9-INT('Параметры'!C9))/'Параметры'!C9,0))</f>
        <v>0.0</v>
      </c>
    </row>
    <row r="91">
      <c r="B91" s="22" t="inlineStr">
        <is>
          <t>Налогооблагаемая база</t>
        </is>
      </c>
      <c r="C91" s="24" t="inlineStr">
        <is>
          <t>тыс.руб</t>
        </is>
      </c>
      <c r="D91" s="54" t="n"/>
      <c r="E91" s="54">
        <f>E89+E90</f>
        <v>93078.08596949643</v>
      </c>
      <c r="F91" s="54">
        <f>F89+F90</f>
        <v>118688.62348547531</v>
      </c>
      <c r="G91" s="54">
        <f>G89+G90</f>
        <v>149846.66785580904</v>
      </c>
      <c r="H91" s="54">
        <f>H89+H90</f>
        <v>140286.32110843106</v>
      </c>
      <c r="I91" s="54">
        <f>I89+I90</f>
        <v>164020.91797093142</v>
      </c>
      <c r="J91" s="54">
        <f>J89+J90</f>
        <v>110377.71964603117</v>
      </c>
      <c r="K91" s="54">
        <f>K89+K90</f>
        <v>134901.14892771444</v>
      </c>
      <c r="L91" s="54">
        <f>L89+L90</f>
        <v>92627.6590455093</v>
      </c>
      <c r="M91" s="54">
        <f>M89+M90</f>
        <v>151543.3639664133</v>
      </c>
      <c r="N91" s="54">
        <f>N89+N90</f>
        <v>101553.86303094156</v>
      </c>
    </row>
    <row r="92">
      <c r="B92" s="22" t="inlineStr">
        <is>
          <t>Налог на прибыль (щит)</t>
        </is>
      </c>
      <c r="C92" s="24" t="inlineStr">
        <is>
          <t>тыс.руб</t>
        </is>
      </c>
      <c r="D92" s="54" t="n"/>
      <c r="E92" s="54">
        <f>-E91*'Параметры'!C7</f>
        <v>-23269.521492374108</v>
      </c>
      <c r="F92" s="54">
        <f>-F91*'Параметры'!C7</f>
        <v>-29672.15587136883</v>
      </c>
      <c r="G92" s="54">
        <f>-G91*'Параметры'!C7</f>
        <v>-37461.66696395226</v>
      </c>
      <c r="H92" s="54">
        <f>-H91*'Параметры'!C7</f>
        <v>-35071.580277107765</v>
      </c>
      <c r="I92" s="54">
        <f>-I91*'Параметры'!C7</f>
        <v>-41005.229492732855</v>
      </c>
      <c r="J92" s="54">
        <f>-J91*'Параметры'!C7</f>
        <v>-27594.429911507792</v>
      </c>
      <c r="K92" s="54">
        <f>-K91*'Параметры'!C7</f>
        <v>-33725.28723192861</v>
      </c>
      <c r="L92" s="54">
        <f>-L91*'Параметры'!C7</f>
        <v>-23156.914761377324</v>
      </c>
      <c r="M92" s="54">
        <f>-M91*'Параметры'!C7</f>
        <v>-37885.84099160333</v>
      </c>
      <c r="N92" s="54">
        <f>-N91*'Параметры'!C7</f>
        <v>-25388.46575773539</v>
      </c>
    </row>
    <row r="93">
      <c r="B93" s="22" t="inlineStr">
        <is>
          <t>Операц. денежный поток</t>
        </is>
      </c>
      <c r="C93" s="24" t="inlineStr">
        <is>
          <t>тыс.руб</t>
        </is>
      </c>
      <c r="D93" s="54" t="n"/>
      <c r="E93" s="65">
        <f>E91+E92-E90</f>
        <v>43052.71163431297</v>
      </c>
      <c r="F93" s="65">
        <f>F91+F92-F90</f>
        <v>62260.61477129712</v>
      </c>
      <c r="G93" s="65">
        <f>G91+G92-G90</f>
        <v>85629.14804904742</v>
      </c>
      <c r="H93" s="65">
        <f>H91+H92-H90</f>
        <v>78458.88798851392</v>
      </c>
      <c r="I93" s="65">
        <f>I91+I92-I90</f>
        <v>96259.8356353892</v>
      </c>
      <c r="J93" s="65">
        <f>J91+J92-J90</f>
        <v>80562.5539485702</v>
      </c>
      <c r="K93" s="65">
        <f>K91+K92-K90</f>
        <v>101175.86169578583</v>
      </c>
      <c r="L93" s="65">
        <f>L91+L92-L90</f>
        <v>69470.74428413197</v>
      </c>
      <c r="M93" s="65">
        <f>M91+M92-M90</f>
        <v>113657.52297480998</v>
      </c>
      <c r="N93" s="65">
        <f>N91+N92-N90</f>
        <v>76165.39727320617</v>
      </c>
    </row>
    <row r="94">
      <c r="B94" s="22" t="inlineStr">
        <is>
          <t>Инвестиции / остаточная ст-ть</t>
        </is>
      </c>
      <c r="C94" s="24" t="inlineStr">
        <is>
          <t>тыс.руб</t>
        </is>
      </c>
      <c r="D94" s="54">
        <f>IF(D$4=0,'Производительность'!G5,IF(D$4='Параметры'!C8,-'Ввод данных'!G14*'Производительность'!G5,0))</f>
        <v>136000.0</v>
      </c>
      <c r="E94" s="54">
        <f>IF(E$4=0,'Производительность'!G5,IF(E$4='Параметры'!C8,-'Ввод данных'!G14*'Производительность'!G5,0))</f>
        <v>0.0</v>
      </c>
      <c r="F94" s="54">
        <f>IF(F$4=0,'Производительность'!G5,IF(F$4='Параметры'!C8,-'Ввод данных'!G14*'Производительность'!G5,0))</f>
        <v>0.0</v>
      </c>
      <c r="G94" s="54">
        <f>IF(G$4=0,'Производительность'!G5,IF(G$4='Параметры'!C8,-'Ввод данных'!G14*'Производительность'!G5,0))</f>
        <v>0.0</v>
      </c>
      <c r="H94" s="54">
        <f>IF(H$4=0,'Производительность'!G5,IF(H$4='Параметры'!C8,-'Ввод данных'!G14*'Производительность'!G5,0))</f>
        <v>0.0</v>
      </c>
      <c r="I94" s="54">
        <f>IF(I$4=0,'Производительность'!G5,IF(I$4='Параметры'!C8,-'Ввод данных'!G14*'Производительность'!G5,0))</f>
        <v>0.0</v>
      </c>
      <c r="J94" s="54">
        <f>IF(J$4=0,'Производительность'!G5,IF(J$4='Параметры'!C8,-'Ввод данных'!G14*'Производительность'!G5,0))</f>
        <v>0.0</v>
      </c>
      <c r="K94" s="54">
        <f>IF(K$4=0,'Производительность'!G5,IF(K$4='Параметры'!C8,-'Ввод данных'!G14*'Производительность'!G5,0))</f>
        <v>0.0</v>
      </c>
      <c r="L94" s="54">
        <f>IF(L$4=0,'Производительность'!G5,IF(L$4='Параметры'!C8,-'Ввод данных'!G14*'Производительность'!G5,0))</f>
        <v>0.0</v>
      </c>
      <c r="M94" s="54">
        <f>IF(M$4=0,'Производительность'!G5,IF(M$4='Параметры'!C8,-'Ввод данных'!G14*'Производительность'!G5,0))</f>
        <v>0.0</v>
      </c>
      <c r="N94" s="54">
        <f>IF(N$4=0,'Производительность'!G5,IF(N$4='Параметры'!C8,-'Ввод данных'!G14*'Производительность'!G5,0))</f>
        <v>-0.0</v>
      </c>
    </row>
    <row r="95">
      <c r="B95" s="22" t="inlineStr">
        <is>
          <t>Чистый денежный поток</t>
        </is>
      </c>
      <c r="C95" s="24" t="inlineStr">
        <is>
          <t>тыс.руб</t>
        </is>
      </c>
      <c r="D95" s="65">
        <f>0+D94</f>
        <v>136000.0</v>
      </c>
      <c r="E95" s="65">
        <f>E93+E94</f>
        <v>43052.71163431297</v>
      </c>
      <c r="F95" s="65">
        <f>F93+F94</f>
        <v>62260.61477129712</v>
      </c>
      <c r="G95" s="65">
        <f>G93+G94</f>
        <v>85629.14804904742</v>
      </c>
      <c r="H95" s="65">
        <f>H93+H94</f>
        <v>78458.88798851392</v>
      </c>
      <c r="I95" s="65">
        <f>I93+I94</f>
        <v>96259.8356353892</v>
      </c>
      <c r="J95" s="65">
        <f>J93+J94</f>
        <v>80562.5539485702</v>
      </c>
      <c r="K95" s="65">
        <f>K93+K94</f>
        <v>101175.86169578583</v>
      </c>
      <c r="L95" s="65">
        <f>L93+L94</f>
        <v>69470.74428413197</v>
      </c>
      <c r="M95" s="65">
        <f>M93+M94</f>
        <v>113657.52297480998</v>
      </c>
      <c r="N95" s="65">
        <f>N93+N94</f>
        <v>76165.39727320617</v>
      </c>
    </row>
    <row r="96">
      <c r="B96" s="22" t="inlineStr">
        <is>
          <t>Дисконтированный поток</t>
        </is>
      </c>
      <c r="C96" s="24" t="inlineStr">
        <is>
          <t>тыс.руб</t>
        </is>
      </c>
      <c r="D96" s="54">
        <f>D95*D$6</f>
        <v>136000.0</v>
      </c>
      <c r="E96" s="54">
        <f>E95*E$6</f>
        <v>38439.92110206515</v>
      </c>
      <c r="F96" s="54">
        <f>F95*F$6</f>
        <v>49633.78090824068</v>
      </c>
      <c r="G96" s="54">
        <f>G95*G$6</f>
        <v>60949.13621840222</v>
      </c>
      <c r="H96" s="54">
        <f>H95*H$6</f>
        <v>49862.04172824025</v>
      </c>
      <c r="I96" s="54">
        <f>I95*I$6</f>
        <v>54620.41586657806</v>
      </c>
      <c r="J96" s="54">
        <f>J95*J$6</f>
        <v>40815.497031872495</v>
      </c>
      <c r="K96" s="54">
        <f>K95*K$6</f>
        <v>45766.821649122765</v>
      </c>
      <c r="L96" s="54">
        <f>L95*L$6</f>
        <v>28058.068451604522</v>
      </c>
      <c r="M96" s="54">
        <f>M95*M$6</f>
        <v>40986.04219929067</v>
      </c>
      <c r="N96" s="54">
        <f>N95*N$6</f>
        <v>24523.219476270355</v>
      </c>
    </row>
    <row r="97">
      <c r="B97" s="22" t="inlineStr">
        <is>
          <t>Кумул. дисконт. поток</t>
        </is>
      </c>
      <c r="C97" s="24" t="inlineStr">
        <is>
          <t>тыс.руб</t>
        </is>
      </c>
      <c r="D97" s="54">
        <f>SUM($D96:D96)</f>
        <v>136000.0</v>
      </c>
      <c r="E97" s="54">
        <f>SUM($D96:E96)</f>
        <v>174439.92110206516</v>
      </c>
      <c r="F97" s="54">
        <f>SUM($D96:F96)</f>
        <v>224073.70201030583</v>
      </c>
      <c r="G97" s="54">
        <f>SUM($D96:G96)</f>
        <v>285022.8382287081</v>
      </c>
      <c r="H97" s="54">
        <f>SUM($D96:H96)</f>
        <v>334884.87995694834</v>
      </c>
      <c r="I97" s="54">
        <f>SUM($D96:I96)</f>
        <v>389505.2958235264</v>
      </c>
      <c r="J97" s="54">
        <f>SUM($D96:J96)</f>
        <v>430320.7928553989</v>
      </c>
      <c r="K97" s="54">
        <f>SUM($D96:K96)</f>
        <v>476087.61450452165</v>
      </c>
      <c r="L97" s="54">
        <f>SUM($D96:L96)</f>
        <v>504145.68295612617</v>
      </c>
      <c r="M97" s="54">
        <f>SUM($D96:M96)</f>
        <v>545131.7251554169</v>
      </c>
      <c r="N97" s="54">
        <f>SUM($D96:N96)</f>
        <v>569654.9446316872</v>
      </c>
    </row>
    <row r="98">
      <c r="B98" s="39" t="inlineStr">
        <is>
          <t>Аннуитет по году</t>
        </is>
      </c>
      <c r="C98" s="24" t="inlineStr">
        <is>
          <t>руб/пог.м</t>
        </is>
      </c>
      <c r="D98" s="66" t="n"/>
      <c r="E98" s="66">
        <f>SUM($D96:E96)/SUM($E$6:E$6)/(SUM($E80:E80)/E$4)</f>
        <v>1480.5529827688733</v>
      </c>
      <c r="F98" s="66">
        <f>SUM($D96:F96)/SUM($E$6:F$6)/(SUM($E80:F80)/F$4)</f>
        <v>1004.7340559100438</v>
      </c>
      <c r="G98" s="66">
        <f>SUM($D96:G96)/SUM($E$6:G$6)/(SUM($E80:G80)/G$4)</f>
        <v>902.5195594506711</v>
      </c>
      <c r="H98" s="66">
        <f>SUM($D96:H96)/SUM($E$6:H$6)/(SUM($E80:H80)/H$4)</f>
        <v>840.0440474089952</v>
      </c>
      <c r="I98" s="66">
        <f>SUM($D96:I96)/SUM($E$6:I$6)/(SUM($E80:I80)/I$4)</f>
        <v>833.1666193144415</v>
      </c>
      <c r="J98" s="66">
        <f>SUM($D96:J96)/SUM($E$6:J$6)/(SUM($E80:J80)/J$4)</f>
        <v>809.1121974345496</v>
      </c>
      <c r="K98" s="66">
        <f>SUM($D96:K96)/SUM($E$6:K$6)/(SUM($E80:K80)/K$4)</f>
        <v>814.3073875171285</v>
      </c>
      <c r="L98" s="66">
        <f>SUM($D96:L96)/SUM($E$6:L$6)/(SUM($E80:L80)/L$4)</f>
        <v>792.5045146204484</v>
      </c>
      <c r="M98" s="66">
        <f>SUM($D96:M96)/SUM($E$6:M$6)/(SUM($E80:M80)/M$4)</f>
        <v>799.1832241589786</v>
      </c>
      <c r="N98" s="66">
        <f>SUM($D96:N96)/SUM($E$6:N$6)/(SUM($E80:N80)/N$4)</f>
        <v>792.1306821150071</v>
      </c>
    </row>
    <row r="100">
      <c r="B100" s="5" t="str">
        <f>"Вариант 5:  "&amp;'Ввод данных'!H7</f>
        <v>Вариант 5:  HIFO 75D
(аналог DM75)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B101" s="22" t="inlineStr">
        <is>
          <t>КТГ</t>
        </is>
      </c>
      <c r="C101" s="24" t="inlineStr">
        <is>
          <t>коэф.</t>
        </is>
      </c>
      <c r="D101" s="58" t="n"/>
      <c r="E101" s="58">
        <f>'Данные по годам'!E23</f>
        <v>0.8932</v>
      </c>
      <c r="F101" s="58">
        <f>'Данные по годам'!F23</f>
        <v>0.867</v>
      </c>
      <c r="G101" s="58">
        <f>'Данные по годам'!G23</f>
        <v>0.8536</v>
      </c>
      <c r="H101" s="58">
        <f>'Данные по годам'!H23</f>
        <v>0.8651</v>
      </c>
      <c r="I101" s="58">
        <f>'Данные по годам'!I23</f>
        <v>0.8702</v>
      </c>
      <c r="J101" s="58">
        <f>'Данные по годам'!J23</f>
        <v>0.8443</v>
      </c>
      <c r="K101" s="58">
        <f>'Данные по годам'!K23</f>
        <v>0.8584</v>
      </c>
      <c r="L101" s="58">
        <f>'Данные по годам'!L23</f>
        <v>0.8706</v>
      </c>
      <c r="M101" s="58">
        <f>'Данные по годам'!M23</f>
        <v>0.8529</v>
      </c>
      <c r="N101" s="58">
        <f>'Данные по годам'!N23</f>
        <v>0.8527</v>
      </c>
    </row>
    <row r="102">
      <c r="B102" s="22" t="inlineStr">
        <is>
          <t>Эффективное время</t>
        </is>
      </c>
      <c r="C102" s="24" t="inlineStr">
        <is>
          <t>час/год</t>
        </is>
      </c>
      <c r="D102" s="54" t="n"/>
      <c r="E102" s="54">
        <f>'Параметры'!C27*E101*(1-137.92/(60*'Параметры'!C28))</f>
        <v>6325.618581333334</v>
      </c>
      <c r="F102" s="54">
        <f>'Параметры'!C27*F101*(1-137.92/(60*'Параметры'!C28))</f>
        <v>6140.07088</v>
      </c>
      <c r="G102" s="54">
        <f>'Параметры'!C27*G101*(1-137.92/(60*'Параметры'!C28))</f>
        <v>6045.172437333334</v>
      </c>
      <c r="H102" s="54">
        <f>'Параметры'!C27*H101*(1-137.92/(60*'Параметры'!C28))</f>
        <v>6126.615130666667</v>
      </c>
      <c r="I102" s="54">
        <f>'Параметры'!C27*I101*(1-137.92/(60*'Параметры'!C28))</f>
        <v>6162.733194666666</v>
      </c>
      <c r="J102" s="54">
        <f>'Параметры'!C27*J101*(1-137.92/(60*'Параметры'!C28))</f>
        <v>5979.310085333334</v>
      </c>
      <c r="K102" s="54">
        <f>'Параметры'!C27*K101*(1-137.92/(60*'Параметры'!C28))</f>
        <v>6079.165909333335</v>
      </c>
      <c r="L102" s="54">
        <f>'Параметры'!C27*L101*(1-137.92/(60*'Параметры'!C28))</f>
        <v>6165.565984000001</v>
      </c>
      <c r="M102" s="54">
        <f>'Параметры'!C27*M101*(1-137.92/(60*'Параметры'!C28))</f>
        <v>6040.215056</v>
      </c>
      <c r="N102" s="54">
        <f>'Параметры'!C27*N101*(1-137.92/(60*'Параметры'!C28))</f>
        <v>6038.798661333334</v>
      </c>
    </row>
    <row r="103">
      <c r="B103" s="22" t="inlineStr">
        <is>
          <t>Объём бурения</t>
        </is>
      </c>
      <c r="C103" s="24" t="inlineStr">
        <is>
          <t>тыс.пог.м</t>
        </is>
      </c>
      <c r="D103" s="64" t="n"/>
      <c r="E103" s="64">
        <f>'Производительность'!H12*E102/1000</f>
        <v>103.15118501353301</v>
      </c>
      <c r="F103" s="64">
        <f>'Производительность'!H12*F102/1000</f>
        <v>100.12547851179255</v>
      </c>
      <c r="G103" s="64">
        <f>'Производительность'!H12*G102/1000</f>
        <v>98.57797976662758</v>
      </c>
      <c r="H103" s="64">
        <f>'Производительность'!H12*H102/1000</f>
        <v>99.90605704792587</v>
      </c>
      <c r="I103" s="64">
        <f>'Производительность'!H12*I102/1000</f>
        <v>100.49503045093641</v>
      </c>
      <c r="J103" s="64">
        <f>'Производительность'!H12*J102/1000</f>
        <v>97.50396944349073</v>
      </c>
      <c r="K103" s="64">
        <f>'Производительность'!H12*K102/1000</f>
        <v>99.13230767534341</v>
      </c>
      <c r="L103" s="64">
        <f>'Производительность'!H12*L102/1000</f>
        <v>100.54122444332941</v>
      </c>
      <c r="M103" s="64">
        <f>'Производительность'!H12*M102/1000</f>
        <v>98.49714027993987</v>
      </c>
      <c r="N103" s="64">
        <f>'Производительность'!H12*N102/1000</f>
        <v>98.47404328374338</v>
      </c>
    </row>
    <row r="104">
      <c r="B104" s="22" t="inlineStr">
        <is>
          <t>Объём взрывания</t>
        </is>
      </c>
      <c r="C104" s="24" t="inlineStr">
        <is>
          <t>тыс.м³</t>
        </is>
      </c>
      <c r="D104" s="54" t="n"/>
      <c r="E104" s="54">
        <f>E103*'Параметры'!C35</f>
        <v>5102.373366694411</v>
      </c>
      <c r="F104" s="54">
        <f>F103*'Параметры'!C35</f>
        <v>4952.706794585819</v>
      </c>
      <c r="G104" s="54">
        <f>G103*'Параметры'!C35</f>
        <v>4876.159769156234</v>
      </c>
      <c r="H104" s="54">
        <f>H103*'Параметры'!C35</f>
        <v>4941.853111875654</v>
      </c>
      <c r="I104" s="54">
        <f>I103*'Параметры'!C35</f>
        <v>4970.98668125557</v>
      </c>
      <c r="J104" s="54">
        <f>J103*'Параметры'!C35</f>
        <v>4823.033848522269</v>
      </c>
      <c r="K104" s="54">
        <f>K103*'Параметры'!C35</f>
        <v>4903.579599160862</v>
      </c>
      <c r="L104" s="54">
        <f>L103*'Параметры'!C35</f>
        <v>4973.27166708929</v>
      </c>
      <c r="M104" s="54">
        <f>M103*'Параметры'!C35</f>
        <v>4872.161043947226</v>
      </c>
      <c r="N104" s="54">
        <f>N103*'Параметры'!C35</f>
        <v>4871.018551030367</v>
      </c>
    </row>
    <row r="105">
      <c r="B105" s="22" t="inlineStr">
        <is>
          <t>Топливо/энергия</t>
        </is>
      </c>
      <c r="C105" s="24" t="inlineStr">
        <is>
          <t>тыс.руб</t>
        </is>
      </c>
      <c r="D105" s="54" t="n"/>
      <c r="E105" s="54">
        <f>E102*'Данные по годам'!E25/1000*'Параметры'!C10*(1+'Параметры'!C15)^(E$4-1)</f>
        <v>39046.62972681775</v>
      </c>
      <c r="F105" s="54">
        <f>F102*'Данные по годам'!F25/1000*'Параметры'!C10*(1+'Параметры'!C15)^(F$4-1)</f>
        <v>37901.285236398326</v>
      </c>
      <c r="G105" s="54">
        <f>G102*'Данные по годам'!G25/1000*'Параметры'!C10*(1+'Параметры'!C15)^(G$4-1)</f>
        <v>37315.49835961893</v>
      </c>
      <c r="H105" s="54">
        <f>H102*'Данные по годам'!H25/1000*'Параметры'!C10*(1+'Параметры'!C15)^(H$4-1)</f>
        <v>37818.22590312364</v>
      </c>
      <c r="I105" s="54">
        <f>I102*'Данные по годам'!I25/1000*'Параметры'!C10*(1+'Параметры'!C15)^(I$4-1)</f>
        <v>38041.17463980833</v>
      </c>
      <c r="J105" s="54">
        <f>J102*'Данные по годам'!J25/1000*'Параметры'!C10*(1+'Параметры'!C15)^(J$4-1)</f>
        <v>36908.94478095861</v>
      </c>
      <c r="K105" s="54">
        <f>K102*'Данные по годам'!K25/1000*'Параметры'!C10*(1+'Параметры'!C15)^(K$4-1)</f>
        <v>37525.33246473395</v>
      </c>
      <c r="L105" s="54">
        <f>L102*'Данные по годам'!L25/1000*'Параметры'!C10*(1+'Параметры'!C15)^(L$4-1)</f>
        <v>38058.66081523459</v>
      </c>
      <c r="M105" s="54">
        <f>M102*'Данные по годам'!M25/1000*'Параметры'!C10*(1+'Параметры'!C15)^(M$4-1)</f>
        <v>37284.897552622984</v>
      </c>
      <c r="N105" s="54">
        <f>N102*'Данные по годам'!N25/1000*'Параметры'!C10*(1+'Параметры'!C15)^(N$4-1)</f>
        <v>37276.15446490987</v>
      </c>
    </row>
    <row r="106">
      <c r="B106" s="22" t="inlineStr">
        <is>
          <t>ТОиР и сервис (по годам)</t>
        </is>
      </c>
      <c r="C106" s="24" t="inlineStr">
        <is>
          <t>тыс.руб</t>
        </is>
      </c>
      <c r="D106" s="54" t="n"/>
      <c r="E106" s="54">
        <f>'Данные по годам'!E24*IF('Данные по годам'!$D$24="CNY",'Параметры'!C21,IF('Данные по годам'!$D$24="USD",'Параметры'!C22,IF('Данные по годам'!$D$24="EUR",'Параметры'!C23,1)))</f>
        <v>13943.716403297503</v>
      </c>
      <c r="F106" s="54">
        <f>'Данные по годам'!F24*IF('Данные по годам'!$D$24="CNY",'Параметры'!C21,IF('Данные по годам'!$D$24="USD",'Параметры'!C22,IF('Данные по годам'!$D$24="EUR",'Параметры'!C23,1)))</f>
        <v>33699.587304061126</v>
      </c>
      <c r="G106" s="54">
        <f>'Данные по годам'!G24*IF('Данные по годам'!$D$24="CNY",'Параметры'!C21,IF('Данные по годам'!$D$24="USD",'Параметры'!C22,IF('Данные по годам'!$D$24="EUR",'Параметры'!C23,1)))</f>
        <v>58004.55920078893</v>
      </c>
      <c r="H106" s="54">
        <f>'Данные по годам'!H24*IF('Данные по годам'!$D$24="CNY",'Параметры'!C21,IF('Данные по годам'!$D$24="USD",'Параметры'!C22,IF('Данные по годам'!$D$24="EUR",'Параметры'!C23,1)))</f>
        <v>50629.74420559823</v>
      </c>
      <c r="I106" s="54">
        <f>'Данные по годам'!I24*IF('Данные по годам'!$D$24="CNY",'Параметры'!C21,IF('Данные по годам'!$D$24="USD",'Параметры'!C22,IF('Данные по годам'!$D$24="EUR",'Параметры'!C23,1)))</f>
        <v>70287.39854456046</v>
      </c>
      <c r="J106" s="54">
        <f>'Данные по годам'!J24*IF('Данные по годам'!$D$24="CNY",'Параметры'!C21,IF('Данные по годам'!$D$24="USD",'Параметры'!C22,IF('Данные по годам'!$D$24="EUR",'Параметры'!C23,1)))</f>
        <v>47024.209601929295</v>
      </c>
      <c r="K106" s="54">
        <f>'Данные по годам'!K24*IF('Данные по годам'!$D$24="CNY",'Параметры'!C21,IF('Данные по годам'!$D$24="USD",'Параметры'!C22,IF('Данные по годам'!$D$24="EUR",'Параметры'!C23,1)))</f>
        <v>69003.43336873408</v>
      </c>
      <c r="L106" s="54">
        <f>'Данные по годам'!L24*IF('Данные по годам'!$D$24="CNY",'Параметры'!C21,IF('Данные по годам'!$D$24="USD",'Параметры'!C22,IF('Данные по годам'!$D$24="EUR",'Параметры'!C23,1)))</f>
        <v>35044.947705484185</v>
      </c>
      <c r="M106" s="54">
        <f>'Данные по годам'!M24*IF('Данные по годам'!$D$24="CNY",'Параметры'!C21,IF('Данные по годам'!$D$24="USD",'Параметры'!C22,IF('Данные по годам'!$D$24="EUR",'Параметры'!C23,1)))</f>
        <v>80492.29763785732</v>
      </c>
      <c r="N106" s="54">
        <f>'Данные по годам'!N24*IF('Данные по годам'!$D$24="CNY",'Параметры'!C21,IF('Данные по годам'!$D$24="USD",'Параметры'!C22,IF('Данные по годам'!$D$24="EUR",'Параметры'!C23,1)))</f>
        <v>43279.46429325258</v>
      </c>
    </row>
    <row r="107">
      <c r="B107" s="22" t="inlineStr">
        <is>
          <t>Долота</t>
        </is>
      </c>
      <c r="C107" s="24" t="inlineStr">
        <is>
          <t>тыс.руб</t>
        </is>
      </c>
      <c r="D107" s="54" t="n"/>
      <c r="E107" s="54">
        <f>E103*'Поставщик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годам'!$D$24="EUR",'Параметры'!C23,1)))*(1+'Параметры'!C16)^(E$4-1)</f>
        <v>0.0</v>
      </c>
      <c r="F107" s="54">
        <f>F103*'Поставщик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годам'!$D$24="EUR",'Параметры'!C23,1)))*(1+'Параметры'!C16)^(F$4-1)</f>
        <v>0.0</v>
      </c>
      <c r="G107" s="54">
        <f>G103*'Поставщик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годам'!$D$24="EUR",'Параметры'!C23,1)))*(1+'Параметры'!C16)^(G$4-1)</f>
        <v>0.0</v>
      </c>
      <c r="H107" s="54">
        <f>H103*'Поставщик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годам'!$D$24="EUR",'Параметры'!C23,1)))*(1+'Параметры'!C16)^(H$4-1)</f>
        <v>0.0</v>
      </c>
      <c r="I107" s="54">
        <f>I103*'Поставщик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годам'!$D$24="EUR",'Параметры'!C23,1)))*(1+'Параметры'!C16)^(I$4-1)</f>
        <v>0.0</v>
      </c>
      <c r="J107" s="54">
        <f>J103*'Поставщик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годам'!$D$24="EUR",'Параметры'!C23,1)))*(1+'Параметры'!C16)^(J$4-1)</f>
        <v>0.0</v>
      </c>
      <c r="K107" s="54">
        <f>K103*'Поставщик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годам'!$D$24="EUR",'Параметры'!C23,1)))*(1+'Параметры'!C16)^(K$4-1)</f>
        <v>0.0</v>
      </c>
      <c r="L107" s="54">
        <f>L103*'Поставщик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годам'!$D$24="EUR",'Параметры'!C23,1)))*(1+'Параметры'!C16)^(L$4-1)</f>
        <v>0.0</v>
      </c>
      <c r="M107" s="54">
        <f>M103*'Поставщик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годам'!$D$24="EUR",'Параметры'!C23,1)))*(1+'Параметры'!C16)^(M$4-1)</f>
        <v>0.0</v>
      </c>
      <c r="N107" s="54">
        <f>N103*'Поставщик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годам'!$D$24="EUR",'Параметры'!C23,1)))*(1+'Параметры'!C16)^(N$4-1)</f>
        <v>0.0</v>
      </c>
    </row>
    <row r="108">
      <c r="B108" s="22" t="inlineStr">
        <is>
          <t>Штанги/адаптеры</t>
        </is>
      </c>
      <c r="C108" s="24" t="inlineStr">
        <is>
          <t>тыс.руб</t>
        </is>
      </c>
      <c r="D108" s="54" t="n"/>
      <c r="E108" s="54">
        <f>E103*'Поставщик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годам'!$D$24="EUR",'Параметры'!C23,1)))*(1+'Параметры'!C16)^(E$4-1)</f>
        <v>0.0</v>
      </c>
      <c r="F108" s="54">
        <f>F103*'Поставщик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годам'!$D$24="EUR",'Параметры'!C23,1)))*(1+'Параметры'!C16)^(F$4-1)</f>
        <v>0.0</v>
      </c>
      <c r="G108" s="54">
        <f>G103*'Поставщик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годам'!$D$24="EUR",'Параметры'!C23,1)))*(1+'Параметры'!C16)^(G$4-1)</f>
        <v>0.0</v>
      </c>
      <c r="H108" s="54">
        <f>H103*'Поставщик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годам'!$D$24="EUR",'Параметры'!C23,1)))*(1+'Параметры'!C16)^(H$4-1)</f>
        <v>0.0</v>
      </c>
      <c r="I108" s="54">
        <f>I103*'Поставщик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годам'!$D$24="EUR",'Параметры'!C23,1)))*(1+'Параметры'!C16)^(I$4-1)</f>
        <v>0.0</v>
      </c>
      <c r="J108" s="54">
        <f>J103*'Поставщик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годам'!$D$24="EUR",'Параметры'!C23,1)))*(1+'Параметры'!C16)^(J$4-1)</f>
        <v>0.0</v>
      </c>
      <c r="K108" s="54">
        <f>K103*'Поставщик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годам'!$D$24="EUR",'Параметры'!C23,1)))*(1+'Параметры'!C16)^(K$4-1)</f>
        <v>0.0</v>
      </c>
      <c r="L108" s="54">
        <f>L103*'Поставщик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годам'!$D$24="EUR",'Параметры'!C23,1)))*(1+'Параметры'!C16)^(L$4-1)</f>
        <v>0.0</v>
      </c>
      <c r="M108" s="54">
        <f>M103*'Поставщик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годам'!$D$24="EUR",'Параметры'!C23,1)))*(1+'Параметры'!C16)^(M$4-1)</f>
        <v>0.0</v>
      </c>
      <c r="N108" s="54">
        <f>N103*'Поставщик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годам'!$D$24="EUR",'Параметры'!C23,1)))*(1+'Параметры'!C16)^(N$4-1)</f>
        <v>0.0</v>
      </c>
    </row>
    <row r="109">
      <c r="B109" s="22" t="inlineStr">
        <is>
          <t>Расходники</t>
        </is>
      </c>
      <c r="C109" s="24" t="inlineStr">
        <is>
          <t>тыс.руб</t>
        </is>
      </c>
      <c r="D109" s="54" t="n"/>
      <c r="E109" s="54">
        <f>E103*'Поставщик 5'!$D$257*(1+'Параметры'!C16)^(E$4-1)</f>
        <v>0.0</v>
      </c>
      <c r="F109" s="54">
        <f>F103*'Поставщик 5'!$D$257*(1+'Параметры'!C16)^(F$4-1)</f>
        <v>0.0</v>
      </c>
      <c r="G109" s="54">
        <f>G103*'Поставщик 5'!$D$257*(1+'Параметры'!C16)^(G$4-1)</f>
        <v>0.0</v>
      </c>
      <c r="H109" s="54">
        <f>H103*'Поставщик 5'!$D$257*(1+'Параметры'!C16)^(H$4-1)</f>
        <v>0.0</v>
      </c>
      <c r="I109" s="54">
        <f>I103*'Поставщик 5'!$D$257*(1+'Параметры'!C16)^(I$4-1)</f>
        <v>0.0</v>
      </c>
      <c r="J109" s="54">
        <f>J103*'Поставщик 5'!$D$257*(1+'Параметры'!C16)^(J$4-1)</f>
        <v>0.0</v>
      </c>
      <c r="K109" s="54">
        <f>K103*'Поставщик 5'!$D$257*(1+'Параметры'!C16)^(K$4-1)</f>
        <v>0.0</v>
      </c>
      <c r="L109" s="54">
        <f>L103*'Поставщик 5'!$D$257*(1+'Параметры'!C16)^(L$4-1)</f>
        <v>0.0</v>
      </c>
      <c r="M109" s="54">
        <f>M103*'Поставщик 5'!$D$257*(1+'Параметры'!C16)^(M$4-1)</f>
        <v>0.0</v>
      </c>
      <c r="N109" s="54">
        <f>N103*'Поставщик 5'!$D$257*(1+'Параметры'!C16)^(N$4-1)</f>
        <v>0.0</v>
      </c>
    </row>
    <row r="110">
      <c r="B110" s="22" t="inlineStr">
        <is>
          <t>Персонал</t>
        </is>
      </c>
      <c r="C110" s="24" t="inlineStr">
        <is>
          <t>тыс.руб</t>
        </is>
      </c>
      <c r="D110" s="54" t="n"/>
      <c r="E110" s="54">
        <f>'Ввод данных'!H22*(1+'Параметры'!C17)^(E$4-1)</f>
        <v>15710.0</v>
      </c>
      <c r="F110" s="54">
        <f>'Ввод данных'!H22*(1+'Параметры'!C17)^(F$4-1)</f>
        <v>15710.0</v>
      </c>
      <c r="G110" s="54">
        <f>'Ввод данных'!H22*(1+'Параметры'!C17)^(G$4-1)</f>
        <v>15710.0</v>
      </c>
      <c r="H110" s="54">
        <f>'Ввод данных'!H22*(1+'Параметры'!C17)^(H$4-1)</f>
        <v>15710.0</v>
      </c>
      <c r="I110" s="54">
        <f>'Ввод данных'!H22*(1+'Параметры'!C17)^(I$4-1)</f>
        <v>15710.0</v>
      </c>
      <c r="J110" s="54">
        <f>'Ввод данных'!H22*(1+'Параметры'!C17)^(J$4-1)</f>
        <v>15710.0</v>
      </c>
      <c r="K110" s="54">
        <f>'Ввод данных'!H22*(1+'Параметры'!C17)^(K$4-1)</f>
        <v>15710.0</v>
      </c>
      <c r="L110" s="54">
        <f>'Ввод данных'!H22*(1+'Параметры'!C17)^(L$4-1)</f>
        <v>15710.0</v>
      </c>
      <c r="M110" s="54">
        <f>'Ввод данных'!H22*(1+'Параметры'!C17)^(M$4-1)</f>
        <v>15710.0</v>
      </c>
      <c r="N110" s="54">
        <f>'Ввод данных'!H22*(1+'Параметры'!C17)^(N$4-1)</f>
        <v>15710.0</v>
      </c>
    </row>
    <row r="111">
      <c r="B111" s="22" t="inlineStr">
        <is>
          <t>Транспортный налог</t>
        </is>
      </c>
      <c r="C111" s="24" t="inlineStr">
        <is>
          <t>тыс.руб</t>
        </is>
      </c>
      <c r="D111" s="54" t="n"/>
      <c r="E111" s="54">
        <f>'Ввод данных'!H23*15/1000</f>
        <v>12.17535</v>
      </c>
      <c r="F111" s="54">
        <f>'Ввод данных'!H23*15/1000</f>
        <v>12.17535</v>
      </c>
      <c r="G111" s="54">
        <f>'Ввод данных'!H23*15/1000</f>
        <v>12.17535</v>
      </c>
      <c r="H111" s="54">
        <f>'Ввод данных'!H23*15/1000</f>
        <v>12.17535</v>
      </c>
      <c r="I111" s="54">
        <f>'Ввод данных'!H23*15/1000</f>
        <v>12.17535</v>
      </c>
      <c r="J111" s="54">
        <f>'Ввод данных'!H23*15/1000</f>
        <v>12.17535</v>
      </c>
      <c r="K111" s="54">
        <f>'Ввод данных'!H23*15/1000</f>
        <v>12.17535</v>
      </c>
      <c r="L111" s="54">
        <f>'Ввод данных'!H23*15/1000</f>
        <v>12.17535</v>
      </c>
      <c r="M111" s="54">
        <f>'Ввод данных'!H23*15/1000</f>
        <v>12.17535</v>
      </c>
      <c r="N111" s="54">
        <f>'Ввод данных'!H23*15/1000</f>
        <v>12.17535</v>
      </c>
    </row>
    <row r="112">
      <c r="B112" s="22" t="inlineStr">
        <is>
          <t>Итого денежные затраты</t>
        </is>
      </c>
      <c r="C112" s="24" t="inlineStr">
        <is>
          <t>тыс.руб</t>
        </is>
      </c>
      <c r="D112" s="54" t="n"/>
      <c r="E112" s="65">
        <f>E105+E106+E107+E108+E109+E110+E111</f>
        <v>68712.52148011526</v>
      </c>
      <c r="F112" s="65">
        <f>F105+F106+F107+F108+F109+F110+F111</f>
        <v>87323.04789045945</v>
      </c>
      <c r="G112" s="65">
        <f>G105+G106+G107+G108+G109+G110+G111</f>
        <v>111042.23291040785</v>
      </c>
      <c r="H112" s="65">
        <f>H105+H106+H107+H108+H109+H110+H111</f>
        <v>104170.14545872188</v>
      </c>
      <c r="I112" s="65">
        <f>I105+I106+I107+I108+I109+I110+I111</f>
        <v>124050.74853436879</v>
      </c>
      <c r="J112" s="65">
        <f>J105+J106+J107+J108+J109+J110+J111</f>
        <v>99655.32973288791</v>
      </c>
      <c r="K112" s="65">
        <f>K105+K106+K107+K108+K109+K110+K111</f>
        <v>122250.94118346804</v>
      </c>
      <c r="L112" s="65">
        <f>L105+L106+L107+L108+L109+L110+L111</f>
        <v>88825.78387071878</v>
      </c>
      <c r="M112" s="65">
        <f>M105+M106+M107+M108+M109+M110+M111</f>
        <v>133499.3705404803</v>
      </c>
      <c r="N112" s="65">
        <f>N105+N106+N107+N108+N109+N110+N111</f>
        <v>96277.79410816246</v>
      </c>
    </row>
    <row r="113">
      <c r="B113" s="22" t="inlineStr">
        <is>
          <t>Амортизация (НУ)</t>
        </is>
      </c>
      <c r="C113" s="24" t="inlineStr">
        <is>
          <t>тыс.руб</t>
        </is>
      </c>
      <c r="D113" s="54" t="n"/>
      <c r="E113" s="54">
        <f>IF(E$4&lt;=INT('Параметры'!C9),'Производительность'!H5/'Параметры'!C9,IF(E$4=INT('Параметры'!C9)+1,'Производительность'!H5*('Параметры'!C9-INT('Параметры'!C9))/'Параметры'!C9,0))</f>
        <v>25968.915994491443</v>
      </c>
      <c r="F113" s="54">
        <f>IF(F$4&lt;=INT('Параметры'!C9),'Производительность'!H5/'Параметры'!C9,IF(F$4=INT('Параметры'!C9)+1,'Производительность'!H5*('Параметры'!C9-INT('Параметры'!C9))/'Параметры'!C9,0))</f>
        <v>25968.915994491443</v>
      </c>
      <c r="G113" s="54">
        <f>IF(G$4&lt;=INT('Параметры'!C9),'Производительность'!H5/'Параметры'!C9,IF(G$4=INT('Параметры'!C9)+1,'Производительность'!H5*('Параметры'!C9-INT('Параметры'!C9))/'Параметры'!C9,0))</f>
        <v>25968.915994491443</v>
      </c>
      <c r="H113" s="54">
        <f>IF(H$4&lt;=INT('Параметры'!C9),'Производительность'!H5/'Параметры'!C9,IF(H$4=INT('Параметры'!C9)+1,'Производительность'!H5*('Параметры'!C9-INT('Параметры'!C9))/'Параметры'!C9,0))</f>
        <v>25968.915994491443</v>
      </c>
      <c r="I113" s="54">
        <f>IF(I$4&lt;=INT('Параметры'!C9),'Производительность'!H5/'Параметры'!C9,IF(I$4=INT('Параметры'!C9)+1,'Производительность'!H5*('Параметры'!C9-INT('Параметры'!C9))/'Параметры'!C9,0))</f>
        <v>25968.915994491443</v>
      </c>
      <c r="J113" s="54">
        <f>IF(J$4&lt;=INT('Параметры'!C9),'Производительность'!H5/'Параметры'!C9,IF(J$4=INT('Параметры'!C9)+1,'Производительность'!H5*('Параметры'!C9-INT('Параметры'!C9))/'Параметры'!C9,0))</f>
        <v>2155.4200275427943</v>
      </c>
      <c r="K113" s="54">
        <f>IF(K$4&lt;=INT('Параметры'!C9),'Производительность'!H5/'Параметры'!C9,IF(K$4=INT('Параметры'!C9)+1,'Производительность'!H5*('Параметры'!C9-INT('Параметры'!C9))/'Параметры'!C9,0))</f>
        <v>0.0</v>
      </c>
      <c r="L113" s="54">
        <f>IF(L$4&lt;=INT('Параметры'!C9),'Производительность'!H5/'Параметры'!C9,IF(L$4=INT('Параметры'!C9)+1,'Производительность'!H5*('Параметры'!C9-INT('Параметры'!C9))/'Параметры'!C9,0))</f>
        <v>0.0</v>
      </c>
      <c r="M113" s="54">
        <f>IF(M$4&lt;=INT('Параметры'!C9),'Производительность'!H5/'Параметры'!C9,IF(M$4=INT('Параметры'!C9)+1,'Производительность'!H5*('Параметры'!C9-INT('Параметры'!C9))/'Параметры'!C9,0))</f>
        <v>0.0</v>
      </c>
      <c r="N113" s="54">
        <f>IF(N$4&lt;=INT('Параметры'!C9),'Производительность'!H5/'Параметры'!C9,IF(N$4=INT('Параметры'!C9)+1,'Производительность'!H5*('Параметры'!C9-INT('Параметры'!C9))/'Параметры'!C9,0))</f>
        <v>0.0</v>
      </c>
    </row>
    <row r="114">
      <c r="B114" s="22" t="inlineStr">
        <is>
          <t>Налогооблагаемая база</t>
        </is>
      </c>
      <c r="C114" s="24" t="inlineStr">
        <is>
          <t>тыс.руб</t>
        </is>
      </c>
      <c r="D114" s="54" t="n"/>
      <c r="E114" s="54">
        <f>E112+E113</f>
        <v>94681.4374746067</v>
      </c>
      <c r="F114" s="54">
        <f>F112+F113</f>
        <v>113291.96388495089</v>
      </c>
      <c r="G114" s="54">
        <f>G112+G113</f>
        <v>137011.1489048993</v>
      </c>
      <c r="H114" s="54">
        <f>H112+H113</f>
        <v>130139.06145321332</v>
      </c>
      <c r="I114" s="54">
        <f>I112+I113</f>
        <v>150019.66452886024</v>
      </c>
      <c r="J114" s="54">
        <f>J112+J113</f>
        <v>101810.74976043071</v>
      </c>
      <c r="K114" s="54">
        <f>K112+K113</f>
        <v>122250.94118346804</v>
      </c>
      <c r="L114" s="54">
        <f>L112+L113</f>
        <v>88825.78387071878</v>
      </c>
      <c r="M114" s="54">
        <f>M112+M113</f>
        <v>133499.3705404803</v>
      </c>
      <c r="N114" s="54">
        <f>N112+N113</f>
        <v>96277.79410816246</v>
      </c>
    </row>
    <row r="115">
      <c r="B115" s="22" t="inlineStr">
        <is>
          <t>Налог на прибыль (щит)</t>
        </is>
      </c>
      <c r="C115" s="24" t="inlineStr">
        <is>
          <t>тыс.руб</t>
        </is>
      </c>
      <c r="D115" s="54" t="n"/>
      <c r="E115" s="54">
        <f>-E114*'Параметры'!C7</f>
        <v>-23670.359368651676</v>
      </c>
      <c r="F115" s="54">
        <f>-F114*'Параметры'!C7</f>
        <v>-28322.990971237723</v>
      </c>
      <c r="G115" s="54">
        <f>-G114*'Параметры'!C7</f>
        <v>-34252.78722622483</v>
      </c>
      <c r="H115" s="54">
        <f>-H114*'Параметры'!C7</f>
        <v>-32534.76536330333</v>
      </c>
      <c r="I115" s="54">
        <f>-I114*'Параметры'!C7</f>
        <v>-37504.91613221506</v>
      </c>
      <c r="J115" s="54">
        <f>-J114*'Параметры'!C7</f>
        <v>-25452.68744010768</v>
      </c>
      <c r="K115" s="54">
        <f>-K114*'Параметры'!C7</f>
        <v>-30562.73529586701</v>
      </c>
      <c r="L115" s="54">
        <f>-L114*'Параметры'!C7</f>
        <v>-22206.445967679694</v>
      </c>
      <c r="M115" s="54">
        <f>-M114*'Параметры'!C7</f>
        <v>-33374.842635120076</v>
      </c>
      <c r="N115" s="54">
        <f>-N114*'Параметры'!C7</f>
        <v>-24069.448527040615</v>
      </c>
    </row>
    <row r="116">
      <c r="B116" s="22" t="inlineStr">
        <is>
          <t>Операц. денежный поток</t>
        </is>
      </c>
      <c r="C116" s="24" t="inlineStr">
        <is>
          <t>тыс.руб</t>
        </is>
      </c>
      <c r="D116" s="54" t="n"/>
      <c r="E116" s="65">
        <f>E114+E115-E113</f>
        <v>45042.16211146359</v>
      </c>
      <c r="F116" s="65">
        <f>F114+F115-F113</f>
        <v>59000.05691922172</v>
      </c>
      <c r="G116" s="65">
        <f>G114+G115-G113</f>
        <v>76789.44568418304</v>
      </c>
      <c r="H116" s="65">
        <f>H114+H115-H113</f>
        <v>71635.38009541854</v>
      </c>
      <c r="I116" s="65">
        <f>I114+I115-I113</f>
        <v>86545.83240215374</v>
      </c>
      <c r="J116" s="65">
        <f>J114+J115-J113</f>
        <v>74202.64229278023</v>
      </c>
      <c r="K116" s="65">
        <f>K114+K115-K113</f>
        <v>91688.20588760103</v>
      </c>
      <c r="L116" s="65">
        <f>L114+L115-L113</f>
        <v>66619.33790303908</v>
      </c>
      <c r="M116" s="65">
        <f>M114+M115-M113</f>
        <v>100124.52790536023</v>
      </c>
      <c r="N116" s="65">
        <f>N114+N115-N113</f>
        <v>72208.34558112184</v>
      </c>
    </row>
    <row r="117">
      <c r="B117" s="22" t="inlineStr">
        <is>
          <t>Инвестиции / остаточная ст-ть</t>
        </is>
      </c>
      <c r="C117" s="24" t="inlineStr">
        <is>
          <t>тыс.руб</t>
        </is>
      </c>
      <c r="D117" s="54">
        <f>IF(D$4=0,'Производительность'!H5,IF(D$4='Параметры'!C8,-'Ввод данных'!H14*'Производительность'!H5,0))</f>
        <v>132000.0</v>
      </c>
      <c r="E117" s="54">
        <f>IF(E$4=0,'Производительность'!H5,IF(E$4='Параметры'!C8,-'Ввод данных'!H14*'Производительность'!H5,0))</f>
        <v>0.0</v>
      </c>
      <c r="F117" s="54">
        <f>IF(F$4=0,'Производительность'!H5,IF(F$4='Параметры'!C8,-'Ввод данных'!H14*'Производительность'!H5,0))</f>
        <v>0.0</v>
      </c>
      <c r="G117" s="54">
        <f>IF(G$4=0,'Производительность'!H5,IF(G$4='Параметры'!C8,-'Ввод данных'!H14*'Производительность'!H5,0))</f>
        <v>0.0</v>
      </c>
      <c r="H117" s="54">
        <f>IF(H$4=0,'Производительность'!H5,IF(H$4='Параметры'!C8,-'Ввод данных'!H14*'Производительность'!H5,0))</f>
        <v>0.0</v>
      </c>
      <c r="I117" s="54">
        <f>IF(I$4=0,'Производительность'!H5,IF(I$4='Параметры'!C8,-'Ввод данных'!H14*'Производительность'!H5,0))</f>
        <v>0.0</v>
      </c>
      <c r="J117" s="54">
        <f>IF(J$4=0,'Производительность'!H5,IF(J$4='Параметры'!C8,-'Ввод данных'!H14*'Производительность'!H5,0))</f>
        <v>0.0</v>
      </c>
      <c r="K117" s="54">
        <f>IF(K$4=0,'Производительность'!H5,IF(K$4='Параметры'!C8,-'Ввод данных'!H14*'Производительность'!H5,0))</f>
        <v>0.0</v>
      </c>
      <c r="L117" s="54">
        <f>IF(L$4=0,'Производительность'!H5,IF(L$4='Параметры'!C8,-'Ввод данных'!H14*'Производительность'!H5,0))</f>
        <v>0.0</v>
      </c>
      <c r="M117" s="54">
        <f>IF(M$4=0,'Производительность'!H5,IF(M$4='Параметры'!C8,-'Ввод данных'!H14*'Производительность'!H5,0))</f>
        <v>0.0</v>
      </c>
      <c r="N117" s="54">
        <f>IF(N$4=0,'Производительность'!H5,IF(N$4='Параметры'!C8,-'Ввод данных'!H14*'Производительность'!H5,0))</f>
        <v>-0.0</v>
      </c>
    </row>
    <row r="118">
      <c r="B118" s="22" t="inlineStr">
        <is>
          <t>Чистый денежный поток</t>
        </is>
      </c>
      <c r="C118" s="24" t="inlineStr">
        <is>
          <t>тыс.руб</t>
        </is>
      </c>
      <c r="D118" s="65">
        <f>0+D117</f>
        <v>132000.0</v>
      </c>
      <c r="E118" s="65">
        <f>E116+E117</f>
        <v>45042.16211146359</v>
      </c>
      <c r="F118" s="65">
        <f>F116+F117</f>
        <v>59000.05691922172</v>
      </c>
      <c r="G118" s="65">
        <f>G116+G117</f>
        <v>76789.44568418304</v>
      </c>
      <c r="H118" s="65">
        <f>H116+H117</f>
        <v>71635.38009541854</v>
      </c>
      <c r="I118" s="65">
        <f>I116+I117</f>
        <v>86545.83240215374</v>
      </c>
      <c r="J118" s="65">
        <f>J116+J117</f>
        <v>74202.64229278023</v>
      </c>
      <c r="K118" s="65">
        <f>K116+K117</f>
        <v>91688.20588760103</v>
      </c>
      <c r="L118" s="65">
        <f>L116+L117</f>
        <v>66619.33790303908</v>
      </c>
      <c r="M118" s="65">
        <f>M116+M117</f>
        <v>100124.52790536023</v>
      </c>
      <c r="N118" s="65">
        <f>N116+N117</f>
        <v>72208.34558112184</v>
      </c>
    </row>
    <row r="119">
      <c r="B119" s="22" t="inlineStr">
        <is>
          <t>Дисконтированный поток</t>
        </is>
      </c>
      <c r="C119" s="24" t="inlineStr">
        <is>
          <t>тыс.руб</t>
        </is>
      </c>
      <c r="D119" s="54">
        <f>D118*D$6</f>
        <v>132000.0</v>
      </c>
      <c r="E119" s="54">
        <f>E118*E$6</f>
        <v>40216.216170949636</v>
      </c>
      <c r="F119" s="54">
        <f>F118*F$6</f>
        <v>47034.48415116527</v>
      </c>
      <c r="G119" s="54">
        <f>G118*G$6</f>
        <v>54657.21067854226</v>
      </c>
      <c r="H119" s="54">
        <f>H118*H$6</f>
        <v>45525.57910404008</v>
      </c>
      <c r="I119" s="54">
        <f>I118*I$6</f>
        <v>49108.42955550296</v>
      </c>
      <c r="J119" s="54">
        <f>J118*J$6</f>
        <v>37593.36785911091</v>
      </c>
      <c r="K119" s="54">
        <f>K118*K$6</f>
        <v>41475.087988903855</v>
      </c>
      <c r="L119" s="54">
        <f>L118*L$6</f>
        <v>26906.433238127753</v>
      </c>
      <c r="M119" s="54">
        <f>M118*M$6</f>
        <v>36105.908509220804</v>
      </c>
      <c r="N119" s="54">
        <f>N118*N$6</f>
        <v>23249.154735613276</v>
      </c>
    </row>
    <row r="120">
      <c r="B120" s="22" t="inlineStr">
        <is>
          <t>Кумул. дисконт. поток</t>
        </is>
      </c>
      <c r="C120" s="24" t="inlineStr">
        <is>
          <t>тыс.руб</t>
        </is>
      </c>
      <c r="D120" s="54">
        <f>SUM($D119:D119)</f>
        <v>132000.0</v>
      </c>
      <c r="E120" s="54">
        <f>SUM($D119:E119)</f>
        <v>172216.21617094963</v>
      </c>
      <c r="F120" s="54">
        <f>SUM($D119:F119)</f>
        <v>219250.7003221149</v>
      </c>
      <c r="G120" s="54">
        <f>SUM($D119:G119)</f>
        <v>273907.9110006571</v>
      </c>
      <c r="H120" s="54">
        <f>SUM($D119:H119)</f>
        <v>319433.4901046972</v>
      </c>
      <c r="I120" s="54">
        <f>SUM($D119:I119)</f>
        <v>368541.91966020013</v>
      </c>
      <c r="J120" s="54">
        <f>SUM($D119:J119)</f>
        <v>406135.28751931107</v>
      </c>
      <c r="K120" s="54">
        <f>SUM($D119:K119)</f>
        <v>447610.37550821493</v>
      </c>
      <c r="L120" s="54">
        <f>SUM($D119:L119)</f>
        <v>474516.80874634266</v>
      </c>
      <c r="M120" s="54">
        <f>SUM($D119:M119)</f>
        <v>510622.7172555635</v>
      </c>
      <c r="N120" s="54">
        <f>SUM($D119:N119)</f>
        <v>533871.8719911767</v>
      </c>
    </row>
    <row r="121">
      <c r="B121" s="39" t="inlineStr">
        <is>
          <t>Аннуитет по году</t>
        </is>
      </c>
      <c r="C121" s="24" t="inlineStr">
        <is>
          <t>руб/пог.м</t>
        </is>
      </c>
      <c r="D121" s="66" t="n"/>
      <c r="E121" s="66">
        <f>SUM($D119:E119)/SUM($E$6:E$6)/(SUM($E103:E103)/E$4)</f>
        <v>1869.8976854813473</v>
      </c>
      <c r="F121" s="66">
        <f>SUM($D119:F119)/SUM($E$6:F$6)/(SUM($E103:F103)/F$4)</f>
        <v>1276.3907420574728</v>
      </c>
      <c r="G121" s="66">
        <f>SUM($D119:G119)/SUM($E$6:G$6)/(SUM($E103:G103)/G$4)</f>
        <v>1133.4059161913299</v>
      </c>
      <c r="H121" s="66">
        <f>SUM($D119:H119)/SUM($E$6:H$6)/(SUM($E103:H103)/H$4)</f>
        <v>1047.0760824820284</v>
      </c>
      <c r="I121" s="66">
        <f>SUM($D119:I119)/SUM($E$6:I$6)/(SUM($E103:I103)/I$4)</f>
        <v>1017.7794784043637</v>
      </c>
      <c r="J121" s="66">
        <f>SUM($D119:J119)/SUM($E$6:J$6)/(SUM($E103:J103)/J$4)</f>
        <v>988.2212530707228</v>
      </c>
      <c r="K121" s="66">
        <f>SUM($D119:K119)/SUM($E$6:K$6)/(SUM($E103:K103)/K$4)</f>
        <v>982.3486269141539</v>
      </c>
      <c r="L121" s="66">
        <f>SUM($D119:L119)/SUM($E$6:L$6)/(SUM($E103:L103)/L$4)</f>
        <v>955.8930303704898</v>
      </c>
      <c r="M121" s="66">
        <f>SUM($D119:M119)/SUM($E$6:M$6)/(SUM($E103:M103)/M$4)</f>
        <v>960.5398855735424</v>
      </c>
      <c r="N121" s="66">
        <f>SUM($D119:N119)/SUM($E$6:N$6)/(SUM($E103:N103)/N$4)</f>
        <v>948.2782846349053</v>
      </c>
    </row>
  </sheetData>
  <mergeCells count="7">
    <mergeCell ref="B31:N31"/>
    <mergeCell ref="B1:N1"/>
    <mergeCell ref="B8:N8"/>
    <mergeCell ref="B100:N100"/>
    <mergeCell ref="B54:N54"/>
    <mergeCell ref="B77:N77"/>
    <mergeCell ref="B2:N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K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РАСЧЁТ АННУИТЕТА (СВОД)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Приведённые NPV затрат из погодового движка → аннуитет руб/пог.м и руб/м³.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Статья</t>
        </is>
      </c>
      <c r="C4" s="15" t="inlineStr">
        <is>
          <t>Ед.</t>
        </is>
      </c>
      <c r="D4" s="15" t="str">
        <f>'Ввод данных'!D7</f>
        <v>YANGZI DR75
(аналог Epiroc DM75)</v>
      </c>
      <c r="E4" s="15" t="str">
        <f>'Ввод данных'!E7</f>
        <v>Sunward
SWDRT250SM</v>
      </c>
      <c r="F4" s="15" t="str">
        <f>'Ввод данных'!F7</f>
        <v>Sunward
SWDRT270SM</v>
      </c>
      <c r="G4" s="15" t="str">
        <f>'Ввод данных'!G7</f>
        <v>Sunward
SWDRT270B</v>
      </c>
      <c r="H4" s="15" t="str">
        <f>'Ввод данных'!H7</f>
        <v>HIFO 75D
(аналог DM75)</v>
      </c>
    </row>
    <row r="5">
      <c r="B5" s="5" t="inlineStr">
        <is>
          <t>ПРИВЕДЁННЫЕ ЗАТРАТЫ ЗА ЖИЗНЕННЫЙ ЦИКЛ (NPV, тыс.руб)</t>
        </is>
      </c>
      <c r="C5" s="4" t="n"/>
      <c r="D5" s="4" t="n"/>
      <c r="E5" s="4" t="n"/>
      <c r="F5" s="4" t="n"/>
      <c r="G5" s="4" t="n"/>
      <c r="H5" s="4" t="n"/>
    </row>
    <row r="6">
      <c r="B6" s="22" t="inlineStr">
        <is>
          <t>NPV топлива/энергии</t>
        </is>
      </c>
      <c r="C6" s="24" t="inlineStr">
        <is>
          <t>тыс.руб</t>
        </is>
      </c>
      <c r="D6" s="54">
        <f>SUMPRODUCT('Денежный поток'!E13:N13,'Денежный поток'!$E$6:$N$6)</f>
        <v>159370.16350108193</v>
      </c>
      <c r="E6" s="54">
        <f>SUMPRODUCT('Денежный поток'!E36:N36,'Денежный поток'!$E$6:$N$6)</f>
        <v>88402.7148999163</v>
      </c>
      <c r="F6" s="54">
        <f>SUMPRODUCT('Денежный поток'!E59:N59,'Денежный поток'!$E$6:$N$6)</f>
        <v>114443.82471539553</v>
      </c>
      <c r="G6" s="54">
        <f>SUMPRODUCT('Денежный поток'!E82:N82,'Денежный поток'!$E$6:$N$6)</f>
        <v>178607.618087172</v>
      </c>
      <c r="H6" s="54">
        <f>SUMPRODUCT('Денежный поток'!E105:N105,'Денежный поток'!$E$6:$N$6)</f>
        <v>213750.18132865583</v>
      </c>
    </row>
    <row r="7">
      <c r="B7" s="22" t="inlineStr">
        <is>
          <t>NPV ТОиР (по годам, вкл. капремонты)</t>
        </is>
      </c>
      <c r="C7" s="24" t="inlineStr">
        <is>
          <t>тыс.руб</t>
        </is>
      </c>
      <c r="D7" s="54">
        <f>SUMPRODUCT('Денежный поток'!E14:N14,'Денежный поток'!$E$6:$N$6)</f>
        <v>151247.72199645077</v>
      </c>
      <c r="E7" s="54">
        <f>SUMPRODUCT('Денежный поток'!E37:N37,'Денежный поток'!$E$6:$N$6)</f>
        <v>266726.5251759879</v>
      </c>
      <c r="F7" s="54">
        <f>SUMPRODUCT('Денежный поток'!E60:N60,'Денежный поток'!$E$6:$N$6)</f>
        <v>266726.5251759879</v>
      </c>
      <c r="G7" s="54">
        <f>SUMPRODUCT('Денежный поток'!E83:N83,'Денежный поток'!$E$6:$N$6)</f>
        <v>343290.82012316206</v>
      </c>
      <c r="H7" s="54">
        <f>SUMPRODUCT('Денежный поток'!E106:N106,'Денежный поток'!$E$6:$N$6)</f>
        <v>264813.22852123</v>
      </c>
    </row>
    <row r="8">
      <c r="B8" s="22" t="inlineStr">
        <is>
          <t>NPV долот</t>
        </is>
      </c>
      <c r="C8" s="24" t="inlineStr">
        <is>
          <t>тыс.руб</t>
        </is>
      </c>
      <c r="D8" s="54">
        <f>SUMPRODUCT('Денежный поток'!E15:N15,'Денежный поток'!$E$6:$N$6)</f>
        <v>91483.34544500786</v>
      </c>
      <c r="E8" s="54">
        <f>SUMPRODUCT('Денежный поток'!E38:N38,'Денежный поток'!$E$6:$N$6)</f>
        <v>0.0</v>
      </c>
      <c r="F8" s="54">
        <f>SUMPRODUCT('Денежный поток'!E61:N61,'Денежный поток'!$E$6:$N$6)</f>
        <v>0.0</v>
      </c>
      <c r="G8" s="54">
        <f>SUMPRODUCT('Денежный поток'!E84:N84,'Денежный поток'!$E$6:$N$6)</f>
        <v>0.0</v>
      </c>
      <c r="H8" s="54">
        <f>SUMPRODUCT('Денежный поток'!E107:N107,'Денежный поток'!$E$6:$N$6)</f>
        <v>0.0</v>
      </c>
    </row>
    <row r="9">
      <c r="B9" s="22" t="inlineStr">
        <is>
          <t>NPV штанг/адаптеров</t>
        </is>
      </c>
      <c r="C9" s="24" t="inlineStr">
        <is>
          <t>тыс.руб</t>
        </is>
      </c>
      <c r="D9" s="54">
        <f>SUMPRODUCT('Денежный поток'!E16:N16,'Денежный поток'!$E$6:$N$6)</f>
        <v>213746.13421730805</v>
      </c>
      <c r="E9" s="54">
        <f>SUMPRODUCT('Денежный поток'!E39:N39,'Денежный поток'!$E$6:$N$6)</f>
        <v>0.0</v>
      </c>
      <c r="F9" s="54">
        <f>SUMPRODUCT('Денежный поток'!E62:N62,'Денежный поток'!$E$6:$N$6)</f>
        <v>0.0</v>
      </c>
      <c r="G9" s="54">
        <f>SUMPRODUCT('Денежный поток'!E85:N85,'Денежный поток'!$E$6:$N$6)</f>
        <v>0.0</v>
      </c>
      <c r="H9" s="54">
        <f>SUMPRODUCT('Денежный поток'!E108:N108,'Денежный поток'!$E$6:$N$6)</f>
        <v>0.0</v>
      </c>
    </row>
    <row r="10">
      <c r="B10" s="22" t="inlineStr">
        <is>
          <t>NPV расходников</t>
        </is>
      </c>
      <c r="C10" s="24" t="inlineStr">
        <is>
          <t>тыс.руб</t>
        </is>
      </c>
      <c r="D10" s="54">
        <f>SUMPRODUCT('Денежный поток'!E17:N17,'Денежный поток'!$E$6:$N$6)</f>
        <v>0.0</v>
      </c>
      <c r="E10" s="54">
        <f>SUMPRODUCT('Денежный поток'!E40:N40,'Денежный поток'!$E$6:$N$6)</f>
        <v>0.0</v>
      </c>
      <c r="F10" s="54">
        <f>SUMPRODUCT('Денежный поток'!E63:N63,'Денежный поток'!$E$6:$N$6)</f>
        <v>0.0</v>
      </c>
      <c r="G10" s="54">
        <f>SUMPRODUCT('Денежный поток'!E86:N86,'Денежный поток'!$E$6:$N$6)</f>
        <v>0.0</v>
      </c>
      <c r="H10" s="54">
        <f>SUMPRODUCT('Денежный поток'!E109:N109,'Денежный поток'!$E$6:$N$6)</f>
        <v>0.0</v>
      </c>
    </row>
    <row r="11">
      <c r="B11" s="22" t="inlineStr">
        <is>
          <t>NPV персонала</t>
        </is>
      </c>
      <c r="C11" s="24" t="inlineStr">
        <is>
          <t>тыс.руб</t>
        </is>
      </c>
      <c r="D11" s="54">
        <f>SUMPRODUCT('Денежный поток'!E18:N18,'Денежный поток'!$E$6:$N$6)</f>
        <v>88765.00377633465</v>
      </c>
      <c r="E11" s="54">
        <f>SUMPRODUCT('Денежный поток'!E41:N41,'Денежный поток'!$E$6:$N$6)</f>
        <v>88765.00377633465</v>
      </c>
      <c r="F11" s="54">
        <f>SUMPRODUCT('Денежный поток'!E64:N64,'Денежный поток'!$E$6:$N$6)</f>
        <v>88765.00377633465</v>
      </c>
      <c r="G11" s="54">
        <f>SUMPRODUCT('Денежный поток'!E87:N87,'Денежный поток'!$E$6:$N$6)</f>
        <v>88765.00377633465</v>
      </c>
      <c r="H11" s="54">
        <f>SUMPRODUCT('Денежный поток'!E110:N110,'Денежный поток'!$E$6:$N$6)</f>
        <v>88765.00377633465</v>
      </c>
    </row>
    <row r="12">
      <c r="B12" s="22" t="inlineStr">
        <is>
          <t>NPV транспортного налога</t>
        </is>
      </c>
      <c r="C12" s="24" t="inlineStr">
        <is>
          <t>тыс.руб</t>
        </is>
      </c>
      <c r="D12" s="54">
        <f>SUMPRODUCT('Денежный поток'!E19:N19,'Денежный поток'!$E$6:$N$6)</f>
        <v>67.80267634093036</v>
      </c>
      <c r="E12" s="54">
        <f>SUMPRODUCT('Денежный поток'!E42:N42,'Денежный поток'!$E$6:$N$6)</f>
        <v>67.80267634093036</v>
      </c>
      <c r="F12" s="54">
        <f>SUMPRODUCT('Денежный поток'!E65:N65,'Денежный поток'!$E$6:$N$6)</f>
        <v>67.80267634093036</v>
      </c>
      <c r="G12" s="54">
        <f>SUMPRODUCT('Денежный поток'!E88:N88,'Денежный поток'!$E$6:$N$6)</f>
        <v>67.80267634093036</v>
      </c>
      <c r="H12" s="54">
        <f>SUMPRODUCT('Денежный поток'!E111:N111,'Денежный поток'!$E$6:$N$6)</f>
        <v>68.7934429489622</v>
      </c>
    </row>
    <row r="13">
      <c r="B13" s="22" t="inlineStr">
        <is>
          <t>NPV налога (щит)</t>
        </is>
      </c>
      <c r="C13" s="24" t="inlineStr">
        <is>
          <t>тыс.руб</t>
        </is>
      </c>
      <c r="D13" s="54">
        <f>SUMPRODUCT('Денежный поток'!E23:N23,'Денежный поток'!$E$6:$N$6)</f>
        <v>-203433.3539881799</v>
      </c>
      <c r="E13" s="54">
        <f>SUMPRODUCT('Денежный поток'!E46:N46,'Денежный поток'!$E$6:$N$6)</f>
        <v>-131079.26716849674</v>
      </c>
      <c r="F13" s="54">
        <f>SUMPRODUCT('Денежный поток'!E69:N69,'Денежный поток'!$E$6:$N$6)</f>
        <v>-141894.2779515848</v>
      </c>
      <c r="G13" s="54">
        <f>SUMPRODUCT('Денежный поток'!E92:N92,'Денежный поток'!$E$6:$N$6)</f>
        <v>-177076.30003132243</v>
      </c>
      <c r="H13" s="54">
        <f>SUMPRODUCT('Денежный поток'!E115:N115,'Денежный поток'!$E$6:$N$6)</f>
        <v>-165525.33507799273</v>
      </c>
    </row>
    <row r="14">
      <c r="B14" s="22" t="inlineStr">
        <is>
          <t>NPV инвестиций (за вычетом остат.)</t>
        </is>
      </c>
      <c r="C14" s="24" t="inlineStr">
        <is>
          <t>тыс.руб</t>
        </is>
      </c>
      <c r="D14" s="54">
        <f>'Производительность'!D5*(1-'Ввод данных'!D14*'Денежный поток'!$N$6)</f>
        <v>152000.0</v>
      </c>
      <c r="E14" s="54">
        <f>'Производительность'!E5*(1-'Ввод данных'!E14*'Денежный поток'!$N$6)</f>
        <v>112000.0</v>
      </c>
      <c r="F14" s="54">
        <f>'Производительность'!F5*(1-'Ввод данных'!F14*'Денежный поток'!$N$6)</f>
        <v>136000.0</v>
      </c>
      <c r="G14" s="54">
        <f>'Производительность'!G5*(1-'Ввод данных'!G14*'Денежный поток'!$N$6)</f>
        <v>136000.0</v>
      </c>
      <c r="H14" s="54">
        <f>'Производительность'!H5*(1-'Ввод данных'!H14*'Денежный поток'!$N$6)</f>
        <v>132000.0</v>
      </c>
    </row>
    <row r="15">
      <c r="B15" s="53" t="inlineStr">
        <is>
          <t>NPV операционных затрат</t>
        </is>
      </c>
      <c r="C15" s="24" t="inlineStr">
        <is>
          <t>тыс.руб</t>
        </is>
      </c>
      <c r="D15" s="65">
        <f>D6+D7+D8+D9+D10+D11+D12+D13</f>
        <v>501246.81762434426</v>
      </c>
      <c r="E15" s="65">
        <f>E6+E7+E8+E9+E10+E11+E12+E13</f>
        <v>312882.77936008305</v>
      </c>
      <c r="F15" s="65">
        <f>F6+F7+F8+F9+F10+F11+F12+F13</f>
        <v>328108.87839247414</v>
      </c>
      <c r="G15" s="65">
        <f>G6+G7+G8+G9+G10+G11+G12+G13</f>
        <v>433654.94463168725</v>
      </c>
      <c r="H15" s="65">
        <f>H6+H7+H8+H9+H10+H11+H12+H13</f>
        <v>401871.87199117674</v>
      </c>
    </row>
    <row r="16">
      <c r="B16" s="39" t="inlineStr">
        <is>
          <t>NPV полной стоимости владения</t>
        </is>
      </c>
      <c r="C16" s="24" t="inlineStr">
        <is>
          <t>тыс.руб</t>
        </is>
      </c>
      <c r="D16" s="67">
        <f>D14+D15</f>
        <v>653246.8176243443</v>
      </c>
      <c r="E16" s="67">
        <f>E14+E15</f>
        <v>424882.77936008305</v>
      </c>
      <c r="F16" s="67">
        <f>F14+F15</f>
        <v>464108.87839247414</v>
      </c>
      <c r="G16" s="67">
        <f>G14+G15</f>
        <v>569654.9446316872</v>
      </c>
      <c r="H16" s="67">
        <f>H14+H15</f>
        <v>533871.8719911767</v>
      </c>
    </row>
    <row r="17">
      <c r="B17" s="22" t="inlineStr">
        <is>
          <t>Средний годовой объём бурения</t>
        </is>
      </c>
      <c r="C17" s="24" t="inlineStr">
        <is>
          <t>тыс.пог.м/год</t>
        </is>
      </c>
      <c r="D17" s="54">
        <f>AVERAGE('Денежный поток'!E11:N11)</f>
        <v>104.53469508570285</v>
      </c>
      <c r="E17" s="54">
        <f>AVERAGE('Денежный поток'!E34:N34)</f>
        <v>107.37924057859365</v>
      </c>
      <c r="F17" s="54">
        <f>AVERAGE('Денежный поток'!E57:N57)</f>
        <v>122.3191617479938</v>
      </c>
      <c r="G17" s="54">
        <f>AVERAGE('Денежный поток'!E80:N80)</f>
        <v>127.2768578613443</v>
      </c>
      <c r="H17" s="54">
        <f>AVERAGE('Денежный поток'!E103:N103)</f>
        <v>99.64044159166623</v>
      </c>
    </row>
    <row r="18">
      <c r="B18" s="22" t="inlineStr">
        <is>
          <t>Средний годовой объём взрывания</t>
        </is>
      </c>
      <c r="C18" s="24" t="inlineStr">
        <is>
          <t>тыс.м³/год</t>
        </is>
      </c>
      <c r="D18" s="54">
        <f>D17*'Параметры'!C35</f>
        <v>5170.808692414292</v>
      </c>
      <c r="E18" s="54">
        <f>E17*'Параметры'!C35</f>
        <v>5311.514135220135</v>
      </c>
      <c r="F18" s="54">
        <f>F17*'Параметры'!C35</f>
        <v>6050.517335864514</v>
      </c>
      <c r="G18" s="54">
        <f>G17*'Параметры'!C35</f>
        <v>6295.749774111396</v>
      </c>
      <c r="H18" s="54">
        <f>H17*'Параметры'!C35</f>
        <v>4928.714443331771</v>
      </c>
    </row>
    <row r="19">
      <c r="B19" s="5" t="inlineStr">
        <is>
          <t>УДЕЛЬНЫЙ АННУИТЕТ (руб/пог.м) — ГЛАВНЫЙ КРИТЕРИЙ</t>
        </is>
      </c>
      <c r="C19" s="4" t="n"/>
      <c r="D19" s="4" t="n"/>
      <c r="E19" s="4" t="n"/>
      <c r="F19" s="4" t="n"/>
      <c r="G19" s="4" t="n"/>
      <c r="H19" s="4" t="n"/>
    </row>
    <row r="20">
      <c r="B20" s="22" t="inlineStr">
        <is>
          <t>Инвестиционный</t>
        </is>
      </c>
      <c r="C20" s="24" t="inlineStr">
        <is>
          <t>руб/пог.м</t>
        </is>
      </c>
      <c r="D20" s="56">
        <f>D14/'Параметры'!C39/D17</f>
        <v>257.3460699363116</v>
      </c>
      <c r="E20" s="56">
        <f>E14/'Параметры'!C39/E17</f>
        <v>184.60017298589602</v>
      </c>
      <c r="F20" s="56">
        <f>F14/'Параметры'!C39/F17</f>
        <v>196.77903266969997</v>
      </c>
      <c r="G20" s="56">
        <f>G14/'Параметры'!C39/G17</f>
        <v>189.11408350417116</v>
      </c>
      <c r="H20" s="56">
        <f>H14/'Параметры'!C39/H17</f>
        <v>234.4621249757023</v>
      </c>
    </row>
    <row r="21">
      <c r="B21" s="22" t="inlineStr">
        <is>
          <t>Топливо/энергия</t>
        </is>
      </c>
      <c r="C21" s="24" t="inlineStr">
        <is>
          <t>руб/пог.м</t>
        </is>
      </c>
      <c r="D21" s="56">
        <f>D6/'Параметры'!C39/D17</f>
        <v>269.82424501388715</v>
      </c>
      <c r="E21" s="56">
        <f>E6/'Параметры'!C39/E17</f>
        <v>145.7067541334589</v>
      </c>
      <c r="F21" s="56">
        <f>F6/'Параметры'!C39/F17</f>
        <v>165.58930237144293</v>
      </c>
      <c r="G21" s="56">
        <f>G6/'Параметры'!C39/G17</f>
        <v>248.36188236337176</v>
      </c>
      <c r="H21" s="56">
        <f>H6/'Параметры'!C39/H17</f>
        <v>379.66910400195707</v>
      </c>
    </row>
    <row r="22">
      <c r="B22" s="22" t="inlineStr">
        <is>
          <t>ТОиР + капремонты</t>
        </is>
      </c>
      <c r="C22" s="24" t="inlineStr">
        <is>
          <t>руб/пог.м</t>
        </is>
      </c>
      <c r="D22" s="56">
        <f>D7/'Параметры'!C39/D17</f>
        <v>256.0724134382002</v>
      </c>
      <c r="E22" s="56">
        <f>E7/'Параметры'!C39/E17</f>
        <v>439.6228811376278</v>
      </c>
      <c r="F22" s="56">
        <f>F7/'Параметры'!C39/F17</f>
        <v>385.92785008442115</v>
      </c>
      <c r="G22" s="56">
        <f>G7/'Параметры'!C39/G17</f>
        <v>477.3612413454932</v>
      </c>
      <c r="H22" s="56">
        <f>H7/'Параметры'!C39/H17</f>
        <v>470.3687293997261</v>
      </c>
    </row>
    <row r="23">
      <c r="B23" s="22" t="inlineStr">
        <is>
          <t>Долота</t>
        </is>
      </c>
      <c r="C23" s="24" t="inlineStr">
        <is>
          <t>руб/пог.м</t>
        </is>
      </c>
      <c r="D23" s="56">
        <f>D8/'Параметры'!C39/D17</f>
        <v>154.88736457170228</v>
      </c>
      <c r="E23" s="56">
        <f>E8/'Параметры'!C39/E17</f>
        <v>0.0</v>
      </c>
      <c r="F23" s="56">
        <f>F8/'Параметры'!C39/F17</f>
        <v>0.0</v>
      </c>
      <c r="G23" s="56">
        <f>G8/'Параметры'!C39/G17</f>
        <v>0.0</v>
      </c>
      <c r="H23" s="56">
        <f>H8/'Параметры'!C39/H17</f>
        <v>0.0</v>
      </c>
    </row>
    <row r="24">
      <c r="B24" s="22" t="inlineStr">
        <is>
          <t>Штанги/адаптеры</t>
        </is>
      </c>
      <c r="C24" s="24" t="inlineStr">
        <is>
          <t>руб/пог.м</t>
        </is>
      </c>
      <c r="D24" s="56">
        <f>D9/'Параметры'!C39/D17</f>
        <v>361.8863658217342</v>
      </c>
      <c r="E24" s="56">
        <f>E9/'Параметры'!C39/E17</f>
        <v>0.0</v>
      </c>
      <c r="F24" s="56">
        <f>F9/'Параметры'!C39/F17</f>
        <v>0.0</v>
      </c>
      <c r="G24" s="56">
        <f>G9/'Параметры'!C39/G17</f>
        <v>0.0</v>
      </c>
      <c r="H24" s="56">
        <f>H9/'Параметры'!C39/H17</f>
        <v>0.0</v>
      </c>
    </row>
    <row r="25">
      <c r="B25" s="22" t="inlineStr">
        <is>
          <t>Расходники</t>
        </is>
      </c>
      <c r="C25" s="24" t="inlineStr">
        <is>
          <t>руб/пог.м</t>
        </is>
      </c>
      <c r="D25" s="56">
        <f>D10/'Параметры'!C39/D17</f>
        <v>0.0</v>
      </c>
      <c r="E25" s="56">
        <f>E10/'Параметры'!C39/E17</f>
        <v>0.0</v>
      </c>
      <c r="F25" s="56">
        <f>F10/'Параметры'!C39/F17</f>
        <v>0.0</v>
      </c>
      <c r="G25" s="56">
        <f>G10/'Параметры'!C39/G17</f>
        <v>0.0</v>
      </c>
      <c r="H25" s="56">
        <f>H10/'Параметры'!C39/H17</f>
        <v>0.0</v>
      </c>
    </row>
    <row r="26">
      <c r="B26" s="22" t="inlineStr">
        <is>
          <t>Персонал</t>
        </is>
      </c>
      <c r="C26" s="24" t="inlineStr">
        <is>
          <t>руб/пог.м</t>
        </is>
      </c>
      <c r="D26" s="56">
        <f>D11/'Параметры'!C39/D17</f>
        <v>150.28503203764197</v>
      </c>
      <c r="E26" s="56">
        <f>E11/'Параметры'!C39/E17</f>
        <v>146.30388439468828</v>
      </c>
      <c r="F26" s="56">
        <f>F11/'Параметры'!C39/F17</f>
        <v>128.43449689727498</v>
      </c>
      <c r="G26" s="56">
        <f>G11/'Параметры'!C39/G17</f>
        <v>123.43170835592514</v>
      </c>
      <c r="H26" s="56">
        <f>H11/'Параметры'!C39/H17</f>
        <v>157.6669046126944</v>
      </c>
    </row>
    <row r="27">
      <c r="B27" s="22" t="inlineStr">
        <is>
          <t>Транспортный налог</t>
        </is>
      </c>
      <c r="C27" s="24" t="inlineStr">
        <is>
          <t>руб/пог.м</t>
        </is>
      </c>
      <c r="D27" s="56">
        <f>D12/'Параметры'!C39/D17</f>
        <v>0.11479442294409319</v>
      </c>
      <c r="E27" s="56">
        <f>E12/'Параметры'!C39/E17</f>
        <v>0.11175344447716486</v>
      </c>
      <c r="F27" s="56">
        <f>F12/'Параметры'!C39/F17</f>
        <v>0.09810400781459581</v>
      </c>
      <c r="G27" s="56">
        <f>G12/'Параметры'!C39/G17</f>
        <v>0.09428265437753673</v>
      </c>
      <c r="H27" s="56">
        <f>H12/'Параметры'!C39/H17</f>
        <v>0.12219285468339713</v>
      </c>
    </row>
    <row r="28">
      <c r="B28" s="22" t="inlineStr">
        <is>
          <t>Налог на прибыль (щит)</t>
        </is>
      </c>
      <c r="C28" s="24" t="inlineStr">
        <is>
          <t>руб/пог.м</t>
        </is>
      </c>
      <c r="D28" s="56">
        <f>D13/'Параметры'!C39/D17</f>
        <v>-344.42614567645114</v>
      </c>
      <c r="E28" s="56">
        <f>E13/'Параметры'!C39/E17</f>
        <v>-216.046923162223</v>
      </c>
      <c r="F28" s="56">
        <f>F13/'Параметры'!C39/F17</f>
        <v>-205.3074908579294</v>
      </c>
      <c r="G28" s="56">
        <f>G13/'Параметры'!C39/G17</f>
        <v>-246.2325161083322</v>
      </c>
      <c r="H28" s="56">
        <f>H13/'Параметры'!C39/H17</f>
        <v>-294.01077120985855</v>
      </c>
    </row>
    <row r="29">
      <c r="B29" s="53" t="inlineStr">
        <is>
          <t>Операционный аннуитет</t>
        </is>
      </c>
      <c r="C29" s="24" t="inlineStr">
        <is>
          <t>руб/пог.м</t>
        </is>
      </c>
      <c r="D29" s="68">
        <f>D15/'Параметры'!C39/D17</f>
        <v>848.6440696296587</v>
      </c>
      <c r="E29" s="68">
        <f>E15/'Параметры'!C39/E17</f>
        <v>515.6983499480291</v>
      </c>
      <c r="F29" s="68">
        <f>F15/'Параметры'!C39/F17</f>
        <v>474.74226250302416</v>
      </c>
      <c r="G29" s="68">
        <f>G15/'Параметры'!C39/G17</f>
        <v>603.0165986108354</v>
      </c>
      <c r="H29" s="68">
        <f>H15/'Параметры'!C39/H17</f>
        <v>713.8161596592024</v>
      </c>
    </row>
    <row r="30">
      <c r="B30" s="39" t="inlineStr">
        <is>
          <t>ОБЩИЙ АННУИТЕТ</t>
        </is>
      </c>
      <c r="C30" s="24" t="inlineStr">
        <is>
          <t>руб/пог.м</t>
        </is>
      </c>
      <c r="D30" s="57">
        <f>D16/'Параметры'!C39/D17</f>
        <v>1105.9901395659704</v>
      </c>
      <c r="E30" s="57">
        <f>E16/'Параметры'!C39/E17</f>
        <v>700.2985229339251</v>
      </c>
      <c r="F30" s="57">
        <f>F16/'Параметры'!C39/F17</f>
        <v>671.5212951727241</v>
      </c>
      <c r="G30" s="57">
        <f>G16/'Параметры'!C39/G17</f>
        <v>792.1306821150066</v>
      </c>
      <c r="H30" s="57">
        <f>H16/'Параметры'!C39/H17</f>
        <v>948.2782846349047</v>
      </c>
    </row>
    <row r="31">
      <c r="B31" s="5" t="inlineStr">
        <is>
          <t>ДОПОЛНИТЕЛЬНЫЕ ПОКАЗАТЕЛИ</t>
        </is>
      </c>
      <c r="C31" s="4" t="n"/>
      <c r="D31" s="4" t="n"/>
      <c r="E31" s="4" t="n"/>
      <c r="F31" s="4" t="n"/>
      <c r="G31" s="4" t="n"/>
      <c r="H31" s="4" t="n"/>
    </row>
    <row r="32">
      <c r="B32" s="53" t="inlineStr">
        <is>
          <t>Удельный аннуитет на м³ (взрывание)</t>
        </is>
      </c>
      <c r="C32" s="24" t="inlineStr">
        <is>
          <t>руб/м³</t>
        </is>
      </c>
      <c r="D32" s="68">
        <f>D30/'Параметры'!C35</f>
        <v>22.35904456819914</v>
      </c>
      <c r="E32" s="68">
        <f>E30/'Параметры'!C35</f>
        <v>14.157455229635604</v>
      </c>
      <c r="F32" s="68">
        <f>F30/'Параметры'!C35</f>
        <v>13.575685740881918</v>
      </c>
      <c r="G32" s="68">
        <f>G30/'Параметры'!C35</f>
        <v>16.01396304690198</v>
      </c>
      <c r="H32" s="68">
        <f>H30/'Параметры'!C35</f>
        <v>19.17069209814828</v>
      </c>
    </row>
    <row r="33">
      <c r="B33" s="22" t="inlineStr">
        <is>
          <t>Себестоимость (без дисконта)</t>
        </is>
      </c>
      <c r="C33" s="24" t="inlineStr">
        <is>
          <t>руб/пог.м</t>
        </is>
      </c>
      <c r="D33" s="56">
        <f>AVERAGE('Денежный поток'!E20:N20)/D17</f>
        <v>1206.8537949214942</v>
      </c>
      <c r="E33" s="56">
        <f>AVERAGE('Денежный поток'!E43:N43)/E17</f>
        <v>762.003038899018</v>
      </c>
      <c r="F33" s="56">
        <f>AVERAGE('Денежный поток'!E66:N66)/F17</f>
        <v>706.4968024408774</v>
      </c>
      <c r="G33" s="56">
        <f>AVERAGE('Денежный поток'!E89:N89)/G17</f>
        <v>880.6977087915626</v>
      </c>
      <c r="H33" s="56">
        <f>AVERAGE('Денежный поток'!E112:N112)/H17</f>
        <v>1039.545689645382</v>
      </c>
    </row>
    <row r="34">
      <c r="B34" s="22" t="inlineStr">
        <is>
          <t>Доля инвестиций в аннуитете</t>
        </is>
      </c>
      <c r="C34" s="24" t="inlineStr">
        <is>
          <t>%</t>
        </is>
      </c>
      <c r="D34" s="58">
        <f>D20/D30</f>
        <v>0.2326838736892386</v>
      </c>
      <c r="E34" s="58">
        <f>E20/E30</f>
        <v>0.2636021167266027</v>
      </c>
      <c r="F34" s="58">
        <f>F20/F30</f>
        <v>0.29303468718603454</v>
      </c>
      <c r="G34" s="58">
        <f>G20/G30</f>
        <v>0.2387410155597462</v>
      </c>
      <c r="H34" s="58">
        <f>H20/H30</f>
        <v>0.24725033650430184</v>
      </c>
    </row>
  </sheetData>
  <mergeCells count="5">
    <mergeCell ref="B1:K1"/>
    <mergeCell ref="B19:H19"/>
    <mergeCell ref="B2:K2"/>
    <mergeCell ref="B5:H5"/>
    <mergeCell ref="B31:H3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СРАВНИТЕЛЬНЫЙ АНАЛИЗ БУРОВЫХ СТАНКОВ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Ранжирование по удельному аннуитету (руб/пог.м). Зелёным — лучший вариант.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YANGZI DR75
(аналог Epiroc DM75)</v>
      </c>
      <c r="E4" s="15" t="str">
        <f>'Ввод данных'!E7</f>
        <v>Sunward
SWDRT250SM</v>
      </c>
      <c r="F4" s="15" t="str">
        <f>'Ввод данных'!F7</f>
        <v>Sunward
SWDRT270SM</v>
      </c>
      <c r="G4" s="15" t="str">
        <f>'Ввод данных'!G7</f>
        <v>Sunward
SWDRT270B</v>
      </c>
      <c r="H4" s="15" t="str">
        <f>'Ввод данных'!H7</f>
        <v>HIFO 75D
(аналог DM75)</v>
      </c>
    </row>
    <row r="5">
      <c r="B5" s="22" t="inlineStr">
        <is>
          <t>Стоимость (в рублях)</t>
        </is>
      </c>
      <c r="C5" s="24" t="inlineStr">
        <is>
          <t>тыс.руб</t>
        </is>
      </c>
      <c r="D5" s="54">
        <f>'Производительность'!D5</f>
        <v>152000.0</v>
      </c>
      <c r="E5" s="54">
        <f>'Производительность'!E5</f>
        <v>112000.0</v>
      </c>
      <c r="F5" s="54">
        <f>'Производительность'!F5</f>
        <v>136000.0</v>
      </c>
      <c r="G5" s="54">
        <f>'Производительность'!G5</f>
        <v>136000.0</v>
      </c>
      <c r="H5" s="54">
        <f>'Производительность'!H5</f>
        <v>132000.0</v>
      </c>
    </row>
    <row r="6">
      <c r="B6" s="22" t="inlineStr">
        <is>
          <t>Часовая производительность</t>
        </is>
      </c>
      <c r="C6" s="24" t="inlineStr">
        <is>
          <t>п.м/час</t>
        </is>
      </c>
      <c r="D6" s="56">
        <f>'Производительность'!D12</f>
        <v>16.306892944498475</v>
      </c>
      <c r="E6" s="56">
        <f>'Производительность'!E12</f>
        <v>17.588489626403494</v>
      </c>
      <c r="F6" s="56">
        <f>'Производительность'!F12</f>
        <v>20.03561671625241</v>
      </c>
      <c r="G6" s="56">
        <f>'Производительность'!G12</f>
        <v>20.03561671625241</v>
      </c>
      <c r="H6" s="56">
        <f>'Производительность'!H12</f>
        <v>16.306892944498475</v>
      </c>
    </row>
    <row r="7">
      <c r="B7" s="22" t="inlineStr">
        <is>
          <t>Средний годовой объём бурения</t>
        </is>
      </c>
      <c r="C7" s="24" t="inlineStr">
        <is>
          <t>тыс.пог.м</t>
        </is>
      </c>
      <c r="D7" s="54">
        <f>'Расчёт аннуитета'!D17</f>
        <v>104.53469508570285</v>
      </c>
      <c r="E7" s="54">
        <f>'Расчёт аннуитета'!E17</f>
        <v>107.37924057859365</v>
      </c>
      <c r="F7" s="54">
        <f>'Расчёт аннуитета'!F17</f>
        <v>122.3191617479938</v>
      </c>
      <c r="G7" s="54">
        <f>'Расчёт аннуитета'!G17</f>
        <v>127.2768578613443</v>
      </c>
      <c r="H7" s="54">
        <f>'Расчёт аннуитета'!H17</f>
        <v>99.64044159166623</v>
      </c>
    </row>
    <row r="8">
      <c r="B8" s="22" t="inlineStr">
        <is>
          <t>NPV стоимости владения</t>
        </is>
      </c>
      <c r="C8" s="24" t="inlineStr">
        <is>
          <t>тыс.руб</t>
        </is>
      </c>
      <c r="D8" s="54">
        <f>'Расчёт аннуитета'!D16</f>
        <v>653246.8176243443</v>
      </c>
      <c r="E8" s="54">
        <f>'Расчёт аннуитета'!E16</f>
        <v>424882.77936008305</v>
      </c>
      <c r="F8" s="54">
        <f>'Расчёт аннуитета'!F16</f>
        <v>464108.87839247414</v>
      </c>
      <c r="G8" s="54">
        <f>'Расчёт аннуитета'!G16</f>
        <v>569654.9446316872</v>
      </c>
      <c r="H8" s="54">
        <f>'Расчёт аннуитета'!H16</f>
        <v>533871.8719911767</v>
      </c>
    </row>
    <row r="9">
      <c r="B9" s="22" t="inlineStr">
        <is>
          <t>Себестоимость (без дисконта)</t>
        </is>
      </c>
      <c r="C9" s="24" t="inlineStr">
        <is>
          <t>руб/пог.м</t>
        </is>
      </c>
      <c r="D9" s="56">
        <f>'Расчёт аннуитета'!D33</f>
        <v>1206.8537949214942</v>
      </c>
      <c r="E9" s="56">
        <f>'Расчёт аннуитета'!E33</f>
        <v>762.003038899018</v>
      </c>
      <c r="F9" s="56">
        <f>'Расчёт аннуитета'!F33</f>
        <v>706.4968024408774</v>
      </c>
      <c r="G9" s="56">
        <f>'Расчёт аннуитета'!G33</f>
        <v>880.6977087915626</v>
      </c>
      <c r="H9" s="56">
        <f>'Расчёт аннуитета'!H33</f>
        <v>1039.545689645382</v>
      </c>
    </row>
    <row r="10">
      <c r="B10" s="22" t="inlineStr">
        <is>
          <t>Инвестиционный аннуитет</t>
        </is>
      </c>
      <c r="C10" s="24" t="inlineStr">
        <is>
          <t>руб/пог.м</t>
        </is>
      </c>
      <c r="D10" s="56">
        <f>'Расчёт аннуитета'!D20</f>
        <v>257.3460699363116</v>
      </c>
      <c r="E10" s="56">
        <f>'Расчёт аннуитета'!E20</f>
        <v>184.60017298589602</v>
      </c>
      <c r="F10" s="56">
        <f>'Расчёт аннуитета'!F20</f>
        <v>196.77903266969997</v>
      </c>
      <c r="G10" s="56">
        <f>'Расчёт аннуитета'!G20</f>
        <v>189.11408350417116</v>
      </c>
      <c r="H10" s="56">
        <f>'Расчёт аннуитета'!H20</f>
        <v>234.4621249757023</v>
      </c>
    </row>
    <row r="11">
      <c r="B11" s="22" t="inlineStr">
        <is>
          <t>Операционный аннуитет</t>
        </is>
      </c>
      <c r="C11" s="24" t="inlineStr">
        <is>
          <t>руб/пог.м</t>
        </is>
      </c>
      <c r="D11" s="56">
        <f>'Расчёт аннуитета'!D29</f>
        <v>848.6440696296587</v>
      </c>
      <c r="E11" s="56">
        <f>'Расчёт аннуитета'!E29</f>
        <v>515.6983499480291</v>
      </c>
      <c r="F11" s="56">
        <f>'Расчёт аннуитета'!F29</f>
        <v>474.74226250302416</v>
      </c>
      <c r="G11" s="56">
        <f>'Расчёт аннуитета'!G29</f>
        <v>603.0165986108354</v>
      </c>
      <c r="H11" s="56">
        <f>'Расчёт аннуитета'!H29</f>
        <v>713.8161596592024</v>
      </c>
    </row>
    <row r="12">
      <c r="B12" s="53" t="inlineStr">
        <is>
          <t>ОБЩИЙ АННУИТЕТ</t>
        </is>
      </c>
      <c r="C12" s="24" t="inlineStr">
        <is>
          <t>руб/пог.м</t>
        </is>
      </c>
      <c r="D12" s="69">
        <f>'Расчёт аннуитета'!D30</f>
        <v>1105.9901395659704</v>
      </c>
      <c r="E12" s="69">
        <f>'Расчёт аннуитета'!E30</f>
        <v>700.2985229339251</v>
      </c>
      <c r="F12" s="69">
        <f>'Расчёт аннуитета'!F30</f>
        <v>671.5212951727241</v>
      </c>
      <c r="G12" s="69">
        <f>'Расчёт аннуитета'!G30</f>
        <v>792.1306821150066</v>
      </c>
      <c r="H12" s="69">
        <f>'Расчёт аннуитета'!H30</f>
        <v>948.2782846349047</v>
      </c>
    </row>
    <row r="13">
      <c r="B13" s="22" t="inlineStr">
        <is>
          <t>Аннуитет на м³ (взрывание)</t>
        </is>
      </c>
      <c r="C13" s="24" t="inlineStr">
        <is>
          <t>руб/м³</t>
        </is>
      </c>
      <c r="D13" s="56">
        <f>'Расчёт аннуитета'!D32</f>
        <v>22.35904456819914</v>
      </c>
      <c r="E13" s="56">
        <f>'Расчёт аннуитета'!E32</f>
        <v>14.157455229635604</v>
      </c>
      <c r="F13" s="56">
        <f>'Расчёт аннуитета'!F32</f>
        <v>13.575685740881918</v>
      </c>
      <c r="G13" s="56">
        <f>'Расчёт аннуитета'!G32</f>
        <v>16.01396304690198</v>
      </c>
      <c r="H13" s="56">
        <f>'Расчёт аннуитета'!H32</f>
        <v>19.17069209814828</v>
      </c>
    </row>
    <row r="14">
      <c r="B14" s="5" t="inlineStr">
        <is>
          <t>РАНЖИРОВАНИЕ (критерий: минимум аннуитета руб/пог.м)</t>
        </is>
      </c>
      <c r="C14" s="4" t="n"/>
      <c r="D14" s="4" t="n"/>
      <c r="E14" s="4" t="n"/>
      <c r="F14" s="4" t="n"/>
      <c r="G14" s="4" t="n"/>
      <c r="H14" s="4" t="n"/>
    </row>
    <row r="15">
      <c r="B15" s="70" t="inlineStr">
        <is>
          <t>Место в рейтинге</t>
        </is>
      </c>
      <c r="D15" s="18">
        <f>RANK(D12,D12:H12,1)</f>
        <v>5.0</v>
      </c>
      <c r="E15" s="18">
        <f>RANK(E12,D12:H12,1)</f>
        <v>2.0</v>
      </c>
      <c r="F15" s="18">
        <f>RANK(F12,D12:H12,1)</f>
        <v>1.0</v>
      </c>
      <c r="G15" s="18">
        <f>RANK(G12,D12:H12,1)</f>
        <v>3.0</v>
      </c>
      <c r="H15" s="18">
        <f>RANK(H12,D12:H12,1)</f>
        <v>4.0</v>
      </c>
    </row>
    <row r="16">
      <c r="B16" s="71" t="inlineStr">
        <is>
          <t>Отклонение от лучшего</t>
        </is>
      </c>
      <c r="D16" s="72">
        <f>D12/MIN(D12:H12)-1</f>
        <v>0.6469919085462439</v>
      </c>
      <c r="E16" s="72">
        <f>E12/MIN(D12:H12)-1</f>
        <v>0.04285378284809149</v>
      </c>
      <c r="F16" s="72">
        <f>F12/MIN(D12:H12)-1</f>
        <v>0.0</v>
      </c>
      <c r="G16" s="72">
        <f>G12/MIN(D12:H12)-1</f>
        <v>0.17960619835780522</v>
      </c>
      <c r="H16" s="72">
        <f>H12/MIN(D12:H12)-1</f>
        <v>0.41213434548042893</v>
      </c>
    </row>
    <row r="18">
      <c r="B18" s="73" t="inlineStr">
        <is>
          <t>РЕКОМЕНДУЕМЫЙ ВАРИАНТ:</t>
        </is>
      </c>
      <c r="C18" s="74" t="str">
        <f>INDEX(D4:H4,MATCH(MIN(D12:H12),D12:H12,0))&amp;"  ("&amp;TEXT(MIN(D12:H12),"0.00")&amp;" руб/пог.м)"</f>
        <v>Sunward
SWDRT270SM  (671.52 руб/пог.м)</v>
      </c>
      <c r="D18" s="75" t="n"/>
      <c r="E18" s="75" t="n"/>
      <c r="F18" s="75" t="n"/>
      <c r="G18" s="75" t="n"/>
      <c r="H18" s="75" t="n"/>
    </row>
    <row r="20">
      <c r="B20" s="5" t="inlineStr">
        <is>
          <t>СТРУКТУРА УДЕЛЬНОГО АННУИТЕТА (руб/пог.м)</t>
        </is>
      </c>
      <c r="C20" s="4" t="n"/>
      <c r="D20" s="4" t="n"/>
      <c r="E20" s="4" t="n"/>
      <c r="F20" s="4" t="n"/>
      <c r="G20" s="4" t="n"/>
      <c r="H20" s="4" t="n"/>
    </row>
    <row r="21">
      <c r="B21" s="76" t="inlineStr">
        <is>
          <t>Статья</t>
        </is>
      </c>
      <c r="D21" s="15" t="str">
        <f>'Ввод данных'!D7</f>
        <v>YANGZI DR75
(аналог Epiroc DM75)</v>
      </c>
      <c r="E21" s="15" t="str">
        <f>'Ввод данных'!E7</f>
        <v>Sunward
SWDRT250SM</v>
      </c>
      <c r="F21" s="15" t="str">
        <f>'Ввод данных'!F7</f>
        <v>Sunward
SWDRT270SM</v>
      </c>
      <c r="G21" s="15" t="str">
        <f>'Ввод данных'!G7</f>
        <v>Sunward
SWDRT270B</v>
      </c>
      <c r="H21" s="15" t="str">
        <f>'Ввод данных'!H7</f>
        <v>HIFO 75D
(аналог DM75)</v>
      </c>
    </row>
    <row r="22">
      <c r="B22" s="22" t="inlineStr">
        <is>
          <t>Инвестиционный</t>
        </is>
      </c>
      <c r="D22" s="56">
        <f>'Расчёт аннуитета'!D20</f>
        <v>257.3460699363116</v>
      </c>
      <c r="E22" s="56">
        <f>'Расчёт аннуитета'!E20</f>
        <v>184.60017298589602</v>
      </c>
      <c r="F22" s="56">
        <f>'Расчёт аннуитета'!F20</f>
        <v>196.77903266969997</v>
      </c>
      <c r="G22" s="56">
        <f>'Расчёт аннуитета'!G20</f>
        <v>189.11408350417116</v>
      </c>
      <c r="H22" s="56">
        <f>'Расчёт аннуитета'!H20</f>
        <v>234.4621249757023</v>
      </c>
    </row>
    <row r="23">
      <c r="B23" s="22" t="inlineStr">
        <is>
          <t>Топливо/энергия</t>
        </is>
      </c>
      <c r="D23" s="56">
        <f>'Расчёт аннуитета'!D21</f>
        <v>269.82424501388715</v>
      </c>
      <c r="E23" s="56">
        <f>'Расчёт аннуитета'!E21</f>
        <v>145.7067541334589</v>
      </c>
      <c r="F23" s="56">
        <f>'Расчёт аннуитета'!F21</f>
        <v>165.58930237144293</v>
      </c>
      <c r="G23" s="56">
        <f>'Расчёт аннуитета'!G21</f>
        <v>248.36188236337176</v>
      </c>
      <c r="H23" s="56">
        <f>'Расчёт аннуитета'!H21</f>
        <v>379.66910400195707</v>
      </c>
    </row>
    <row r="24">
      <c r="B24" s="22" t="inlineStr">
        <is>
          <t>ТОиР + капремонты</t>
        </is>
      </c>
      <c r="D24" s="56">
        <f>'Расчёт аннуитета'!D22</f>
        <v>256.0724134382002</v>
      </c>
      <c r="E24" s="56">
        <f>'Расчёт аннуитета'!E22</f>
        <v>439.6228811376278</v>
      </c>
      <c r="F24" s="56">
        <f>'Расчёт аннуитета'!F22</f>
        <v>385.92785008442115</v>
      </c>
      <c r="G24" s="56">
        <f>'Расчёт аннуитета'!G22</f>
        <v>477.3612413454932</v>
      </c>
      <c r="H24" s="56">
        <f>'Расчёт аннуитета'!H22</f>
        <v>470.3687293997261</v>
      </c>
    </row>
    <row r="25">
      <c r="B25" s="22" t="inlineStr">
        <is>
          <t>Долота</t>
        </is>
      </c>
      <c r="D25" s="56">
        <f>'Расчёт аннуитета'!D23</f>
        <v>154.88736457170228</v>
      </c>
      <c r="E25" s="56">
        <f>'Расчёт аннуитета'!E23</f>
        <v>0.0</v>
      </c>
      <c r="F25" s="56">
        <f>'Расчёт аннуитета'!F23</f>
        <v>0.0</v>
      </c>
      <c r="G25" s="56">
        <f>'Расчёт аннуитета'!G23</f>
        <v>0.0</v>
      </c>
      <c r="H25" s="56">
        <f>'Расчёт аннуитета'!H23</f>
        <v>0.0</v>
      </c>
    </row>
    <row r="26">
      <c r="B26" s="22" t="inlineStr">
        <is>
          <t>Штанги/адаптеры</t>
        </is>
      </c>
      <c r="D26" s="56">
        <f>'Расчёт аннуитета'!D24</f>
        <v>361.8863658217342</v>
      </c>
      <c r="E26" s="56">
        <f>'Расчёт аннуитета'!E24</f>
        <v>0.0</v>
      </c>
      <c r="F26" s="56">
        <f>'Расчёт аннуитета'!F24</f>
        <v>0.0</v>
      </c>
      <c r="G26" s="56">
        <f>'Расчёт аннуитета'!G24</f>
        <v>0.0</v>
      </c>
      <c r="H26" s="56">
        <f>'Расчёт аннуитета'!H24</f>
        <v>0.0</v>
      </c>
    </row>
    <row r="27">
      <c r="B27" s="22" t="inlineStr">
        <is>
          <t>Расходники</t>
        </is>
      </c>
      <c r="D27" s="56">
        <f>'Расчёт аннуитета'!D25</f>
        <v>0.0</v>
      </c>
      <c r="E27" s="56">
        <f>'Расчёт аннуитета'!E25</f>
        <v>0.0</v>
      </c>
      <c r="F27" s="56">
        <f>'Расчёт аннуитета'!F25</f>
        <v>0.0</v>
      </c>
      <c r="G27" s="56">
        <f>'Расчёт аннуитета'!G25</f>
        <v>0.0</v>
      </c>
      <c r="H27" s="56">
        <f>'Расчёт аннуитета'!H25</f>
        <v>0.0</v>
      </c>
    </row>
    <row r="28">
      <c r="B28" s="22" t="inlineStr">
        <is>
          <t>Персонал</t>
        </is>
      </c>
      <c r="D28" s="56">
        <f>'Расчёт аннуитета'!D26</f>
        <v>150.28503203764197</v>
      </c>
      <c r="E28" s="56">
        <f>'Расчёт аннуитета'!E26</f>
        <v>146.30388439468828</v>
      </c>
      <c r="F28" s="56">
        <f>'Расчёт аннуитета'!F26</f>
        <v>128.43449689727498</v>
      </c>
      <c r="G28" s="56">
        <f>'Расчёт аннуитета'!G26</f>
        <v>123.43170835592514</v>
      </c>
      <c r="H28" s="56">
        <f>'Расчёт аннуитета'!H26</f>
        <v>157.6669046126944</v>
      </c>
    </row>
    <row r="29">
      <c r="B29" s="22" t="inlineStr">
        <is>
          <t>Транспортный налог</t>
        </is>
      </c>
      <c r="D29" s="56">
        <f>'Расчёт аннуитета'!D27</f>
        <v>0.11479442294409319</v>
      </c>
      <c r="E29" s="56">
        <f>'Расчёт аннуитета'!E27</f>
        <v>0.11175344447716486</v>
      </c>
      <c r="F29" s="56">
        <f>'Расчёт аннуитета'!F27</f>
        <v>0.09810400781459581</v>
      </c>
      <c r="G29" s="56">
        <f>'Расчёт аннуитета'!G27</f>
        <v>0.09428265437753673</v>
      </c>
      <c r="H29" s="56">
        <f>'Расчёт аннуитета'!H27</f>
        <v>0.12219285468339713</v>
      </c>
    </row>
    <row r="30">
      <c r="B30" s="22" t="inlineStr">
        <is>
          <t>Налог (щит)</t>
        </is>
      </c>
      <c r="D30" s="56">
        <f>'Расчёт аннуитета'!D28</f>
        <v>-344.42614567645114</v>
      </c>
      <c r="E30" s="56">
        <f>'Расчёт аннуитета'!E28</f>
        <v>-216.046923162223</v>
      </c>
      <c r="F30" s="56">
        <f>'Расчёт аннуитета'!F28</f>
        <v>-205.3074908579294</v>
      </c>
      <c r="G30" s="56">
        <f>'Расчёт аннуитета'!G28</f>
        <v>-246.2325161083322</v>
      </c>
      <c r="H30" s="56">
        <f>'Расчёт аннуитета'!H28</f>
        <v>-294.01077120985855</v>
      </c>
    </row>
  </sheetData>
  <mergeCells count="5">
    <mergeCell ref="B14:H14"/>
    <mergeCell ref="B1:K1"/>
    <mergeCell ref="C18:H18"/>
    <mergeCell ref="B2:K2"/>
    <mergeCell ref="B20:H20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РАСШИРЕННАЯ АНАЛИТИКА РЕЗУЛЬТАТОВ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Многокритериальная оценка, разложение затрат, диапазон риска, эффективность.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YANGZI DR75
(аналог Epiroc DM75)</v>
      </c>
      <c r="E4" s="15" t="str">
        <f>'Ввод данных'!E7</f>
        <v>Sunward
SWDRT250SM</v>
      </c>
      <c r="F4" s="15" t="str">
        <f>'Ввод данных'!F7</f>
        <v>Sunward
SWDRT270SM</v>
      </c>
      <c r="G4" s="15" t="str">
        <f>'Ввод данных'!G7</f>
        <v>Sunward
SWDRT270B</v>
      </c>
      <c r="H4" s="15" t="str">
        <f>'Ввод данных'!H7</f>
        <v>HIFO 75D
(аналог DM75)</v>
      </c>
    </row>
    <row r="5">
      <c r="B5" s="5" t="inlineStr">
        <is>
          <t>МНОГОКРИТЕРИАЛЬНАЯ ОЦЕНКА (levelized cost + драйверы)</t>
        </is>
      </c>
      <c r="C5" s="4" t="n"/>
      <c r="D5" s="4" t="n"/>
      <c r="E5" s="4" t="n"/>
      <c r="F5" s="4" t="n"/>
      <c r="G5" s="4" t="n"/>
      <c r="H5" s="4" t="n"/>
    </row>
    <row r="6">
      <c r="B6" s="22" t="inlineStr">
        <is>
          <t>Цена (CAPEX)</t>
        </is>
      </c>
      <c r="C6" s="24" t="inlineStr">
        <is>
          <t>тыс.руб</t>
        </is>
      </c>
      <c r="D6" s="54">
        <f>'Производительность'!D5</f>
        <v>152000.0</v>
      </c>
      <c r="E6" s="54">
        <f>'Производительность'!E5</f>
        <v>112000.0</v>
      </c>
      <c r="F6" s="54">
        <f>'Производительность'!F5</f>
        <v>136000.0</v>
      </c>
      <c r="G6" s="54">
        <f>'Производительность'!G5</f>
        <v>136000.0</v>
      </c>
      <c r="H6" s="54">
        <f>'Производительность'!H5</f>
        <v>132000.0</v>
      </c>
    </row>
    <row r="7">
      <c r="B7" s="22" t="inlineStr">
        <is>
          <t>Средний годовой объём бурения</t>
        </is>
      </c>
      <c r="C7" s="24" t="inlineStr">
        <is>
          <t>тыс.пог.м</t>
        </is>
      </c>
      <c r="D7" s="54">
        <f>'Расчёт аннуитета'!D17</f>
        <v>104.53469508570285</v>
      </c>
      <c r="E7" s="54">
        <f>'Расчёт аннуитета'!E17</f>
        <v>107.37924057859365</v>
      </c>
      <c r="F7" s="54">
        <f>'Расчёт аннуитета'!F17</f>
        <v>122.3191617479938</v>
      </c>
      <c r="G7" s="54">
        <f>'Расчёт аннуитета'!G17</f>
        <v>127.2768578613443</v>
      </c>
      <c r="H7" s="54">
        <f>'Расчёт аннуитета'!H17</f>
        <v>99.64044159166623</v>
      </c>
    </row>
    <row r="8">
      <c r="B8" s="22" t="inlineStr">
        <is>
          <t>КТГ средний</t>
        </is>
      </c>
      <c r="C8" s="24" t="inlineStr">
        <is>
          <t>коэф.</t>
        </is>
      </c>
      <c r="D8" s="58">
        <f>AVERAGE('Данные по годам'!E7:N7)</f>
        <v>0.90518</v>
      </c>
      <c r="E8" s="58">
        <f>AVERAGE('Данные по годам'!E11:N11)</f>
        <v>0.8620599999999999</v>
      </c>
      <c r="F8" s="58">
        <f>AVERAGE('Данные по годам'!E15:N15)</f>
        <v>0.8620599999999999</v>
      </c>
      <c r="G8" s="58">
        <f>AVERAGE('Данные по годам'!E19:N19)</f>
        <v>0.897</v>
      </c>
      <c r="H8" s="58">
        <f>AVERAGE('Данные по годам'!E23:N23)</f>
        <v>0.8628</v>
      </c>
    </row>
    <row r="9">
      <c r="B9" s="39" t="inlineStr">
        <is>
          <t>Аннуитет</t>
        </is>
      </c>
      <c r="C9" s="24" t="inlineStr">
        <is>
          <t>руб/пог.м</t>
        </is>
      </c>
      <c r="D9" s="57">
        <f>'Расчёт аннуитета'!D30</f>
        <v>1105.9901395659704</v>
      </c>
      <c r="E9" s="57">
        <f>'Расчёт аннуитета'!E30</f>
        <v>700.2985229339251</v>
      </c>
      <c r="F9" s="57">
        <f>'Расчёт аннуитета'!F30</f>
        <v>671.5212951727241</v>
      </c>
      <c r="G9" s="57">
        <f>'Расчёт аннуитета'!G30</f>
        <v>792.1306821150066</v>
      </c>
      <c r="H9" s="57">
        <f>'Расчёт аннуитета'!H30</f>
        <v>948.2782846349047</v>
      </c>
    </row>
    <row r="10">
      <c r="B10" s="22" t="inlineStr">
        <is>
          <t>Аннуитет</t>
        </is>
      </c>
      <c r="C10" s="24" t="inlineStr">
        <is>
          <t>руб/м³</t>
        </is>
      </c>
      <c r="D10" s="56">
        <f>'Расчёт аннуитета'!D32</f>
        <v>22.35904456819914</v>
      </c>
      <c r="E10" s="56">
        <f>'Расчёт аннуитета'!E32</f>
        <v>14.157455229635604</v>
      </c>
      <c r="F10" s="56">
        <f>'Расчёт аннуитета'!F32</f>
        <v>13.575685740881918</v>
      </c>
      <c r="G10" s="56">
        <f>'Расчёт аннуитета'!G32</f>
        <v>16.01396304690198</v>
      </c>
      <c r="H10" s="56">
        <f>'Расчёт аннуитета'!H32</f>
        <v>19.17069209814828</v>
      </c>
    </row>
    <row r="11">
      <c r="B11" s="22" t="inlineStr">
        <is>
          <t>NPV стоимости владения</t>
        </is>
      </c>
      <c r="C11" s="24" t="inlineStr">
        <is>
          <t>тыс.руб</t>
        </is>
      </c>
      <c r="D11" s="54">
        <f>'Расчёт аннуитета'!D16</f>
        <v>653246.8176243443</v>
      </c>
      <c r="E11" s="54">
        <f>'Расчёт аннуитета'!E16</f>
        <v>424882.77936008305</v>
      </c>
      <c r="F11" s="54">
        <f>'Расчёт аннуитета'!F16</f>
        <v>464108.87839247414</v>
      </c>
      <c r="G11" s="54">
        <f>'Расчёт аннуитета'!G16</f>
        <v>569654.9446316872</v>
      </c>
      <c r="H11" s="54">
        <f>'Расчёт аннуитета'!H16</f>
        <v>533871.8719911767</v>
      </c>
    </row>
    <row r="12">
      <c r="B12" s="22" t="inlineStr">
        <is>
          <t>Доля CAPEX</t>
        </is>
      </c>
      <c r="C12" s="24" t="inlineStr">
        <is>
          <t>%</t>
        </is>
      </c>
      <c r="D12" s="58">
        <f>'Расчёт аннуитета'!D20/'Расчёт аннуитета'!D30</f>
        <v>0.2326838736892386</v>
      </c>
      <c r="E12" s="58">
        <f>'Расчёт аннуитета'!E20/'Расчёт аннуитета'!E30</f>
        <v>0.2636021167266027</v>
      </c>
      <c r="F12" s="58">
        <f>'Расчёт аннуитета'!F20/'Расчёт аннуитета'!F30</f>
        <v>0.29303468718603454</v>
      </c>
      <c r="G12" s="58">
        <f>'Расчёт аннуитета'!G20/'Расчёт аннуитета'!G30</f>
        <v>0.2387410155597462</v>
      </c>
      <c r="H12" s="58">
        <f>'Расчёт аннуитета'!H20/'Расчёт аннуитета'!H30</f>
        <v>0.24725033650430184</v>
      </c>
    </row>
    <row r="13">
      <c r="B13" s="22" t="inlineStr">
        <is>
          <t>Доля топлива/энергии</t>
        </is>
      </c>
      <c r="C13" s="24" t="inlineStr">
        <is>
          <t>%</t>
        </is>
      </c>
      <c r="D13" s="58">
        <f>'Расчёт аннуитета'!D21/'Расчёт аннуитета'!D30</f>
        <v>0.24396623022315164</v>
      </c>
      <c r="E13" s="58">
        <f>'Расчёт аннуитета'!E21/'Расчёт аннуитета'!E30</f>
        <v>0.20806377474996715</v>
      </c>
      <c r="F13" s="58">
        <f>'Расчёт аннуитета'!F21/'Расчёт аннуитета'!F30</f>
        <v>0.24658831158712724</v>
      </c>
      <c r="G13" s="58">
        <f>'Расчёт аннуитета'!G21/'Расчёт аннуитета'!G30</f>
        <v>0.3135365009473437</v>
      </c>
      <c r="H13" s="58">
        <f>'Расчёт аннуитета'!H21/'Расчёт аннуитета'!H30</f>
        <v>0.40037730501034613</v>
      </c>
    </row>
    <row r="14">
      <c r="B14" s="22" t="inlineStr">
        <is>
          <t>Доля ТОиР</t>
        </is>
      </c>
      <c r="C14" s="24" t="inlineStr">
        <is>
          <t>%</t>
        </is>
      </c>
      <c r="D14" s="58">
        <f>'Расчёт аннуитета'!D22/'Расчёт аннуитета'!D30</f>
        <v>0.23153227526846856</v>
      </c>
      <c r="E14" s="58">
        <f>'Расчёт аннуитета'!E22/'Расчёт аннуитета'!E30</f>
        <v>0.6277649698528741</v>
      </c>
      <c r="F14" s="58">
        <f>'Расчёт аннуитета'!F22/'Расчёт аннуитета'!F30</f>
        <v>0.5747067931556146</v>
      </c>
      <c r="G14" s="58">
        <f>'Расчёт аннуитета'!G22/'Расчёт аннуитета'!G30</f>
        <v>0.6026294046216314</v>
      </c>
      <c r="H14" s="58">
        <f>'Расчёт аннуитета'!H22/'Расчёт аннуитета'!H30</f>
        <v>0.49602393835352043</v>
      </c>
    </row>
    <row r="15">
      <c r="B15" s="39" t="inlineStr">
        <is>
          <t>Место в рейтинге</t>
        </is>
      </c>
      <c r="C15" s="24" t="inlineStr"/>
      <c r="D15" s="67">
        <f>RANK(D9,D9:H9,1)</f>
        <v>5.0</v>
      </c>
      <c r="E15" s="67">
        <f>RANK(E9,D9:H9,1)</f>
        <v>2.0</v>
      </c>
      <c r="F15" s="67">
        <f>RANK(F9,D9:H9,1)</f>
        <v>1.0</v>
      </c>
      <c r="G15" s="67">
        <f>RANK(G9,D9:H9,1)</f>
        <v>3.0</v>
      </c>
      <c r="H15" s="67">
        <f>RANK(H9,D9:H9,1)</f>
        <v>4.0</v>
      </c>
    </row>
    <row r="16">
      <c r="B16" s="5" t="inlineStr">
        <is>
          <t>РАЗЛОЖЕНИЕ ПРЕВЫШЕНИЯ АННУИТЕТА НАД ЛУЧШИМ (руб/пог.м)</t>
        </is>
      </c>
      <c r="C16" s="4" t="n"/>
      <c r="D16" s="4" t="n"/>
      <c r="E16" s="4" t="n"/>
      <c r="F16" s="4" t="n"/>
      <c r="G16" s="4" t="n"/>
      <c r="H16" s="4" t="n"/>
    </row>
    <row r="17">
      <c r="B17" s="22" t="inlineStr">
        <is>
          <t>Δ инвестиции</t>
        </is>
      </c>
      <c r="C17" s="24" t="inlineStr">
        <is>
          <t>руб/пог.м</t>
        </is>
      </c>
      <c r="D17" s="56">
        <f>'Расчёт аннуитета'!D20-MIN(D20:H20)</f>
        <v>894.7681830942086</v>
      </c>
      <c r="E17" s="56">
        <f>'Расчёт аннуитета'!E20-MIN(D20:H20)</f>
        <v>822.0222861437929</v>
      </c>
      <c r="F17" s="56">
        <f>'Расчёт аннуитета'!F20-MIN(D20:H20)</f>
        <v>834.2011458275969</v>
      </c>
      <c r="G17" s="56">
        <f>'Расчёт аннуитета'!G20-MIN(D20:H20)</f>
        <v>826.536196662068</v>
      </c>
      <c r="H17" s="56">
        <f>'Расчёт аннуитета'!H20-MIN(D20:H20)</f>
        <v>871.8842381335992</v>
      </c>
    </row>
    <row r="18">
      <c r="B18" s="22" t="inlineStr">
        <is>
          <t>Δ топливо/энергия</t>
        </is>
      </c>
      <c r="C18" s="24" t="inlineStr">
        <is>
          <t>руб/пог.м</t>
        </is>
      </c>
      <c r="D18" s="56">
        <f>'Расчёт аннуитета'!D21-MIN(D21:H21)</f>
        <v>614.2503906903382</v>
      </c>
      <c r="E18" s="56">
        <f>'Расчёт аннуитета'!E21-MIN(D21:H21)</f>
        <v>490.13289980991004</v>
      </c>
      <c r="F18" s="56">
        <f>'Расчёт аннуитета'!F21-MIN(D21:H21)</f>
        <v>510.0154480478941</v>
      </c>
      <c r="G18" s="56">
        <f>'Расчёт аннуитета'!G21-MIN(D21:H21)</f>
        <v>592.7880280398228</v>
      </c>
      <c r="H18" s="56">
        <f>'Расчёт аннуитета'!H21-MIN(D21:H21)</f>
        <v>724.0952496784082</v>
      </c>
    </row>
    <row r="19">
      <c r="B19" s="22" t="inlineStr">
        <is>
          <t>Δ ТОиР</t>
        </is>
      </c>
      <c r="C19" s="24" t="inlineStr">
        <is>
          <t>руб/пог.м</t>
        </is>
      </c>
      <c r="D19" s="56">
        <f>'Расчёт аннуитета'!D22-MIN(D22:H22)</f>
        <v>256.0724134382002</v>
      </c>
      <c r="E19" s="56">
        <f>'Расчёт аннуитета'!E22-MIN(D22:H22)</f>
        <v>439.6228811376278</v>
      </c>
      <c r="F19" s="56">
        <f>'Расчёт аннуитета'!F22-MIN(D22:H22)</f>
        <v>385.92785008442115</v>
      </c>
      <c r="G19" s="56">
        <f>'Расчёт аннуитета'!G22-MIN(D22:H22)</f>
        <v>477.3612413454932</v>
      </c>
      <c r="H19" s="56">
        <f>'Расчёт аннуитета'!H22-MIN(D22:H22)</f>
        <v>470.3687293997261</v>
      </c>
    </row>
    <row r="20">
      <c r="B20" s="22" t="inlineStr">
        <is>
          <t>Δ персонал</t>
        </is>
      </c>
      <c r="C20" s="24" t="inlineStr">
        <is>
          <t>руб/пог.м</t>
        </is>
      </c>
      <c r="D20" s="56">
        <f>'Расчёт аннуитета'!D26-MIN(D26:H26)</f>
        <v>-610.5687894761801</v>
      </c>
      <c r="E20" s="56">
        <f>'Расчёт аннуитета'!E26-MIN(D26:H26)</f>
        <v>-614.5499371191338</v>
      </c>
      <c r="F20" s="56">
        <f>'Расчёт аннуитета'!F26-MIN(D26:H26)</f>
        <v>-632.4193246165471</v>
      </c>
      <c r="G20" s="56">
        <f>'Расчёт аннуитета'!G26-MIN(D26:H26)</f>
        <v>-637.4221131578969</v>
      </c>
      <c r="H20" s="56">
        <f>'Расчёт аннуитета'!H26-MIN(D26:H26)</f>
        <v>-603.1869169011277</v>
      </c>
    </row>
    <row r="21">
      <c r="B21" s="22" t="inlineStr">
        <is>
          <t>Δ налог (щит)</t>
        </is>
      </c>
      <c r="C21" s="24" t="inlineStr">
        <is>
          <t>руб/пог.м</t>
        </is>
      </c>
      <c r="D21" s="56">
        <f>'Расчёт аннуитета'!D28-MIN(D28:H28)</f>
        <v>-344.42614567645114</v>
      </c>
      <c r="E21" s="56">
        <f>'Расчёт аннуитета'!E28-MIN(D28:H28)</f>
        <v>-216.046923162223</v>
      </c>
      <c r="F21" s="56">
        <f>'Расчёт аннуитета'!F28-MIN(D28:H28)</f>
        <v>-205.3074908579294</v>
      </c>
      <c r="G21" s="56">
        <f>'Расчёт аннуитета'!G28-MIN(D28:H28)</f>
        <v>-246.2325161083322</v>
      </c>
      <c r="H21" s="56">
        <f>'Расчёт аннуитета'!H28-MIN(D28:H28)</f>
        <v>-294.01077120985855</v>
      </c>
    </row>
    <row r="22">
      <c r="B22" s="39" t="inlineStr">
        <is>
          <t>ИТОГО превышение над лучшим</t>
        </is>
      </c>
      <c r="C22" s="24" t="inlineStr">
        <is>
          <t>руб/пог.м</t>
        </is>
      </c>
      <c r="D22" s="57">
        <f>D9-MIN(D9:H9)</f>
        <v>434.4688443932463</v>
      </c>
      <c r="E22" s="57">
        <f>E9-MIN(D9:H9)</f>
        <v>28.77722776120106</v>
      </c>
      <c r="F22" s="57">
        <f>F9-MIN(D9:H9)</f>
        <v>0.0</v>
      </c>
      <c r="G22" s="57">
        <f>G9-MIN(D9:H9)</f>
        <v>120.60938694228253</v>
      </c>
      <c r="H22" s="57">
        <f>H9-MIN(D9:H9)</f>
        <v>276.7569894621806</v>
      </c>
    </row>
    <row r="23">
      <c r="B23" s="5" t="inlineStr">
        <is>
          <t>ДИАПАЗОН РИСКА АННУИТЕТА (руб/пог.м)</t>
        </is>
      </c>
      <c r="C23" s="4" t="n"/>
      <c r="D23" s="4" t="n"/>
      <c r="E23" s="4" t="n"/>
      <c r="F23" s="4" t="n"/>
      <c r="G23" s="4" t="n"/>
      <c r="H23" s="4" t="n"/>
    </row>
    <row r="24">
      <c r="B24" s="22" t="inlineStr">
        <is>
          <t>Оптимистичный (КТГ +10%, ДТ −20%)</t>
        </is>
      </c>
      <c r="C24" s="24" t="inlineStr">
        <is>
          <t>руб/пог.м</t>
        </is>
      </c>
      <c r="D24" s="56">
        <f>('Расчёт аннуитета'!D20+'Расчёт аннуитета'!D22+'Расчёт аннуитета'!D26+'Расчёт аннуитета'!D27+'Расчёт аннуитета'!D28)/1.1+('Расчёт аннуитета'!D21+'Расчёт аннуитета'!D23+'Расчёт аннуитета'!D24+'Расчёт аннуитета'!D25)-0.2*'Расчёт аннуитета'!D21</f>
        <v>1022.9896392760432</v>
      </c>
      <c r="E24" s="56">
        <f>('Расчёт аннуитета'!E20+'Расчёт аннуитета'!E22+'Расчёт аннуитета'!E26+'Расчёт аннуитета'!E27+'Расчёт аннуитета'!E28)/1.1+('Расчёт аннуитета'!E21+'Расчёт аннуитета'!E23+'Расчёт аннуитета'!E24+'Расчёт аннуитета'!E25)-0.2*'Расчёт аннуитета'!E21</f>
        <v>620.7397385799181</v>
      </c>
      <c r="F24" s="56">
        <f>('Расчёт аннуитета'!F20+'Расчёт аннуитета'!F22+'Расчёт аннуитета'!F26+'Расчёт аннуитета'!F27+'Расчёт аннуитета'!F28)/1.1+('Расчёт аннуитета'!F21+'Расчёт аннуитета'!F23+'Расчёт аннуитета'!F24+'Расчёт аннуитета'!F25)-0.2*'Расчёт аннуитета'!F21</f>
        <v>592.4096171710465</v>
      </c>
      <c r="G24" s="56">
        <f>('Расчёт аннуитета'!G20+'Расчёт аннуитета'!G22+'Расчёт аннуитета'!G26+'Расчёт аннуитета'!G27+'Расчёт аннуитета'!G28)/1.1+('Расчёт аннуитета'!G21+'Расчёт аннуитета'!G23+'Расчёт аннуитета'!G24+'Расчёт аннуитета'!G25)-0.2*'Расчёт аннуитета'!G21</f>
        <v>693.0247783921835</v>
      </c>
      <c r="H24" s="56">
        <f>('Расчёт аннуитета'!H20+'Расчёт аннуитета'!H22+'Расчёт аннуитета'!H26+'Расчёт аннуитета'!H27+'Расчёт аннуитета'!H28)/1.1+('Расчёт аннуитета'!H21+'Расчёт аннуитета'!H23+'Расчёт аннуитета'!H24+'Расчёт аннуитета'!H25)-0.2*'Расчёт аннуитета'!H21</f>
        <v>820.6527201406087</v>
      </c>
    </row>
    <row r="25">
      <c r="B25" s="39" t="inlineStr">
        <is>
          <t>Базовый</t>
        </is>
      </c>
      <c r="C25" s="24" t="inlineStr">
        <is>
          <t>руб/пог.м</t>
        </is>
      </c>
      <c r="D25" s="57">
        <f>'Расчёт аннуитета'!D30</f>
        <v>1105.9901395659704</v>
      </c>
      <c r="E25" s="57">
        <f>'Расчёт аннуитета'!E30</f>
        <v>700.2985229339251</v>
      </c>
      <c r="F25" s="57">
        <f>'Расчёт аннуитета'!F30</f>
        <v>671.5212951727241</v>
      </c>
      <c r="G25" s="57">
        <f>'Расчёт аннуитета'!G30</f>
        <v>792.1306821150066</v>
      </c>
      <c r="H25" s="57">
        <f>'Расчёт аннуитета'!H30</f>
        <v>948.2782846349047</v>
      </c>
    </row>
    <row r="26">
      <c r="B26" s="22" t="inlineStr">
        <is>
          <t>Пессимистичный (КТГ −10%, ДТ +20%)</t>
        </is>
      </c>
      <c r="C26" s="24" t="inlineStr">
        <is>
          <t>руб/пог.м</t>
        </is>
      </c>
      <c r="D26" s="56">
        <f>('Расчёт аннуитета'!D20+'Расчёт аннуитета'!D22+'Расчёт аннуитета'!D26+'Расчёт аннуитета'!D27+'Расчёт аннуитета'!D28)/0.9+('Расчёт аннуитета'!D21+'Расчёт аннуитета'!D23+'Расчёт аннуитета'!D24+'Расчёт аннуитета'!D25)+0.2*'Расчёт аннуитета'!D21</f>
        <v>1195.4430068085974</v>
      </c>
      <c r="E26" s="56">
        <f>('Расчёт аннуитета'!E20+'Расчёт аннуитета'!E22+'Расчёт аннуитета'!E26+'Расчёт аннуитета'!E27+'Расчёт аннуитета'!E28)/0.9+('Расчёт аннуитета'!E21+'Расчёт аннуитета'!E23+'Расчёт аннуитета'!E24+'Расчёт аннуитета'!E25)+0.2*'Расчёт аннуитета'!E21</f>
        <v>791.0611814051132</v>
      </c>
      <c r="F26" s="56">
        <f>('Расчёт аннуитета'!F20+'Расчёт аннуитета'!F22+'Расчёт аннуитета'!F26+'Расчёт аннуитета'!F27+'Расчёт аннуитета'!F28)/0.9+('Расчёт аннуитета'!F21+'Расчёт аннуитета'!F23+'Расчёт аннуитета'!F24+'Расчёт аннуитета'!F25)+0.2*'Расчёт аннуитета'!F21</f>
        <v>760.853821513822</v>
      </c>
      <c r="G26" s="56">
        <f>('Расчёт аннуитета'!G20+'Расчёт аннуитета'!G22+'Расчёт аннуитета'!G26+'Расчёт аннуитета'!G27+'Расчёт аннуитета'!G28)/0.9+('Расчёт аннуитета'!G21+'Расчёт аннуитета'!G23+'Расчёт аннуитета'!G24+'Расчёт аннуитета'!G25)+0.2*'Расчёт аннуитета'!G21</f>
        <v>902.2218141156404</v>
      </c>
      <c r="H26" s="56">
        <f>('Расчёт аннуитета'!H20+'Расчёт аннуитета'!H22+'Расчёт аннуитета'!H26+'Расчёт аннуитета'!H27+'Расчёт аннуитета'!H28)/0.9+('Расчёт аннуитета'!H21+'Расчёт аннуитета'!H23+'Расчёт аннуитета'!H24+'Расчёт аннуитета'!H25)+0.2*'Расчёт аннуитета'!H21</f>
        <v>1087.3909032834013</v>
      </c>
    </row>
    <row r="27">
      <c r="B27" s="22" t="inlineStr">
        <is>
          <t>Ширина диапазона (риск)</t>
        </is>
      </c>
      <c r="C27" s="24" t="inlineStr">
        <is>
          <t>руб/пог.м</t>
        </is>
      </c>
      <c r="D27" s="56">
        <f>D26-D24</f>
        <v>172.45336753255413</v>
      </c>
      <c r="E27" s="56">
        <f>E26-E24</f>
        <v>170.32144282519505</v>
      </c>
      <c r="F27" s="56">
        <f>F26-F24</f>
        <v>168.4442043427755</v>
      </c>
      <c r="G27" s="56">
        <f>G26-G24</f>
        <v>209.1970357234569</v>
      </c>
      <c r="H27" s="56">
        <f>H26-H24</f>
        <v>266.73818314279254</v>
      </c>
    </row>
    <row r="28">
      <c r="B28" s="5" t="inlineStr">
        <is>
          <t>ЭФФЕКТИВНОСТЬ И ЦЕННОСТЬ ГОТОВНОСТИ</t>
        </is>
      </c>
      <c r="C28" s="4" t="n"/>
      <c r="D28" s="4" t="n"/>
      <c r="E28" s="4" t="n"/>
      <c r="F28" s="4" t="n"/>
      <c r="G28" s="4" t="n"/>
      <c r="H28" s="4" t="n"/>
    </row>
    <row r="29">
      <c r="B29" s="22" t="inlineStr">
        <is>
          <t>Эффект +1 п.п. КТГ на аннуитет</t>
        </is>
      </c>
      <c r="C29" s="24" t="inlineStr">
        <is>
          <t>руб/пог.м</t>
        </is>
      </c>
      <c r="D29" s="56">
        <f>-('Расчёт аннуитета'!D20+'Расчёт аннуитета'!D22+'Расчёт аннуитета'!D26+'Расчёт аннуитета'!D27+'Расчёт аннуитета'!D28)*0.01/AVERAGE('Данные по годам'!E7:N7)</f>
        <v>-3.528493384284306</v>
      </c>
      <c r="E29" s="56">
        <f>-('Расчёт аннуитета'!E20+'Расчёт аннуитета'!E22+'Расчёт аннуитета'!E26+'Расчёт аннуитета'!E27+'Расчёт аннуитета'!E28)*0.01/AVERAGE('Данные по годам'!E11:N11)</f>
        <v>-6.433331424732226</v>
      </c>
      <c r="F29" s="56">
        <f>-('Расчёт аннуитета'!F20+'Расчёт аннуитета'!F22+'Расчёт аннуитета'!F26+'Расчёт аннуитета'!F27+'Расчёт аннуитета'!F28)*0.01/AVERAGE('Данные по годам'!E15:N15)</f>
        <v>-5.868872152765254</v>
      </c>
      <c r="G29" s="56">
        <f>-('Расчёт аннуитета'!G20+'Расчёт аннуитета'!G22+'Расчёт аннуитета'!G26+'Расчёт аннуитета'!G27+'Расчёт аннуитета'!G28)*0.01/AVERAGE('Данные по годам'!E19:N19)</f>
        <v>-6.062082494444089</v>
      </c>
      <c r="H29" s="56">
        <f>-('Расчёт аннуитета'!H20+'Расчёт аннуитета'!H22+'Расчёт аннуитета'!H26+'Расчёт аннуитета'!H27+'Расчёт аннуитета'!H28)*0.01/AVERAGE('Данные по годам'!E23:N23)</f>
        <v>-6.5902779396493685</v>
      </c>
    </row>
    <row r="31">
      <c r="B31" s="73" t="inlineStr">
        <is>
          <t>ВЫВОД:</t>
        </is>
      </c>
      <c r="C31" s="77" t="str">
        <f>"Лучший по удельному TCO: "&amp;INDEX(D4:H4,MATCH(MIN(D9:H9),D9:H9,0))&amp;" ("&amp;TEXT(MIN(D9:H9),"0.00")&amp;" руб/пог.м, "&amp;TEXT(MIN(D10:H10),"0.00")&amp;" руб/м³). "&amp;"Отрыв от худшего: "&amp;TEXT(MAX(D9:H9)-MIN(D9:H9),"0.00")&amp;" руб/пог.м."</f>
        <v>Лучший по удельному TCO: Sunward
SWDRT270SM (671.52 руб/пог.м, 13.58 руб/м³). Отрыв от худшего: 434.47 руб/пог.м.</v>
      </c>
      <c r="D31" s="78" t="n"/>
      <c r="E31" s="78" t="n"/>
      <c r="F31" s="78" t="n"/>
      <c r="G31" s="78" t="n"/>
      <c r="H31" s="78" t="n"/>
    </row>
    <row r="33">
      <c r="B33" s="7" t="inlineStr">
        <is>
          <t>Метод (лучшие практики):</t>
        </is>
      </c>
    </row>
    <row r="34">
      <c r="B34" s="62" t="inlineStr">
        <is>
          <t>•  Levelized cost — приведённые затраты на единицу продукции (руб/пог.м, руб/м³) уравнивают станки с разной ценой и производительностью.</t>
        </is>
      </c>
    </row>
    <row r="35">
      <c r="B35" s="62" t="inlineStr">
        <is>
          <t>•  Многокритериальная оценка — не только цена, но и структура затрат, КТГ, доля топлива.</t>
        </is>
      </c>
    </row>
    <row r="36">
      <c r="B36" s="62" t="inlineStr">
        <is>
          <t>•  Разложение над лучшим — показывает, за счёт каких статей вариант дороже (управляемость).</t>
        </is>
      </c>
    </row>
    <row r="37">
      <c r="B37" s="62" t="inlineStr">
        <is>
          <t>•  Диапазон риска — устойчивость выбора к колебаниям КТГ и цены топлива.</t>
        </is>
      </c>
    </row>
    <row r="38">
      <c r="B38" s="62" t="inlineStr">
        <is>
          <t>•  Ценность готовности — сколько руб/пог.м даёт рост КТГ на 1 п.п. (обоснование сервисного контракта).</t>
        </is>
      </c>
    </row>
  </sheetData>
  <mergeCells count="12">
    <mergeCell ref="B1:K1"/>
    <mergeCell ref="B36:K36"/>
    <mergeCell ref="B37:K37"/>
    <mergeCell ref="B35:K35"/>
    <mergeCell ref="C31:H31"/>
    <mergeCell ref="B16:H16"/>
    <mergeCell ref="B38:K38"/>
    <mergeCell ref="B2:K2"/>
    <mergeCell ref="B34:K34"/>
    <mergeCell ref="B5:H5"/>
    <mergeCell ref="B28:H28"/>
    <mergeCell ref="B23:H23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АНАЛИЗ ЧУВСТВИТЕЛЬНОСТИ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Торнадо драйверов, влияние КТГ и ставки дисконтирования на аннуитет.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7" t="inlineStr">
        <is>
          <t>Анализируемый станок (1–5):</t>
        </is>
      </c>
      <c r="C4" s="38" t="n">
        <v>1</v>
      </c>
      <c r="D4" s="79" t="str">
        <f>INDEX('Ввод данных'!D7:H7,$C$4)</f>
        <v>YANGZI DR75
(аналог Epiroc DM75)</v>
      </c>
    </row>
    <row r="6">
      <c r="B6" s="5" t="inlineStr">
        <is>
          <t>БАЗОВЫЕ ВЕЛИЧИНЫ ВЫБРАННОГО ВАРИАНТА</t>
        </is>
      </c>
      <c r="C6" s="4" t="n"/>
      <c r="D6" s="4" t="n"/>
      <c r="E6" s="4" t="n"/>
      <c r="F6" s="4" t="n"/>
      <c r="G6" s="4" t="n"/>
      <c r="H6" s="4" t="n"/>
    </row>
    <row r="7">
      <c r="B7" s="22" t="inlineStr">
        <is>
          <t>Общий аннуитет</t>
        </is>
      </c>
      <c r="C7" s="24" t="inlineStr">
        <is>
          <t>руб/пог.м</t>
        </is>
      </c>
      <c r="D7" s="56">
        <f>INDEX('Расчёт аннуитета'!D30:H30,$C$4)</f>
        <v>1105.9901395659704</v>
      </c>
    </row>
    <row r="8">
      <c r="B8" s="22" t="inlineStr">
        <is>
          <t>— инвестиционный</t>
        </is>
      </c>
      <c r="C8" s="24" t="inlineStr">
        <is>
          <t>руб/пог.м</t>
        </is>
      </c>
      <c r="D8" s="56">
        <f>INDEX('Расчёт аннуитета'!D20:H20,$C$4)</f>
        <v>257.3460699363116</v>
      </c>
    </row>
    <row r="9">
      <c r="B9" s="22" t="inlineStr">
        <is>
          <t>— топливо/энергия</t>
        </is>
      </c>
      <c r="C9" s="24" t="inlineStr">
        <is>
          <t>руб/пог.м</t>
        </is>
      </c>
      <c r="D9" s="56">
        <f>INDEX('Расчёт аннуитета'!D21:H21,$C$4)</f>
        <v>269.82424501388715</v>
      </c>
    </row>
    <row r="10">
      <c r="B10" s="22" t="inlineStr">
        <is>
          <t>— ТОиР + капремонты</t>
        </is>
      </c>
      <c r="C10" s="24" t="inlineStr">
        <is>
          <t>руб/пог.м</t>
        </is>
      </c>
      <c r="D10" s="56">
        <f>INDEX('Расчёт аннуитета'!D22:H22,$C$4)</f>
        <v>256.0724134382002</v>
      </c>
    </row>
    <row r="11">
      <c r="B11" s="22" t="inlineStr">
        <is>
          <t>— персонал</t>
        </is>
      </c>
      <c r="C11" s="24" t="inlineStr">
        <is>
          <t>руб/пог.м</t>
        </is>
      </c>
      <c r="D11" s="56">
        <f>INDEX('Расчёт аннуитета'!D26:H26,$C$4)</f>
        <v>150.28503203764197</v>
      </c>
    </row>
    <row r="12">
      <c r="B12" s="22" t="inlineStr">
        <is>
          <t>Средний годовой объём бурения</t>
        </is>
      </c>
      <c r="C12" s="24" t="inlineStr">
        <is>
          <t>тыс.пог.м</t>
        </is>
      </c>
      <c r="D12" s="54">
        <f>INDEX('Расчёт аннуитета'!D17:H17,$C$4)</f>
        <v>104.53469508570285</v>
      </c>
    </row>
    <row r="13">
      <c r="B13" s="22" t="inlineStr">
        <is>
          <t>Стоимость (руб)</t>
        </is>
      </c>
      <c r="C13" s="24" t="inlineStr">
        <is>
          <t>тыс.руб</t>
        </is>
      </c>
      <c r="D13" s="54">
        <f>INDEX('Производительность'!D5:H5,$C$4)</f>
        <v>152000.0</v>
      </c>
    </row>
    <row r="14">
      <c r="B14" s="22" t="inlineStr">
        <is>
          <t>Постоянные (инв+ТОиР+перс+налоги)</t>
        </is>
      </c>
      <c r="C14" s="24" t="inlineStr">
        <is>
          <t>руб/пог.м</t>
        </is>
      </c>
      <c r="D14" s="56">
        <f>INDEX('Расчёт аннуитета'!D20:H20,$C$4)+INDEX('Расчёт аннуитета'!D22:H22,$C$4)+INDEX('Расчёт аннуитета'!D26:H26,$C$4)+INDEX('Расчёт аннуитета'!D27:H27,$C$4)+INDEX('Расчёт аннуитета'!D28:H28,$C$4)</f>
        <v>319.3921641586468</v>
      </c>
    </row>
    <row r="15">
      <c r="B15" s="22" t="inlineStr">
        <is>
          <t>Переменные (топл+инструм+расходн)</t>
        </is>
      </c>
      <c r="C15" s="24" t="inlineStr">
        <is>
          <t>руб/пог.м</t>
        </is>
      </c>
      <c r="D15" s="56">
        <f>INDEX('Расчёт аннуитета'!D21:H21,$C$4)+INDEX('Расчёт аннуитета'!D23:H23,$C$4)+INDEX('Расчёт аннуитета'!D24:H24,$C$4)+INDEX('Расчёт аннуитета'!D25:H25,$C$4)</f>
        <v>786.5979754073237</v>
      </c>
    </row>
    <row r="17">
      <c r="B17" s="5" t="inlineStr">
        <is>
          <t>ТОРНАДО: ВЛИЯНИЕ ДРАЙВЕРОВ НА ОБЩИЙ АННУИТЕТ (руб/пог.м)</t>
        </is>
      </c>
      <c r="C17" s="4" t="n"/>
      <c r="D17" s="4" t="n"/>
      <c r="E17" s="4" t="n"/>
      <c r="F17" s="4" t="n"/>
      <c r="G17" s="4" t="n"/>
      <c r="H17" s="4" t="n"/>
    </row>
    <row r="18">
      <c r="B18" s="15" t="inlineStr">
        <is>
          <t>Драйвер</t>
        </is>
      </c>
      <c r="C18" s="15" t="inlineStr">
        <is>
          <t>Диапазон</t>
        </is>
      </c>
      <c r="D18" s="15" t="inlineStr">
        <is>
          <t>При снижении</t>
        </is>
      </c>
      <c r="E18" s="15" t="inlineStr">
        <is>
          <t>При росте</t>
        </is>
      </c>
      <c r="F18" s="15" t="inlineStr">
        <is>
          <t>Размах</t>
        </is>
      </c>
      <c r="I18" s="80" t="inlineStr">
        <is>
          <t>низкое</t>
        </is>
      </c>
      <c r="J18" s="80" t="inlineStr">
        <is>
          <t>высокое</t>
        </is>
      </c>
    </row>
    <row r="19">
      <c r="B19" s="22" t="inlineStr">
        <is>
          <t>Расход / цена ДТ</t>
        </is>
      </c>
      <c r="C19" s="81" t="inlineStr">
        <is>
          <t>±20%</t>
        </is>
      </c>
      <c r="D19" s="56">
        <f>$D$7-0.2*($D$9*(1-'Параметры'!C7))</f>
        <v>1065.5165028138872</v>
      </c>
      <c r="E19" s="56">
        <f>$D$7+0.2*($D$9*(1-'Параметры'!C7))</f>
        <v>1146.4637763180535</v>
      </c>
      <c r="F19" s="56">
        <f>E19-D19</f>
        <v>80.94727350416633</v>
      </c>
      <c r="I19" s="82">
        <f>D19-$D$7</f>
        <v>-40.473636752083166</v>
      </c>
      <c r="J19" s="82">
        <f>E19-$D$7</f>
        <v>40.473636752083166</v>
      </c>
    </row>
    <row r="20">
      <c r="B20" s="22" t="inlineStr">
        <is>
          <t>Затраты на ТОиР/ремонты</t>
        </is>
      </c>
      <c r="C20" s="81" t="inlineStr">
        <is>
          <t>±25%</t>
        </is>
      </c>
      <c r="D20" s="56">
        <f>$D$7-0.25*($D$10*(1-'Параметры'!C7))</f>
        <v>1057.976562046308</v>
      </c>
      <c r="E20" s="56">
        <f>$D$7+0.25*($D$10*(1-'Параметры'!C7))</f>
        <v>1154.0037170856328</v>
      </c>
      <c r="F20" s="56">
        <f>E20-D20</f>
        <v>96.02715503932495</v>
      </c>
      <c r="I20" s="82">
        <f>D20-$D$7</f>
        <v>-48.013577519662476</v>
      </c>
      <c r="J20" s="82">
        <f>E20-$D$7</f>
        <v>48.013577519662476</v>
      </c>
    </row>
    <row r="21">
      <c r="B21" s="22" t="inlineStr">
        <is>
          <t>Цена приобретения</t>
        </is>
      </c>
      <c r="C21" s="81" t="inlineStr">
        <is>
          <t>±15%</t>
        </is>
      </c>
      <c r="D21" s="56">
        <f>$D$7-0.15*($D$8*(1-'Параметры'!C7*'Параметры'!C40))</f>
        <v>1074.312017853012</v>
      </c>
      <c r="E21" s="56">
        <f>$D$7+0.15*($D$8*(1-'Параметры'!C7*'Параметры'!C40))</f>
        <v>1137.6682612789286</v>
      </c>
      <c r="F21" s="56">
        <f>E21-D21</f>
        <v>63.356243425916546</v>
      </c>
      <c r="I21" s="82">
        <f>D21-$D$7</f>
        <v>-31.678121712958273</v>
      </c>
      <c r="J21" s="82">
        <f>E21-$D$7</f>
        <v>31.678121712958273</v>
      </c>
    </row>
    <row r="22">
      <c r="B22" s="22" t="inlineStr">
        <is>
          <t>Расходы на персонал</t>
        </is>
      </c>
      <c r="C22" s="81" t="inlineStr">
        <is>
          <t>±15%</t>
        </is>
      </c>
      <c r="D22" s="56">
        <f>$D$7-0.15*($D$11*(1-'Параметры'!C7))</f>
        <v>1089.0830734617357</v>
      </c>
      <c r="E22" s="56">
        <f>$D$7+0.15*($D$11*(1-'Параметры'!C7))</f>
        <v>1122.897205670205</v>
      </c>
      <c r="F22" s="56">
        <f>E22-D22</f>
        <v>33.814132208469346</v>
      </c>
      <c r="I22" s="82">
        <f>D22-$D$7</f>
        <v>-16.907066104234673</v>
      </c>
      <c r="J22" s="82">
        <f>E22-$D$7</f>
        <v>16.907066104234673</v>
      </c>
    </row>
    <row r="25">
      <c r="B25" s="5" t="inlineStr">
        <is>
          <t>ВЛИЯНИЕ ПРОИЗВОДИТЕЛЬНОСТИ (КТГ / УТИЛИЗАЦИИ)</t>
        </is>
      </c>
      <c r="C25" s="4" t="n"/>
      <c r="D25" s="4" t="n"/>
      <c r="E25" s="4" t="n"/>
      <c r="F25" s="4" t="n"/>
      <c r="G25" s="4" t="n"/>
      <c r="H25" s="4" t="n"/>
    </row>
    <row r="26">
      <c r="B26" s="15" t="inlineStr">
        <is>
          <t>Изменение производительности</t>
        </is>
      </c>
      <c r="C26" s="15" t="inlineStr">
        <is>
          <t>-15%</t>
        </is>
      </c>
      <c r="D26" s="15" t="inlineStr">
        <is>
          <t>-10%</t>
        </is>
      </c>
      <c r="E26" s="15" t="inlineStr">
        <is>
          <t>0%</t>
        </is>
      </c>
      <c r="F26" s="15" t="inlineStr">
        <is>
          <t>+10%</t>
        </is>
      </c>
      <c r="G26" s="15" t="inlineStr">
        <is>
          <t>+15%</t>
        </is>
      </c>
    </row>
    <row r="27">
      <c r="B27" s="53" t="inlineStr">
        <is>
          <t>Общий аннуитет, руб/пог.м</t>
        </is>
      </c>
      <c r="C27" s="68">
        <f>$D$14/(1+-0.15)+$D$15</f>
        <v>1162.3534626527905</v>
      </c>
      <c r="D27" s="68">
        <f>$D$14/(1+-0.1)+$D$15</f>
        <v>1141.47815780582</v>
      </c>
      <c r="E27" s="69">
        <f>$D$14/(1+0.0)+$D$15</f>
        <v>1105.9901395659704</v>
      </c>
      <c r="F27" s="68">
        <f>$D$14/(1+0.1)+$D$15</f>
        <v>1076.9544882788207</v>
      </c>
      <c r="G27" s="68">
        <f>$D$14/(1+0.15)+$D$15</f>
        <v>1064.3302920670167</v>
      </c>
    </row>
    <row r="29">
      <c r="B29" s="5" t="inlineStr">
        <is>
          <t>ВЛИЯНИЕ СТАВКИ ДИСКОНТИРОВАНИЯ</t>
        </is>
      </c>
      <c r="C29" s="4" t="n"/>
      <c r="D29" s="4" t="n"/>
      <c r="E29" s="4" t="n"/>
      <c r="F29" s="4" t="n"/>
      <c r="G29" s="4" t="n"/>
      <c r="H29" s="4" t="n"/>
    </row>
    <row r="30">
      <c r="B30" s="15" t="inlineStr">
        <is>
          <t>Ставка дисконтирования</t>
        </is>
      </c>
      <c r="C30" s="83" t="n">
        <v>0.08</v>
      </c>
      <c r="D30" s="83" t="n">
        <v>0.1</v>
      </c>
      <c r="E30" s="83" t="n">
        <v>0.12</v>
      </c>
      <c r="F30" s="83" t="n">
        <v>0.14</v>
      </c>
      <c r="G30" s="83" t="n">
        <v>0.16</v>
      </c>
    </row>
    <row r="31">
      <c r="B31" s="53" t="inlineStr">
        <is>
          <t>Общий аннуитет, руб/пог.м (оценка)</t>
        </is>
      </c>
      <c r="C31" s="68">
        <f>$D$13*(1-INDEX('Ввод данных'!D14:H14,$C$4)/(1+C30)^'Параметры'!C8)/((1-(1+C30)^-'Параметры'!C8)/C30)/$D$12+$D$7-$D$8</f>
        <v>1065.3422889470232</v>
      </c>
      <c r="D31" s="68">
        <f>$D$13*(1-INDEX('Ввод данных'!D14:H14,$C$4)/(1+D30)^'Параметры'!C8)/((1-(1+D30)^-'Параметры'!C8)/D30)/$D$12+$D$7-$D$8</f>
        <v>1085.286076399381</v>
      </c>
      <c r="E31" s="69">
        <f>$D$13*(1-INDEX('Ввод данных'!D14:H14,$C$4)/(1+E30)^'Параметры'!C8)/((1-(1+E30)^-'Параметры'!C8)/E30)/$D$12+$D$7-$D$8</f>
        <v>1105.9901395659704</v>
      </c>
      <c r="F31" s="68">
        <f>$D$13*(1-INDEX('Ввод данных'!D14:H14,$C$4)/(1+F30)^'Параметры'!C8)/((1-(1+F30)^-'Параметры'!C8)/F30)/$D$12+$D$7-$D$8</f>
        <v>1127.4075766578044</v>
      </c>
      <c r="G31" s="68">
        <f>$D$13*(1-INDEX('Ввод данных'!D14:H14,$C$4)/(1+G30)^'Параметры'!C8)/((1-(1+G30)^-'Параметры'!C8)/G30)/$D$12+$D$7-$D$8</f>
        <v>1149.4912151667124</v>
      </c>
    </row>
    <row r="33">
      <c r="B33" s="62" t="inlineStr">
        <is>
          <t>Оценка по ставке: инвестиционный аннуитет пересчитан точно, операционный принят постоянным (аннуитет равномерного потока ≈ инвариантен к ставке).</t>
        </is>
      </c>
    </row>
  </sheetData>
  <mergeCells count="8">
    <mergeCell ref="B1:K1"/>
    <mergeCell ref="B17:H17"/>
    <mergeCell ref="B6:H6"/>
    <mergeCell ref="B25:H25"/>
    <mergeCell ref="B29:H29"/>
    <mergeCell ref="B2:K2"/>
    <mergeCell ref="D4:H4"/>
    <mergeCell ref="B33:H33"/>
  </mergeCells>
  <dataValidations count="1">
    <dataValidation sqref="C4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I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B1" s="1" t="inlineStr">
        <is>
          <t>СПРАВОЧНИК ОРИЕНТИРОВОЧНЫХ ЗНАЧЕНИЙ</t>
        </is>
      </c>
      <c r="C1" s="2" t="n"/>
      <c r="D1" s="2" t="n"/>
      <c r="E1" s="2" t="n"/>
      <c r="F1" s="2" t="n"/>
      <c r="G1" s="2" t="n"/>
      <c r="H1" s="2" t="n"/>
      <c r="I1" s="2" t="n"/>
    </row>
    <row r="2">
      <c r="B2" s="3" t="inlineStr">
        <is>
          <t>Диапазоны для проверки исходных данных. Требуют уточнения по данным поставщика.</t>
        </is>
      </c>
      <c r="C2" s="2" t="n"/>
      <c r="D2" s="2" t="n"/>
      <c r="E2" s="2" t="n"/>
      <c r="F2" s="2" t="n"/>
      <c r="G2" s="2" t="n"/>
      <c r="H2" s="2" t="n"/>
      <c r="I2" s="2" t="n"/>
    </row>
    <row r="4">
      <c r="B4" s="15" t="inlineStr">
        <is>
          <t>Показатель</t>
        </is>
      </c>
      <c r="C4" s="15" t="inlineStr">
        <is>
          <t>Класс 250–270 мм</t>
        </is>
      </c>
      <c r="D4" s="15" t="inlineStr">
        <is>
          <t>Диапазон</t>
        </is>
      </c>
      <c r="E4" s="15" t="inlineStr">
        <is>
          <t>Комментарий</t>
        </is>
      </c>
    </row>
    <row r="5">
      <c r="B5" s="22" t="inlineStr">
        <is>
          <t>Ставка дисконтирования (WACC)</t>
        </is>
      </c>
      <c r="C5" s="81" t="inlineStr">
        <is>
          <t>12%</t>
        </is>
      </c>
      <c r="D5" s="81" t="inlineStr">
        <is>
          <t>8–16%</t>
        </is>
      </c>
      <c r="E5" s="22" t="inlineStr">
        <is>
          <t>Согласуется с эскалацией</t>
        </is>
      </c>
    </row>
    <row r="6">
      <c r="B6" s="84" t="inlineStr">
        <is>
          <t>Налог на прибыль</t>
        </is>
      </c>
      <c r="C6" s="85" t="inlineStr">
        <is>
          <t>25%</t>
        </is>
      </c>
      <c r="D6" s="85" t="inlineStr">
        <is>
          <t>20–25%</t>
        </is>
      </c>
      <c r="E6" s="84" t="inlineStr">
        <is>
          <t>Действующая ставка РФ</t>
        </is>
      </c>
    </row>
    <row r="7">
      <c r="B7" s="22" t="inlineStr">
        <is>
          <t>КТГ (техготовность)</t>
        </is>
      </c>
      <c r="C7" s="81" t="inlineStr">
        <is>
          <t>0,85–0,93</t>
        </is>
      </c>
      <c r="D7" s="81" t="inlineStr">
        <is>
          <t>0,80–0,95</t>
        </is>
      </c>
      <c r="E7" s="22" t="inlineStr">
        <is>
          <t>Зависит от бренда и сервиса</t>
        </is>
      </c>
    </row>
    <row r="8">
      <c r="B8" s="84" t="inlineStr">
        <is>
          <t>КИО (использование)</t>
        </is>
      </c>
      <c r="C8" s="85" t="inlineStr">
        <is>
          <t>0,72–0,75</t>
        </is>
      </c>
      <c r="D8" s="85" t="inlineStr">
        <is>
          <t>0,65–0,80</t>
        </is>
      </c>
      <c r="E8" s="84" t="inlineStr">
        <is>
          <t>Доля рабочего времени в КФВ</t>
        </is>
      </c>
    </row>
    <row r="9">
      <c r="B9" s="22" t="inlineStr">
        <is>
          <t>Часовая производительность</t>
        </is>
      </c>
      <c r="C9" s="81" t="inlineStr">
        <is>
          <t>16–20</t>
        </is>
      </c>
      <c r="D9" s="81" t="inlineStr">
        <is>
          <t>14–36 п.м/час</t>
        </is>
      </c>
      <c r="E9" s="22" t="inlineStr">
        <is>
          <t>Мощность вращателя, крепость породы, диаметр</t>
        </is>
      </c>
    </row>
    <row r="10">
      <c r="B10" s="84" t="inlineStr">
        <is>
          <t>Мощность вращателя</t>
        </is>
      </c>
      <c r="C10" s="85" t="inlineStr">
        <is>
          <t>136–173</t>
        </is>
      </c>
      <c r="D10" s="85" t="inlineStr">
        <is>
          <t>80–200 кВт</t>
        </is>
      </c>
      <c r="E10" s="84" t="inlineStr">
        <is>
          <t>Ключевой драйвер скорости бурения</t>
        </is>
      </c>
    </row>
    <row r="11">
      <c r="B11" s="22" t="inlineStr">
        <is>
          <t>Удельный расход ДТ</t>
        </is>
      </c>
      <c r="C11" s="81" t="inlineStr">
        <is>
          <t>39–94</t>
        </is>
      </c>
      <c r="D11" s="81" t="inlineStr">
        <is>
          <t>40–120 кг/ч</t>
        </is>
      </c>
      <c r="E11" s="22" t="inlineStr">
        <is>
          <t>Двигатель и режим</t>
        </is>
      </c>
    </row>
    <row r="12">
      <c r="B12" s="84" t="inlineStr">
        <is>
          <t>Выход с 1 пог.м</t>
        </is>
      </c>
      <c r="C12" s="85" t="inlineStr">
        <is>
          <t>19–49</t>
        </is>
      </c>
      <c r="D12" s="85" t="inlineStr">
        <is>
          <t>15–55 м³/пог.м</t>
        </is>
      </c>
      <c r="E12" s="84" t="inlineStr">
        <is>
          <t>Сетка БВР, диаметр скважины, порода</t>
        </is>
      </c>
    </row>
    <row r="13">
      <c r="B13" s="22" t="inlineStr">
        <is>
          <t>Срок амортизации (НУ)</t>
        </is>
      </c>
      <c r="C13" s="81" t="inlineStr">
        <is>
          <t>61 мес</t>
        </is>
      </c>
      <c r="D13" s="81" t="inlineStr">
        <is>
          <t>5–7 лет</t>
        </is>
      </c>
      <c r="E13" s="22" t="inlineStr">
        <is>
          <t>Линейная амортизация</t>
        </is>
      </c>
    </row>
    <row r="14">
      <c r="B14" s="84" t="inlineStr">
        <is>
          <t>Остаточная стоимость</t>
        </is>
      </c>
      <c r="C14" s="85" t="inlineStr">
        <is>
          <t>0–10%</t>
        </is>
      </c>
      <c r="D14" s="85" t="inlineStr">
        <is>
          <t>0–20%</t>
        </is>
      </c>
      <c r="E14" s="84" t="inlineStr">
        <is>
          <t>Реализация в конце срока</t>
        </is>
      </c>
    </row>
    <row r="15">
      <c r="B15" s="22" t="inlineStr">
        <is>
          <t>Долота (удельный расход)</t>
        </is>
      </c>
      <c r="C15" s="81" t="inlineStr">
        <is>
          <t>1–3</t>
        </is>
      </c>
      <c r="D15" s="81" t="inlineStr">
        <is>
          <t>0,5–5 шт/тыс.пог.м</t>
        </is>
      </c>
      <c r="E15" s="22" t="inlineStr">
        <is>
          <t>Порода, диаметр, тип долота</t>
        </is>
      </c>
    </row>
    <row r="17">
      <c r="B17" s="7" t="inlineStr">
        <is>
          <t>Методические примечания:</t>
        </is>
      </c>
    </row>
    <row r="18">
      <c r="B18" s="86" t="inlineStr">
        <is>
          <t>•  Часовая производительность считается по физике бурения (методика листа «W час» исходного файла): скорость бурения зависит от мощности вращателя, крепости породы и диаметра заряда.</t>
        </is>
      </c>
    </row>
    <row r="19">
      <c r="B19" s="86" t="inlineStr">
        <is>
          <t>•  ТОиР задаётся по годам (ТО, текущие и капитальные ремонты, сервис) — «рваный» график капремонтов учитывается дисконтированием.</t>
        </is>
      </c>
    </row>
    <row r="20">
      <c r="B20" s="86" t="inlineStr">
        <is>
          <t>•  Цена станков в исходном файле не заполнена — в модель подставлена ОЦЕНКА; замените жёлтые ячейки данными ТКП.</t>
        </is>
      </c>
    </row>
    <row r="21">
      <c r="B21" s="86" t="inlineStr">
        <is>
          <t>•  Значения таблицы — ориентир порядка величин, а не норматив.</t>
        </is>
      </c>
    </row>
  </sheetData>
  <mergeCells count="6">
    <mergeCell ref="B18:I18"/>
    <mergeCell ref="B21:I21"/>
    <mergeCell ref="B2:I2"/>
    <mergeCell ref="B20:I20"/>
    <mergeCell ref="B19:I19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2026-07-30T12:52:40Z</dcterms:created>
  <dcterms:modified xsi:type="dcterms:W3CDTF">2026-07-30T12:52:41Z</dcterms:modified>
</cp:coreProperties>
</file>