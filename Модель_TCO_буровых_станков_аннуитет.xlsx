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Данные по годам" sheetId="10" state="visible" r:id="rId10"/>
    <sheet name="Производительность" sheetId="11" state="visible" r:id="rId11"/>
    <sheet name="Денежный поток" sheetId="12" state="visible" r:id="rId12"/>
    <sheet name="Расчёт аннуитета" sheetId="13" state="visible" r:id="rId13"/>
    <sheet name="Сравнение" sheetId="14" state="visible" r:id="rId14"/>
    <sheet name="Аналитика" sheetId="15" state="visible" r:id="rId15"/>
    <sheet name="Чувствительность" sheetId="16" state="visible" r:id="rId16"/>
    <sheet name="Справочник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4" fontId="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руб/пог.м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'Сравнение'!$D$4:$H$4</f>
            </numRef>
          </cat>
          <val>
            <numRef>
              <f>'Сравнение'!$D$12:$H$12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руб/пог.м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руб/пог.м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поток'!$E$29:$N$29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поток'!$E$52:$N$52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поток'!$E$75:$N$75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поток'!$E$98:$N$98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поток'!$E$121:$N$121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руб/пог.м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руб/пог.м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'Сравнение'!$D$22:$H$22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'Сравнение'!$D$23:$H$23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'Сравнение'!$D$24:$H$24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'Сравнение'!$D$25:$H$25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'Сравнение'!$D$26:$H$26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'Сравнение'!$D$27:$H$27</f>
            </numRef>
          </val>
        </ser>
        <ser>
          <idx val="6"/>
          <order val="6"/>
          <tx>
            <strRef>
              <f>'Сравнение'!$B$28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'Сравнение'!$D$28:$H$28</f>
            </numRef>
          </val>
        </ser>
        <ser>
          <idx val="7"/>
          <order val="7"/>
          <tx>
            <strRef>
              <f>'Сравнение'!$B$29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'Сравнение'!$D$29:$H$29</f>
            </numRef>
          </val>
        </ser>
        <ser>
          <idx val="8"/>
          <order val="8"/>
          <tx>
            <strRef>
              <f>'Сравнение'!$B$30</f>
            </strRef>
          </tx>
          <spPr>
            <a:ln>
              <a:prstDash val="solid"/>
            </a:ln>
          </spPr>
          <cat>
            <numRef>
              <f>'Сравнение'!$D$21:$H$21</f>
            </numRef>
          </cat>
          <val>
            <numRef>
              <f>'Сравнение'!$D$30:$H$30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руб/пог.м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руб/пог.м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'Сравнение'!$D$4:$H$4</f>
            </numRef>
          </cat>
          <val>
            <numRef>
              <f>'Сравнение'!$D$12:$H$12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руб/пог.м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станка,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'Сравнение'!$D$4:$H$4</f>
            </numRef>
          </cat>
          <val>
            <numRef>
              <f>'Сравнение'!$D$5:$H$5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'Аналитика'!$D$7:$H$7</f>
            </numRef>
          </xVal>
          <yVal>
            <numRef>
              <f>'Аналитика'!$D$9:$H$9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объём бурения, тыс.пог.м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руб/пог.м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руб/пог.м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'Аналитика'!$D$4:$H$4</f>
            </numRef>
          </cat>
          <val>
            <numRef>
              <f>'Аналитика'!$D$24:$H$24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'Аналитика'!$D$4:$H$4</f>
            </numRef>
          </cat>
          <val>
            <numRef>
              <f>'Аналитика'!$D$25:$H$25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'Аналитика'!$D$4:$H$4</f>
            </numRef>
          </cat>
          <val>
            <numRef>
              <f>'Аналитика'!$D$26:$H$26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руб/пог.м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руб/пог.м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(РУБ/ПОГ.М) НА ВЛАДЕНИЕ БУРОВЫМИ СТАНКАМИ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буровых станков одного класса по удельному аннуитету затрат (руб/пог.м пробуренной скважины, а также руб/м³ взорванной горной массы) за полный срок эксплуатации. Метрика корректно сопоставляет станки с разной ценой, производительностью и структурой затрат. Лучший вариант — минимум руб/пог.м.</t>
        </is>
      </c>
    </row>
    <row r="6">
      <c r="B6" s="4" t="n"/>
      <c r="C6" s="5" t="inlineStr">
        <is>
          <t>2. ПРОИЗВОДИТЕЛЬНОСТЬ (методика бурения из файла «W час»)</t>
        </is>
      </c>
    </row>
    <row r="7" ht="70" customHeight="1">
      <c r="C7" s="6" t="inlineStr">
        <is>
          <t>Теоретическая скорость бурения = (0,1 × мощность вращателя) / (2,73^(0,017 × крепость породы) × диаметр_заряда²); диаметр заряда = диаметр долота × коэффициент разбура. Время цикла скважины = бурение + продувка + наращивание + подъём става + разбор + переезд. Скважин/смену = смена / время цикла. Часовая производительность (п.м/час) = скважин/смену × средняя глубина / смена. КИО = КТГ × (1 − простои_смены/(60 × смена)); эффективное время = КФВ × КИО. Годовой объём бурения (тыс.пог.м) = часовая × эффективное время; объём взрывания (тыс.м³) = бурение × выход м³/пог.м.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топливо/энергия (эфф.время × расход × цена), ТОиР и сервис (задаются ПО ГОДАМ на листах «Поставщик N» — ТО, текущие и капитальные ремонты; годы капремонтов дают всплеск затрат), буровой инструмент (долота, штанги), расходники, персонал, транспортный налог.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(руб/пог.м) = общий аннуитет / средний годовой объём бурения (пог.м); руб/м³ = руб/пог.м / выход м³ с 1 пог.м.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физика бурения: мощность вращателя, диаметр, скорость СПО; персонал) → листы «Поставщик 1…5»: по каждой машине задаются КТГ, простои и затраты ТОиР по годам, расход ДТ, буровой инструмент — КТГ и ИТОГО ТОиР считаются автоматически.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«Аналитика», «Чувствительность». Правки — в листах «Поставщик N» и «Ввод данных».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Станки сравниваются в одном классе и одной задаче; разница в производительности учтена через руб/пог.м и руб/м³.</t>
        </is>
      </c>
    </row>
    <row r="16">
      <c r="C16" s="6" t="inlineStr">
        <is>
          <t>• Данные примера — «в расчёте» из корпоративного файла 000_БСЛ-2027 (карьер «Сухой Лог»), горизонт 10 лет.</t>
        </is>
      </c>
    </row>
    <row r="17">
      <c r="C17" s="6" t="inlineStr">
        <is>
          <t>• Цена станков в файле поставщика не указана — подставлена ОЦЕНКА, требует уточнения (жёлтые ячейки «Ввод данных»).</t>
        </is>
      </c>
    </row>
    <row r="18" ht="30" customHeight="1">
      <c r="C18" s="6" t="inlineStr">
        <is>
          <t>• Ставка дисконтирования и эскалации должны быть согласованы (номинальные либо реальные).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БУРОВЫХ СТАНКОВ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руб/пог.м</t>
        </is>
      </c>
      <c r="D5" s="11" t="inlineStr">
        <is>
          <t>Мин. NPV владения, тыс.руб</t>
        </is>
      </c>
      <c r="E5" s="11" t="inlineStr">
        <is>
          <t>Разброс аннуитета, руб/пог.м</t>
        </is>
      </c>
    </row>
    <row r="6">
      <c r="B6" s="12" t="str">
        <f>INDEX('Ввод данных'!D7:H7,MATCH(MIN('Расчёт аннуитета'!D30:H30),'Расчёт аннуитета'!D30:H30,0))</f>
        <v>Sunward
SWDRT270SM</v>
      </c>
      <c r="C6" s="13">
        <f>MIN('Расчёт аннуитета'!D30:H30)</f>
        <v>688.682510471345</v>
      </c>
      <c r="D6" s="14">
        <f>MIN('Расчёт аннуитета'!D16:H16)</f>
        <v>436740.3717647285</v>
      </c>
      <c r="E6" s="13">
        <f>MAX('Расчёт аннуитета'!D30:H30)-MIN('Расчёт аннуитета'!D30:H30)</f>
        <v>379.41464928868163</v>
      </c>
    </row>
    <row r="8">
      <c r="B8" s="5" t="inlineStr">
        <is>
          <t>РЕЙТИНГ ПО УДЕЛЬНОМУ АННУИТЕТУ (руб/пог.м)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Буровой станок</t>
        </is>
      </c>
      <c r="D9" s="16" t="n"/>
      <c r="E9" s="16" t="n"/>
      <c r="F9" s="17" t="n"/>
      <c r="G9" s="15" t="inlineStr">
        <is>
          <t>руб/пог.м</t>
        </is>
      </c>
      <c r="H9" s="17" t="n"/>
      <c r="I9" s="15" t="inlineStr">
        <is>
          <t>руб/м³</t>
        </is>
      </c>
    </row>
    <row r="10">
      <c r="B10" s="18" t="n">
        <v>1</v>
      </c>
      <c r="C10" s="19" t="str">
        <f>INDEX('Ввод данных'!D7:H7,MATCH(SMALL('Расчёт аннуитета'!D30:H30,1),'Расчёт аннуитета'!D30:H30,0))</f>
        <v>Sunward
SWDRT270SM</v>
      </c>
      <c r="G10" s="20">
        <f>SMALL('Расчёт аннуитета'!D30:H30,1)</f>
        <v>688.682510471345</v>
      </c>
      <c r="I10" s="21">
        <f>INDEX('Расчёт аннуитета'!$D$32:$H$32,MATCH(SMALL('Расчёт аннуитета'!D30:H30,1),'Расчёт аннуитета'!D30:H30,0))</f>
        <v>13.922622267691196</v>
      </c>
    </row>
    <row r="11">
      <c r="B11" s="18" t="n">
        <v>2</v>
      </c>
      <c r="C11" s="22" t="str">
        <f>INDEX('Ввод данных'!D7:H7,MATCH(SMALL('Расчёт аннуитета'!D30:H30,2),'Расчёт аннуитета'!D30:H30,0))</f>
        <v>Sunward
SWDRT250SM</v>
      </c>
      <c r="G11" s="21">
        <f>SMALL('Расчёт аннуитета'!D30:H30,2)</f>
        <v>719.8472045594854</v>
      </c>
      <c r="I11" s="21">
        <f>INDEX('Расчёт аннуитета'!$D$32:$H$32,MATCH(SMALL('Расчёт аннуитета'!D30:H30,2),'Расчёт аннуитета'!D30:H30,0))</f>
        <v>14.552657526725671</v>
      </c>
    </row>
    <row r="12">
      <c r="B12" s="18" t="n">
        <v>3</v>
      </c>
      <c r="C12" s="22" t="str">
        <f>INDEX('Ввод данных'!D7:H7,MATCH(SMALL('Расчёт аннуитета'!D30:H30,3),'Расчёт аннуитета'!D30:H30,0))</f>
        <v>Sunward
SWDRT270B</v>
      </c>
      <c r="G12" s="21">
        <f>SMALL('Расчёт аннуитета'!D30:H30,3)</f>
        <v>781.8204939030994</v>
      </c>
      <c r="I12" s="21">
        <f>INDEX('Расчёт аннуитета'!$D$32:$H$32,MATCH(SMALL('Расчёт аннуитета'!D30:H30,3),'Расчёт аннуитета'!D30:H30,0))</f>
        <v>15.8055290387769</v>
      </c>
    </row>
    <row r="13">
      <c r="B13" s="18" t="n">
        <v>4</v>
      </c>
      <c r="C13" s="22" t="str">
        <f>INDEX('Ввод данных'!D7:H7,MATCH(SMALL('Расчёт аннуитета'!D30:H30,4),'Расчёт аннуитета'!D30:H30,0))</f>
        <v>HIFO 75D
(аналог DM75)</v>
      </c>
      <c r="G13" s="21">
        <f>SMALL('Расчёт аннуитета'!D30:H30,4)</f>
        <v>951.8080979239384</v>
      </c>
      <c r="I13" s="21">
        <f>INDEX('Расчёт аннуитета'!$D$32:$H$32,MATCH(SMALL('Расчёт аннуитета'!D30:H30,4),'Расчёт аннуитета'!D30:H30,0))</f>
        <v>19.242051913958118</v>
      </c>
    </row>
    <row r="14">
      <c r="B14" s="18" t="n">
        <v>5</v>
      </c>
      <c r="C14" s="22" t="str">
        <f>INDEX('Ввод данных'!D7:H7,MATCH(SMALL('Расчёт аннуитета'!D30:H30,5),'Расчёт аннуитета'!D30:H30,0))</f>
        <v>YANGZI DR75
(аналог Epiroc DM75)</v>
      </c>
      <c r="G14" s="21">
        <f>SMALL('Расчёт аннуитета'!D30:H30,5)</f>
        <v>1068.0971597600267</v>
      </c>
      <c r="I14" s="21">
        <f>INDEX('Расчёт аннуитета'!$D$32:$H$32,MATCH(SMALL('Расчёт аннуитета'!D30:H30,5),'Расчёт аннуитета'!D30:H30,0))</f>
        <v>21.592988168604602</v>
      </c>
    </row>
  </sheetData>
  <mergeCells count="16">
    <mergeCell ref="C13:F13"/>
    <mergeCell ref="C9:F9"/>
    <mergeCell ref="G12:H12"/>
    <mergeCell ref="B1:N1"/>
    <mergeCell ref="C14:F14"/>
    <mergeCell ref="G10:H10"/>
    <mergeCell ref="G11:H11"/>
    <mergeCell ref="C12:F12"/>
    <mergeCell ref="B8:J8"/>
    <mergeCell ref="G14:H14"/>
    <mergeCell ref="B4:J4"/>
    <mergeCell ref="C11:F11"/>
    <mergeCell ref="C10:F10"/>
    <mergeCell ref="G9:H9"/>
    <mergeCell ref="B2:N2"/>
    <mergeCell ref="G13:H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3" customWidth="1" min="3" max="3"/>
    <col width="12" customWidth="1" min="4" max="4"/>
    <col width="54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5.083</v>
      </c>
      <c r="D9" s="24" t="inlineStr">
        <is>
          <t>лет</t>
        </is>
      </c>
      <c r="E9" s="25" t="inlineStr">
        <is>
          <t>Линейная; 61 мес ≈ 5,08 года (как в исходной модели)</t>
        </is>
      </c>
    </row>
    <row r="10">
      <c r="B10" s="22" t="inlineStr">
        <is>
          <t>Цена дизельного топлива</t>
        </is>
      </c>
      <c r="C10" s="28" t="n">
        <v>66.01900000000001</v>
      </c>
      <c r="D10" s="24" t="inlineStr">
        <is>
          <t>тыс.руб/т</t>
        </is>
      </c>
      <c r="E10" s="25" t="inlineStr">
        <is>
          <t>СЛ 2025: 1 274 749,9 тыс.руб / 19 308,86 т</t>
        </is>
      </c>
    </row>
    <row r="11">
      <c r="B11" s="22" t="inlineStr">
        <is>
          <t>Цена электроэнергии</t>
        </is>
      </c>
      <c r="C11" s="28" t="n">
        <v>5.133</v>
      </c>
      <c r="D11" s="24" t="inlineStr">
        <is>
          <t>руб/кВт·ч</t>
        </is>
      </c>
      <c r="E11" s="25" t="inlineStr">
        <is>
          <t>Для электрических станков (СЛ 2025)</t>
        </is>
      </c>
    </row>
    <row r="13">
      <c r="B13" s="5" t="inlineStr">
        <is>
          <t>Эскалация цен (реальный/номинальный рост)</t>
        </is>
      </c>
      <c r="C13" s="4" t="n"/>
      <c r="D13" s="4" t="n"/>
      <c r="E13" s="4" t="n"/>
    </row>
    <row r="14">
      <c r="B14" s="15" t="inlineStr">
        <is>
          <t>Параметр</t>
        </is>
      </c>
      <c r="C14" s="15" t="inlineStr">
        <is>
          <t>Значение</t>
        </is>
      </c>
      <c r="D14" s="15" t="inlineStr">
        <is>
          <t>Ед.</t>
        </is>
      </c>
      <c r="E14" s="15" t="inlineStr">
        <is>
          <t>Комментарий</t>
        </is>
      </c>
    </row>
    <row r="15">
      <c r="B15" s="22" t="inlineStr">
        <is>
          <t>Эскалация цены топлива/энергии</t>
        </is>
      </c>
      <c r="C15" s="23" t="n">
        <v>0</v>
      </c>
      <c r="D15" s="24" t="inlineStr">
        <is>
          <t>%/год</t>
        </is>
      </c>
      <c r="E15" s="25" t="inlineStr">
        <is>
          <t>0 = данные уже с учётом инфляции</t>
        </is>
      </c>
    </row>
    <row r="16">
      <c r="B16" s="22" t="inlineStr">
        <is>
          <t>Эскалация ЗЧ/инструмента/расходников</t>
        </is>
      </c>
      <c r="C16" s="23" t="n">
        <v>0</v>
      </c>
      <c r="D16" s="24" t="inlineStr">
        <is>
          <t>%/год</t>
        </is>
      </c>
      <c r="E16" s="25" t="inlineStr">
        <is>
          <t>ТОиР задаётся по годам напрямую</t>
        </is>
      </c>
    </row>
    <row r="17">
      <c r="B17" s="22" t="inlineStr">
        <is>
          <t>Эскалация оплаты труда</t>
        </is>
      </c>
      <c r="C17" s="23" t="n">
        <v>0</v>
      </c>
      <c r="D17" s="24" t="inlineStr">
        <is>
          <t>%/год</t>
        </is>
      </c>
      <c r="E17" s="25" t="inlineStr">
        <is>
          <t>Рост ФОТ экипажей</t>
        </is>
      </c>
    </row>
    <row r="19">
      <c r="B19" s="5" t="inlineStr">
        <is>
          <t>Курсы валют</t>
        </is>
      </c>
      <c r="C19" s="4" t="n"/>
      <c r="D19" s="4" t="n"/>
      <c r="E19" s="4" t="n"/>
    </row>
    <row r="20">
      <c r="B20" s="15" t="inlineStr">
        <is>
          <t>Параметр</t>
        </is>
      </c>
      <c r="C20" s="15" t="inlineStr">
        <is>
          <t>Значение</t>
        </is>
      </c>
      <c r="D20" s="15" t="inlineStr">
        <is>
          <t>Ед.</t>
        </is>
      </c>
      <c r="E20" s="15" t="inlineStr">
        <is>
          <t>Комментарий</t>
        </is>
      </c>
    </row>
    <row r="21">
      <c r="B21" s="22" t="inlineStr">
        <is>
          <t>Курс юаня (CNY)</t>
        </is>
      </c>
      <c r="C21" s="28" t="n">
        <v>11</v>
      </c>
      <c r="D21" s="24" t="inlineStr">
        <is>
          <t>руб</t>
        </is>
      </c>
      <c r="E21" s="25" t="inlineStr">
        <is>
          <t>Для оборудования из Китая</t>
        </is>
      </c>
    </row>
    <row r="22">
      <c r="B22" s="22" t="inlineStr">
        <is>
          <t>Курс доллара (USD)</t>
        </is>
      </c>
      <c r="C22" s="28" t="n">
        <v>80</v>
      </c>
      <c r="D22" s="24" t="inlineStr">
        <is>
          <t>руб</t>
        </is>
      </c>
      <c r="E22" s="25" t="inlineStr"/>
    </row>
    <row r="23">
      <c r="B23" s="22" t="inlineStr">
        <is>
          <t>Курс евро (EUR)</t>
        </is>
      </c>
      <c r="C23" s="28" t="n">
        <v>90</v>
      </c>
      <c r="D23" s="24" t="inlineStr">
        <is>
          <t>руб</t>
        </is>
      </c>
      <c r="E23" s="25" t="inlineStr"/>
    </row>
    <row r="25">
      <c r="B25" s="5" t="inlineStr">
        <is>
          <t>Параметры производительности (карьер / буровзрывные работы)</t>
        </is>
      </c>
      <c r="C25" s="4" t="n"/>
      <c r="D25" s="4" t="n"/>
      <c r="E25" s="4" t="n"/>
    </row>
    <row r="26">
      <c r="B26" s="15" t="inlineStr">
        <is>
          <t>Параметр</t>
        </is>
      </c>
      <c r="C26" s="15" t="inlineStr">
        <is>
          <t>Значение</t>
        </is>
      </c>
      <c r="D26" s="15" t="inlineStr">
        <is>
          <t>Ед.</t>
        </is>
      </c>
      <c r="E26" s="15" t="inlineStr">
        <is>
          <t>Комментарий</t>
        </is>
      </c>
    </row>
    <row r="27">
      <c r="B27" s="22" t="inlineStr">
        <is>
          <t>Календарный фонд времени</t>
        </is>
      </c>
      <c r="C27" s="26" t="n">
        <v>8760</v>
      </c>
      <c r="D27" s="24" t="inlineStr">
        <is>
          <t>час/год</t>
        </is>
      </c>
      <c r="E27" s="25" t="inlineStr">
        <is>
          <t>24 ч × 365 дн</t>
        </is>
      </c>
    </row>
    <row r="28">
      <c r="B28" s="22" t="inlineStr">
        <is>
          <t>Длительность смены</t>
        </is>
      </c>
      <c r="C28" s="26" t="n">
        <v>12</v>
      </c>
      <c r="D28" s="24" t="inlineStr">
        <is>
          <t>час</t>
        </is>
      </c>
      <c r="E28" s="25" t="inlineStr">
        <is>
          <t>Для пересчёта простоев и производительности</t>
        </is>
      </c>
    </row>
    <row r="29">
      <c r="B29" s="22" t="inlineStr">
        <is>
          <t>Предел прочности породы на сжатие</t>
        </is>
      </c>
      <c r="C29" s="26" t="n">
        <v>130</v>
      </c>
      <c r="D29" s="24" t="inlineStr">
        <is>
          <t>МПа</t>
        </is>
      </c>
      <c r="E29" s="25" t="inlineStr">
        <is>
          <t>Влияет на скорость бурения (крепость f)</t>
        </is>
      </c>
    </row>
    <row r="30">
      <c r="B30" s="22" t="inlineStr">
        <is>
          <t>Коэффициент разбура</t>
        </is>
      </c>
      <c r="C30" s="27" t="n">
        <v>1.05</v>
      </c>
      <c r="D30" s="24" t="inlineStr">
        <is>
          <t>коэф.</t>
        </is>
      </c>
      <c r="E30" s="25" t="inlineStr">
        <is>
          <t>Диаметр заряда = диаметр долота × k_разбура</t>
        </is>
      </c>
    </row>
    <row r="31">
      <c r="B31" s="22" t="inlineStr">
        <is>
          <t>Средняя глубина скважин</t>
        </is>
      </c>
      <c r="C31" s="27" t="n">
        <v>16.16</v>
      </c>
      <c r="D31" s="24" t="inlineStr">
        <is>
          <t>м</t>
        </is>
      </c>
      <c r="E31" s="25" t="inlineStr">
        <is>
          <t>(гл.руда×доля + гл.вскрыша×доля); из «W час»</t>
        </is>
      </c>
    </row>
    <row r="32">
      <c r="B32" s="22" t="inlineStr">
        <is>
          <t>КПД скорости подъёма става</t>
        </is>
      </c>
      <c r="C32" s="27" t="n">
        <v>0.8</v>
      </c>
      <c r="D32" s="24" t="inlineStr">
        <is>
          <t>коэф.</t>
        </is>
      </c>
      <c r="E32" s="25" t="inlineStr">
        <is>
          <t>Фактическая скорость = паспортная × КПД</t>
        </is>
      </c>
    </row>
    <row r="33">
      <c r="B33" s="22" t="inlineStr">
        <is>
          <t>Время продувки скважины</t>
        </is>
      </c>
      <c r="C33" s="29" t="n">
        <v>2</v>
      </c>
      <c r="D33" s="24" t="inlineStr">
        <is>
          <t>мин</t>
        </is>
      </c>
      <c r="E33" s="25" t="inlineStr">
        <is>
          <t>Часть цикла бурения одной скважины</t>
        </is>
      </c>
    </row>
    <row r="34">
      <c r="B34" s="22" t="inlineStr">
        <is>
          <t>Время переезда между скважинами</t>
        </is>
      </c>
      <c r="C34" s="29" t="n">
        <v>2.5</v>
      </c>
      <c r="D34" s="24" t="inlineStr">
        <is>
          <t>мин</t>
        </is>
      </c>
      <c r="E34" s="25" t="inlineStr">
        <is>
          <t>Часть цикла бурения одной скважины</t>
        </is>
      </c>
    </row>
    <row r="35">
      <c r="B35" s="22" t="inlineStr">
        <is>
          <t>Выход горной массы с 1 пог.м скважины</t>
        </is>
      </c>
      <c r="C35" s="28" t="n">
        <v>49.465</v>
      </c>
      <c r="D35" s="24" t="inlineStr">
        <is>
          <t>м³/пог.м</t>
        </is>
      </c>
      <c r="E35" s="25" t="inlineStr">
        <is>
          <t>Для пересчёта руб/пог.м → руб/м³ (сетка БВР)</t>
        </is>
      </c>
    </row>
    <row r="37">
      <c r="B37" s="5" t="inlineStr">
        <is>
          <t>Расчётные финансовые коэффициенты</t>
        </is>
      </c>
      <c r="C37" s="4" t="n"/>
      <c r="D37" s="4" t="n"/>
      <c r="E37" s="4" t="n"/>
    </row>
    <row r="38">
      <c r="B38" s="15" t="inlineStr">
        <is>
          <t>Параметр</t>
        </is>
      </c>
      <c r="C38" s="15" t="inlineStr">
        <is>
          <t>Значение</t>
        </is>
      </c>
      <c r="D38" s="15" t="inlineStr">
        <is>
          <t>Ед.</t>
        </is>
      </c>
      <c r="E38" s="15" t="inlineStr">
        <is>
          <t>Комментарий</t>
        </is>
      </c>
    </row>
    <row r="39">
      <c r="B39" s="22" t="inlineStr">
        <is>
          <t>Коэф. аннуитета Σдиск.факторов (r, N)</t>
        </is>
      </c>
      <c r="C39" s="30">
        <f>IF('Параметры'!C6=0,'Параметры'!C8,(1-(1+'Параметры'!C6)^-'Параметры'!C8)/'Параметры'!C6)</f>
        <v>5.650223028410867</v>
      </c>
      <c r="D39" s="24" t="inlineStr">
        <is>
          <t>коэф.</t>
        </is>
      </c>
      <c r="E39" s="25" t="inlineStr">
        <is>
          <t>Сумма дисконт-факторов за срок службы</t>
        </is>
      </c>
    </row>
    <row r="40">
      <c r="B40" s="22" t="inlineStr">
        <is>
          <t>Коэф. приведённой амортизации</t>
        </is>
      </c>
      <c r="C40" s="30">
        <f>(1/'Параметры'!C9)*((1-(1+'Параметры'!C6)^-INT('Параметры'!C9))/'Параметры'!C6+('Параметры'!C9-INT('Параметры'!C9))*(1+'Параметры'!C6)^-(INT('Параметры'!C9)+1))</f>
        <v>0.7174555548697079</v>
      </c>
      <c r="D40" s="24" t="inlineStr">
        <is>
          <t>коэф.</t>
        </is>
      </c>
      <c r="E40" s="25" t="inlineStr">
        <is>
          <t>Приведённая амортизация на 1 руб. цены (налог. щит)</t>
        </is>
      </c>
    </row>
    <row r="42">
      <c r="B42" s="7" t="inlineStr">
        <is>
          <t>Легенда:</t>
        </is>
      </c>
      <c r="C42" s="8" t="n"/>
      <c r="D42" s="9" t="inlineStr">
        <is>
          <t>— ввод данных</t>
        </is>
      </c>
    </row>
    <row r="43">
      <c r="C43" s="10" t="n"/>
      <c r="D43" s="9" t="inlineStr">
        <is>
          <t>— расчётные показатели</t>
        </is>
      </c>
    </row>
  </sheetData>
  <mergeCells count="9">
    <mergeCell ref="B4:E4"/>
    <mergeCell ref="B2:F2"/>
    <mergeCell ref="D42:E42"/>
    <mergeCell ref="B13:E13"/>
    <mergeCell ref="B37:E37"/>
    <mergeCell ref="D43:E43"/>
    <mergeCell ref="B25:E25"/>
    <mergeCell ref="B19:E19"/>
    <mergeCell ref="B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11" max="11"/>
  </cols>
  <sheetData>
    <row r="1">
      <c r="B1" s="1" t="inlineStr">
        <is>
          <t>ВВОД ИСХОДНЫХ ДАННЫХ ПО БУРОВЫМ СТАНКАМ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5 машин одного класса. Пример: станки класса 250–270 мм (дизель), карьер «Сухой Лог».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Станок 1</t>
        </is>
      </c>
      <c r="E4" s="15" t="inlineStr">
        <is>
          <t>Станок 2</t>
        </is>
      </c>
      <c r="F4" s="15" t="inlineStr">
        <is>
          <t>Станок 3</t>
        </is>
      </c>
      <c r="G4" s="15" t="inlineStr">
        <is>
          <t>Станок 4</t>
        </is>
      </c>
      <c r="H4" s="15" t="inlineStr">
        <is>
          <t>Станок 5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1" t="inlineStr">
        <is>
          <t>YANGZI DR75
(аналог Epiroc DM75)</t>
        </is>
      </c>
      <c r="E7" s="31" t="inlineStr">
        <is>
          <t>Sunward
SWDRT250SM</t>
        </is>
      </c>
      <c r="F7" s="31" t="inlineStr">
        <is>
          <t>Sunward
SWDRT270SM</t>
        </is>
      </c>
      <c r="G7" s="31" t="inlineStr">
        <is>
          <t>Sunward
SWDRT270B</t>
        </is>
      </c>
      <c r="H7" s="31" t="inlineStr">
        <is>
          <t>HIFO 75D
(аналог DM75)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1" t="inlineStr">
        <is>
          <t>Огунвей</t>
        </is>
      </c>
      <c r="E8" s="31" t="inlineStr">
        <is>
          <t>Стройкомпозит-Н</t>
        </is>
      </c>
      <c r="F8" s="31" t="inlineStr">
        <is>
          <t>Стройкомпозит-Н</t>
        </is>
      </c>
      <c r="G8" s="31" t="inlineStr">
        <is>
          <t>Огунвей</t>
        </is>
      </c>
      <c r="H8" s="31" t="inlineStr">
        <is>
          <t>Майнинг Солюшнс</t>
        </is>
      </c>
      <c r="K8" s="25" t="inlineStr"/>
    </row>
    <row r="9">
      <c r="B9" s="22" t="inlineStr">
        <is>
          <t>Двигатель / привод</t>
        </is>
      </c>
      <c r="C9" s="24" t="inlineStr">
        <is>
          <t>—</t>
        </is>
      </c>
      <c r="D9" s="31" t="inlineStr">
        <is>
          <t>Cummins QSK19</t>
        </is>
      </c>
      <c r="E9" s="31" t="inlineStr">
        <is>
          <t>CAT C27</t>
        </is>
      </c>
      <c r="F9" s="31" t="inlineStr">
        <is>
          <t>CAT C27</t>
        </is>
      </c>
      <c r="G9" s="31" t="inlineStr">
        <is>
          <t>CAT C27</t>
        </is>
      </c>
      <c r="H9" s="31" t="inlineStr">
        <is>
          <t>CAT C27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2" t="n">
        <v>1900</v>
      </c>
      <c r="E11" s="32" t="n">
        <v>1400</v>
      </c>
      <c r="F11" s="32" t="n">
        <v>1700</v>
      </c>
      <c r="G11" s="32" t="n">
        <v>1700</v>
      </c>
      <c r="H11" s="32" t="n">
        <v>12000</v>
      </c>
      <c r="K11" s="25" t="inlineStr">
        <is>
          <t>⚠ В файле поставщика цена не указана — ОЦЕНКА, уточнить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1" t="inlineStr">
        <is>
          <t>USD</t>
        </is>
      </c>
      <c r="E12" s="31" t="inlineStr">
        <is>
          <t>USD</t>
        </is>
      </c>
      <c r="F12" s="31" t="inlineStr">
        <is>
          <t>USD</t>
        </is>
      </c>
      <c r="G12" s="31" t="inlineStr">
        <is>
          <t>USD</t>
        </is>
      </c>
      <c r="H12" s="31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33" t="n">
        <v>0</v>
      </c>
      <c r="K14" s="25" t="inlineStr">
        <is>
          <t>Реализация в конце срока (0 = не учитывать)</t>
        </is>
      </c>
    </row>
    <row r="15">
      <c r="B15" s="5" t="inlineStr">
        <is>
          <t>C. ПРОИЗВОДИТЕЛЬНОСТЬ (физика бурения — лист «W час»)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Мощность вращателя (в расчёте)</t>
        </is>
      </c>
      <c r="C16" s="24" t="inlineStr">
        <is>
          <t>кВт</t>
        </is>
      </c>
      <c r="D16" s="34" t="n">
        <v>136</v>
      </c>
      <c r="E16" s="34" t="n">
        <v>148.3</v>
      </c>
      <c r="F16" s="34" t="n">
        <v>173.4</v>
      </c>
      <c r="G16" s="34" t="n">
        <v>173.4</v>
      </c>
      <c r="H16" s="34" t="n">
        <v>136</v>
      </c>
      <c r="K16" s="25" t="inlineStr">
        <is>
          <t>Ключевой драйвер скорости бурения</t>
        </is>
      </c>
    </row>
    <row r="17">
      <c r="B17" s="22" t="inlineStr">
        <is>
          <t>Диаметр долота (в расчёте)</t>
        </is>
      </c>
      <c r="C17" s="24" t="inlineStr">
        <is>
          <t>м</t>
        </is>
      </c>
      <c r="D17" s="35" t="n">
        <v>0.267</v>
      </c>
      <c r="E17" s="35" t="n">
        <v>0.267</v>
      </c>
      <c r="F17" s="35" t="n">
        <v>0.267</v>
      </c>
      <c r="G17" s="35" t="n">
        <v>0.267</v>
      </c>
      <c r="H17" s="35" t="n">
        <v>0.267</v>
      </c>
      <c r="K17" s="25" t="inlineStr">
        <is>
          <t>Диаметр заряда = диаметр × k_разбура</t>
        </is>
      </c>
    </row>
    <row r="18">
      <c r="B18" s="22" t="inlineStr">
        <is>
          <t>Скорость подъёма става</t>
        </is>
      </c>
      <c r="C18" s="24" t="inlineStr">
        <is>
          <t>м/мин</t>
        </is>
      </c>
      <c r="D18" s="34" t="n">
        <v>51.5</v>
      </c>
      <c r="E18" s="34" t="n">
        <v>60</v>
      </c>
      <c r="F18" s="34" t="n">
        <v>45</v>
      </c>
      <c r="G18" s="34" t="n">
        <v>45</v>
      </c>
      <c r="H18" s="34" t="n">
        <v>51.5</v>
      </c>
      <c r="K18" s="25" t="inlineStr">
        <is>
          <t>Влияет на время СПО</t>
        </is>
      </c>
    </row>
    <row r="19">
      <c r="B19" s="22" t="inlineStr">
        <is>
          <t>Время наращивания/разбора става</t>
        </is>
      </c>
      <c r="C19" s="24" t="inlineStr">
        <is>
          <t>мин</t>
        </is>
      </c>
      <c r="D19" s="34" t="n">
        <v>1.5</v>
      </c>
      <c r="E19" s="34" t="n">
        <v>1.5</v>
      </c>
      <c r="F19" s="34" t="n">
        <v>1.5</v>
      </c>
      <c r="G19" s="34" t="n">
        <v>1.5</v>
      </c>
      <c r="H19" s="34" t="n">
        <v>1.5</v>
      </c>
      <c r="K19" s="25" t="inlineStr">
        <is>
          <t>На одну операцию</t>
        </is>
      </c>
    </row>
    <row r="20">
      <c r="B20" s="22" t="inlineStr">
        <is>
          <t>Кол-во операций свинчивания</t>
        </is>
      </c>
      <c r="C20" s="24" t="inlineStr">
        <is>
          <t>ед.</t>
        </is>
      </c>
      <c r="D20" s="32" t="n">
        <v>1</v>
      </c>
      <c r="E20" s="32" t="n">
        <v>1</v>
      </c>
      <c r="F20" s="32" t="n">
        <v>1</v>
      </c>
      <c r="G20" s="32" t="n">
        <v>1</v>
      </c>
      <c r="H20" s="32" t="n">
        <v>1</v>
      </c>
      <c r="K20" s="25" t="inlineStr">
        <is>
          <t>Штанг на скважину − 1</t>
        </is>
      </c>
    </row>
    <row r="21">
      <c r="B21" s="5" t="inlineStr">
        <is>
          <t>D. ПРОЧИЕ ГОДОВЫЕ ЗАТРАТЫ И ПАРАМЕТРЫ</t>
        </is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22" t="inlineStr">
        <is>
          <t>Расходы на персонал (экипаж)</t>
        </is>
      </c>
      <c r="C22" s="24" t="inlineStr">
        <is>
          <t>тыс.руб/год</t>
        </is>
      </c>
      <c r="D22" s="32" t="n">
        <v>15710</v>
      </c>
      <c r="E22" s="32" t="n">
        <v>15710</v>
      </c>
      <c r="F22" s="32" t="n">
        <v>15710</v>
      </c>
      <c r="G22" s="32" t="n">
        <v>15710</v>
      </c>
      <c r="H22" s="32" t="n">
        <v>15710</v>
      </c>
      <c r="K22" s="25" t="inlineStr">
        <is>
          <t>ФОТ+отчисления+прочее на 1 машину</t>
        </is>
      </c>
    </row>
    <row r="23">
      <c r="B23" s="22" t="inlineStr">
        <is>
          <t>Мощность двигателя (транспортный налог)</t>
        </is>
      </c>
      <c r="C23" s="24" t="inlineStr">
        <is>
          <t>л.с.</t>
        </is>
      </c>
      <c r="D23" s="34" t="n">
        <v>800</v>
      </c>
      <c r="E23" s="34" t="n">
        <v>800</v>
      </c>
      <c r="F23" s="34" t="n">
        <v>800</v>
      </c>
      <c r="G23" s="34" t="n">
        <v>800</v>
      </c>
      <c r="H23" s="34" t="n">
        <v>811.6900000000001</v>
      </c>
      <c r="K23" s="25" t="inlineStr">
        <is>
          <t>× ставку налога (руб/л.с.)</t>
        </is>
      </c>
    </row>
    <row r="24">
      <c r="B24" s="36" t="inlineStr">
        <is>
          <t>ℹ  КТГ, простои, затраты на ТОиР (ТО/ТР/капремонты/сервис), удельный расход ДТ, буровой инструмент и расходники задаются ПО ГОДАМ на листах «Поставщик 1…5». Сводка — на листе «Данные по годам».</t>
        </is>
      </c>
    </row>
  </sheetData>
  <mergeCells count="7">
    <mergeCell ref="B1:K1"/>
    <mergeCell ref="B21:K21"/>
    <mergeCell ref="B15:K15"/>
    <mergeCell ref="B6:K6"/>
    <mergeCell ref="B24:K24"/>
    <mergeCell ref="B2:K2"/>
    <mergeCell ref="B10:K10"/>
  </mergeCells>
  <dataValidations count="1">
    <dataValidation sqref="D12:H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34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ДАННЫЕ ПОСТАВЩИКА — ВАРИАНТ 1 (ТО и Ремонты ПО ГОДАМ)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Жёлтое — ввод (данные поставщика/расчёта).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Буровой станок:</t>
        </is>
      </c>
      <c r="E4" s="37" t="str">
        <f>'Ввод данных'!D7</f>
        <v>YANGZI DR75
(аналог Epiroc DM75)</v>
      </c>
    </row>
    <row r="5">
      <c r="B5" s="9" t="inlineStr">
        <is>
          <t>Валюта затрат ТОиР:</t>
        </is>
      </c>
      <c r="D5" s="38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9" t="inlineStr">
        <is>
          <t>Простои на ТО</t>
        </is>
      </c>
      <c r="C8" s="24" t="inlineStr">
        <is>
          <t>ч/год</t>
        </is>
      </c>
      <c r="E8" s="40">
        <f>E20</f>
        <v>172.0</v>
      </c>
      <c r="F8" s="40">
        <f>F20</f>
        <v>196.0</v>
      </c>
      <c r="G8" s="40">
        <f>G20</f>
        <v>172.0</v>
      </c>
      <c r="H8" s="40">
        <f>H20</f>
        <v>196.0</v>
      </c>
      <c r="I8" s="40">
        <f>I20</f>
        <v>172.0</v>
      </c>
      <c r="J8" s="40">
        <f>J20</f>
        <v>196.0</v>
      </c>
      <c r="K8" s="40">
        <f>K20</f>
        <v>196.0</v>
      </c>
      <c r="L8" s="40">
        <f>L20</f>
        <v>172.0</v>
      </c>
      <c r="M8" s="40">
        <f>M20</f>
        <v>196.0</v>
      </c>
      <c r="N8" s="40">
        <f>N20</f>
        <v>172.0</v>
      </c>
    </row>
    <row r="9">
      <c r="B9" s="39" t="inlineStr">
        <is>
          <t>Простои в ремонтах</t>
        </is>
      </c>
      <c r="C9" s="24" t="inlineStr">
        <is>
          <t>ч/год</t>
        </is>
      </c>
      <c r="E9" s="40">
        <f>E21</f>
        <v>200.0</v>
      </c>
      <c r="F9" s="40">
        <f>F21</f>
        <v>300.0</v>
      </c>
      <c r="G9" s="40">
        <f>G21</f>
        <v>200.0</v>
      </c>
      <c r="H9" s="40">
        <f>H21</f>
        <v>300.0</v>
      </c>
      <c r="I9" s="40">
        <f>I21</f>
        <v>600.0</v>
      </c>
      <c r="J9" s="40">
        <f>J21</f>
        <v>300.0</v>
      </c>
      <c r="K9" s="40">
        <f>K21</f>
        <v>900.0</v>
      </c>
      <c r="L9" s="40">
        <f>L21</f>
        <v>300.0</v>
      </c>
      <c r="M9" s="40">
        <f>M21</f>
        <v>200.0</v>
      </c>
      <c r="N9" s="40">
        <f>N21</f>
        <v>900.0</v>
      </c>
    </row>
    <row r="10">
      <c r="B10" s="39" t="inlineStr">
        <is>
          <t>Ежесменный осмотр (20 мин/смену)</t>
        </is>
      </c>
      <c r="C10" s="24" t="inlineStr">
        <is>
          <t>ч/год</t>
        </is>
      </c>
      <c r="E10" s="40">
        <f>('Параметры'!C27-E8-E9)/'Параметры'!C28*20/60</f>
        <v>233.0</v>
      </c>
      <c r="F10" s="40">
        <f>('Параметры'!C27-F8-F9)/'Параметры'!C28*20/60</f>
        <v>229.55555555555554</v>
      </c>
      <c r="G10" s="40">
        <f>('Параметры'!C27-G8-G9)/'Параметры'!C28*20/60</f>
        <v>233.0</v>
      </c>
      <c r="H10" s="40">
        <f>('Параметры'!C27-H8-H9)/'Параметры'!C28*20/60</f>
        <v>229.55555555555554</v>
      </c>
      <c r="I10" s="40">
        <f>('Параметры'!C27-I8-I9)/'Параметры'!C28*20/60</f>
        <v>221.88888888888886</v>
      </c>
      <c r="J10" s="40">
        <f>('Параметры'!C27-J8-J9)/'Параметры'!C28*20/60</f>
        <v>229.55555555555554</v>
      </c>
      <c r="K10" s="40">
        <f>('Параметры'!C27-K8-K9)/'Параметры'!C28*20/60</f>
        <v>212.88888888888886</v>
      </c>
      <c r="L10" s="40">
        <f>('Параметры'!C27-L8-L9)/'Параметры'!C28*20/60</f>
        <v>230.2222222222222</v>
      </c>
      <c r="M10" s="40">
        <f>('Параметры'!C27-M8-M9)/'Параметры'!C28*20/60</f>
        <v>232.33333333333334</v>
      </c>
      <c r="N10" s="40">
        <f>('Параметры'!C27-N8-N9)/'Параметры'!C28*20/60</f>
        <v>213.55555555555554</v>
      </c>
    </row>
    <row r="11">
      <c r="B11" s="39" t="inlineStr">
        <is>
          <t>КТГ (авто) = (8760 − простои)/8760</t>
        </is>
      </c>
      <c r="C11" s="24" t="inlineStr">
        <is>
          <t>коэф.</t>
        </is>
      </c>
      <c r="E11" s="41">
        <f>('Параметры'!C27-E8-E9-E10)/'Параметры'!C27</f>
        <v>0.9309360730593608</v>
      </c>
      <c r="F11" s="41">
        <f>('Параметры'!C27-F8-F9-F10)/'Параметры'!C27</f>
        <v>0.9171740233384069</v>
      </c>
      <c r="G11" s="41">
        <f>('Параметры'!C27-G8-G9-G10)/'Параметры'!C27</f>
        <v>0.9309360730593608</v>
      </c>
      <c r="H11" s="41">
        <f>('Параметры'!C27-H8-H9-H10)/'Параметры'!C27</f>
        <v>0.9171740233384069</v>
      </c>
      <c r="I11" s="41">
        <f>('Параметры'!C27-I8-I9-I10)/'Параметры'!C27</f>
        <v>0.8865423642820903</v>
      </c>
      <c r="J11" s="41">
        <f>('Параметры'!C27-J8-J9-J10)/'Параметры'!C27</f>
        <v>0.9171740233384069</v>
      </c>
      <c r="K11" s="41">
        <f>('Параметры'!C27-K8-K9-K10)/'Параметры'!C27</f>
        <v>0.8505834601725013</v>
      </c>
      <c r="L11" s="41">
        <f>('Параметры'!C27-L8-L9-L10)/'Параметры'!C27</f>
        <v>0.9198376458650431</v>
      </c>
      <c r="M11" s="41">
        <f>('Параметры'!C27-M8-M9-M10)/'Параметры'!C27</f>
        <v>0.9282724505327246</v>
      </c>
      <c r="N11" s="41">
        <f>('Параметры'!C27-N8-N9-N10)/'Параметры'!C27</f>
        <v>0.8532470826991375</v>
      </c>
    </row>
    <row r="12">
      <c r="B12" s="39" t="inlineStr">
        <is>
          <t>Затраты на ТО (ЗЧ+смазочные)</t>
        </is>
      </c>
      <c r="C12" s="24" t="inlineStr">
        <is>
          <t>тыс.вал/г</t>
        </is>
      </c>
      <c r="E12" s="42">
        <f>E22</f>
        <v>70.12</v>
      </c>
      <c r="F12" s="42">
        <f>F22</f>
        <v>72.78</v>
      </c>
      <c r="G12" s="42">
        <f>G22</f>
        <v>70.12</v>
      </c>
      <c r="H12" s="42">
        <f>H22</f>
        <v>72.78</v>
      </c>
      <c r="I12" s="42">
        <f>I22</f>
        <v>70.12</v>
      </c>
      <c r="J12" s="42">
        <f>J22</f>
        <v>72.78</v>
      </c>
      <c r="K12" s="42">
        <f>K22</f>
        <v>72.78</v>
      </c>
      <c r="L12" s="42">
        <f>L22</f>
        <v>70.12</v>
      </c>
      <c r="M12" s="42">
        <f>M22</f>
        <v>72.78</v>
      </c>
      <c r="N12" s="42">
        <f>N22</f>
        <v>70.12</v>
      </c>
    </row>
    <row r="13">
      <c r="B13" s="39" t="inlineStr">
        <is>
          <t>Затраты на текущие ремонты</t>
        </is>
      </c>
      <c r="C13" s="24" t="inlineStr">
        <is>
          <t>тыс.вал/г</t>
        </is>
      </c>
      <c r="E13" s="42">
        <f>E23</f>
        <v>8.5</v>
      </c>
      <c r="F13" s="42">
        <f>F23</f>
        <v>8.5</v>
      </c>
      <c r="G13" s="42">
        <f>G23</f>
        <v>8.5</v>
      </c>
      <c r="H13" s="42">
        <f>H23</f>
        <v>8.5</v>
      </c>
      <c r="I13" s="42">
        <f>I23</f>
        <v>8.5</v>
      </c>
      <c r="J13" s="42">
        <f>J23</f>
        <v>8.5</v>
      </c>
      <c r="K13" s="42">
        <f>K23</f>
        <v>8.5</v>
      </c>
      <c r="L13" s="42">
        <f>L23</f>
        <v>8.5</v>
      </c>
      <c r="M13" s="42">
        <f>M23</f>
        <v>8.5</v>
      </c>
      <c r="N13" s="42">
        <f>N23</f>
        <v>8.5</v>
      </c>
    </row>
    <row r="14">
      <c r="B14" s="39" t="inlineStr">
        <is>
          <t>Затраты на капитальные/ППР ремонты</t>
        </is>
      </c>
      <c r="C14" s="24" t="inlineStr">
        <is>
          <t>тыс.вал/г</t>
        </is>
      </c>
      <c r="E14" s="42">
        <f>E24</f>
        <v>76.2</v>
      </c>
      <c r="F14" s="42">
        <f>F24</f>
        <v>217.8</v>
      </c>
      <c r="G14" s="42">
        <f>G24</f>
        <v>316.8</v>
      </c>
      <c r="H14" s="42">
        <f>H24</f>
        <v>242.8</v>
      </c>
      <c r="I14" s="42">
        <f>I24</f>
        <v>145.7</v>
      </c>
      <c r="J14" s="42">
        <f>J24</f>
        <v>349.3</v>
      </c>
      <c r="K14" s="42">
        <f>K24</f>
        <v>182.3</v>
      </c>
      <c r="L14" s="42">
        <f>L24</f>
        <v>297.3</v>
      </c>
      <c r="M14" s="42">
        <f>M24</f>
        <v>270.7</v>
      </c>
      <c r="N14" s="42">
        <f>N24</f>
        <v>244.8</v>
      </c>
    </row>
    <row r="15">
      <c r="B15" s="39" t="inlineStr">
        <is>
          <t>Сервис (трудозатраты) — ТО</t>
        </is>
      </c>
      <c r="C15" s="24" t="inlineStr">
        <is>
          <t>тыс.вал/г</t>
        </is>
      </c>
      <c r="E15" s="42">
        <f>E25</f>
        <v>12.04</v>
      </c>
      <c r="F15" s="42">
        <f>F25</f>
        <v>13.72</v>
      </c>
      <c r="G15" s="42">
        <f>G25</f>
        <v>12.04</v>
      </c>
      <c r="H15" s="42">
        <f>H25</f>
        <v>13.72</v>
      </c>
      <c r="I15" s="42">
        <f>I25</f>
        <v>12.04</v>
      </c>
      <c r="J15" s="42">
        <f>J25</f>
        <v>13.72</v>
      </c>
      <c r="K15" s="42">
        <f>K25</f>
        <v>13.72</v>
      </c>
      <c r="L15" s="42">
        <f>L25</f>
        <v>12.04</v>
      </c>
      <c r="M15" s="42">
        <f>M25</f>
        <v>13.72</v>
      </c>
      <c r="N15" s="42">
        <f>N25</f>
        <v>12.04</v>
      </c>
    </row>
    <row r="16">
      <c r="B16" s="39" t="inlineStr">
        <is>
          <t>Сервис (трудозатраты) — ремонты</t>
        </is>
      </c>
      <c r="C16" s="24" t="inlineStr">
        <is>
          <t>тыс.вал/г</t>
        </is>
      </c>
      <c r="E16" s="42">
        <f>E26</f>
        <v>14.0</v>
      </c>
      <c r="F16" s="42">
        <f>F26</f>
        <v>21.0</v>
      </c>
      <c r="G16" s="42">
        <f>G26</f>
        <v>14.0</v>
      </c>
      <c r="H16" s="42">
        <f>H26</f>
        <v>21.0</v>
      </c>
      <c r="I16" s="42">
        <f>I26</f>
        <v>56.0</v>
      </c>
      <c r="J16" s="42">
        <f>J26</f>
        <v>21.0</v>
      </c>
      <c r="K16" s="42">
        <f>K26</f>
        <v>63.0</v>
      </c>
      <c r="L16" s="42">
        <f>L26</f>
        <v>21.0</v>
      </c>
      <c r="M16" s="42">
        <f>M26</f>
        <v>14.0</v>
      </c>
      <c r="N16" s="42">
        <f>N26</f>
        <v>63.0</v>
      </c>
    </row>
    <row r="17">
      <c r="B17" s="39" t="inlineStr">
        <is>
          <t>ИТОГО ТОиР → «Данные по годам»</t>
        </is>
      </c>
      <c r="C17" s="24" t="inlineStr">
        <is>
          <t>тыс.вал/г</t>
        </is>
      </c>
      <c r="E17" s="42">
        <f>E12+E13+E14+E15+E16</f>
        <v>180.85999999999999</v>
      </c>
      <c r="F17" s="42">
        <f>F12+F13+F14+F15+F16</f>
        <v>333.80000000000007</v>
      </c>
      <c r="G17" s="42">
        <f>G12+G13+G14+G15+G16</f>
        <v>421.46000000000004</v>
      </c>
      <c r="H17" s="42">
        <f>H12+H13+H14+H15+H16</f>
        <v>358.80000000000007</v>
      </c>
      <c r="I17" s="42">
        <f>I12+I13+I14+I15+I16</f>
        <v>292.36</v>
      </c>
      <c r="J17" s="42">
        <f>J12+J13+J14+J15+J16</f>
        <v>465.30000000000007</v>
      </c>
      <c r="K17" s="42">
        <f>K12+K13+K14+K15+K16</f>
        <v>340.30000000000007</v>
      </c>
      <c r="L17" s="42">
        <f>L12+L13+L14+L15+L16</f>
        <v>408.96000000000004</v>
      </c>
      <c r="M17" s="42">
        <f>M12+M13+M14+M15+M16</f>
        <v>379.70000000000005</v>
      </c>
      <c r="N17" s="42">
        <f>N12+N13+N14+N15+N16</f>
        <v>398.46000000000004</v>
      </c>
    </row>
    <row r="18">
      <c r="B18" s="22" t="inlineStr">
        <is>
          <t>Удельный расход ДТ / энергии</t>
        </is>
      </c>
      <c r="C18" s="24" t="inlineStr">
        <is>
          <t>кг(кВт)/час</t>
        </is>
      </c>
      <c r="E18" s="34" t="n">
        <v>66.3</v>
      </c>
      <c r="F18" s="34" t="n">
        <v>66.3</v>
      </c>
      <c r="G18" s="34" t="n">
        <v>66.3</v>
      </c>
      <c r="H18" s="34" t="n">
        <v>66.3</v>
      </c>
      <c r="I18" s="34" t="n">
        <v>66.3</v>
      </c>
      <c r="J18" s="34" t="n">
        <v>66.3</v>
      </c>
      <c r="K18" s="34" t="n">
        <v>66.3</v>
      </c>
      <c r="L18" s="34" t="n">
        <v>66.3</v>
      </c>
      <c r="M18" s="34" t="n">
        <v>66.3</v>
      </c>
      <c r="N18" s="34" t="n">
        <v>66.3</v>
      </c>
    </row>
    <row r="19">
      <c r="B19" s="5" t="inlineStr">
        <is>
          <t>ВВОД ДАННЫХ ПОСТАВЩИКА ПО ГОДАМ (жёлтое)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Простои на ТО</t>
        </is>
      </c>
      <c r="C20" s="24" t="inlineStr">
        <is>
          <t>ч/год</t>
        </is>
      </c>
      <c r="E20" s="32" t="n">
        <v>172</v>
      </c>
      <c r="F20" s="32" t="n">
        <v>196</v>
      </c>
      <c r="G20" s="32" t="n">
        <v>172</v>
      </c>
      <c r="H20" s="32" t="n">
        <v>196</v>
      </c>
      <c r="I20" s="32" t="n">
        <v>172</v>
      </c>
      <c r="J20" s="32" t="n">
        <v>196</v>
      </c>
      <c r="K20" s="32" t="n">
        <v>196</v>
      </c>
      <c r="L20" s="32" t="n">
        <v>172</v>
      </c>
      <c r="M20" s="32" t="n">
        <v>196</v>
      </c>
      <c r="N20" s="32" t="n">
        <v>172</v>
      </c>
    </row>
    <row r="21">
      <c r="B21" s="22" t="inlineStr">
        <is>
          <t>Простои в ремонтах</t>
        </is>
      </c>
      <c r="C21" s="24" t="inlineStr">
        <is>
          <t>ч/год</t>
        </is>
      </c>
      <c r="E21" s="32" t="n">
        <v>200</v>
      </c>
      <c r="F21" s="32" t="n">
        <v>300</v>
      </c>
      <c r="G21" s="32" t="n">
        <v>200</v>
      </c>
      <c r="H21" s="32" t="n">
        <v>300</v>
      </c>
      <c r="I21" s="32" t="n">
        <v>600</v>
      </c>
      <c r="J21" s="32" t="n">
        <v>300</v>
      </c>
      <c r="K21" s="32" t="n">
        <v>900</v>
      </c>
      <c r="L21" s="32" t="n">
        <v>300</v>
      </c>
      <c r="M21" s="32" t="n">
        <v>200</v>
      </c>
      <c r="N21" s="32" t="n">
        <v>900</v>
      </c>
    </row>
    <row r="22">
      <c r="B22" s="22" t="inlineStr">
        <is>
          <t>Затраты на ТО (ЗЧ+смазочные)</t>
        </is>
      </c>
      <c r="C22" s="24" t="inlineStr">
        <is>
          <t>тыс.вал/г</t>
        </is>
      </c>
      <c r="E22" s="43" t="n">
        <v>70.12</v>
      </c>
      <c r="F22" s="43" t="n">
        <v>72.78</v>
      </c>
      <c r="G22" s="43" t="n">
        <v>70.12</v>
      </c>
      <c r="H22" s="43" t="n">
        <v>72.78</v>
      </c>
      <c r="I22" s="43" t="n">
        <v>70.12</v>
      </c>
      <c r="J22" s="43" t="n">
        <v>72.78</v>
      </c>
      <c r="K22" s="43" t="n">
        <v>72.78</v>
      </c>
      <c r="L22" s="43" t="n">
        <v>70.12</v>
      </c>
      <c r="M22" s="43" t="n">
        <v>72.78</v>
      </c>
      <c r="N22" s="43" t="n">
        <v>70.12</v>
      </c>
    </row>
    <row r="23">
      <c r="B23" s="22" t="inlineStr">
        <is>
          <t>Затраты на текущие ремонты</t>
        </is>
      </c>
      <c r="C23" s="24" t="inlineStr">
        <is>
          <t>тыс.вал/г</t>
        </is>
      </c>
      <c r="E23" s="43" t="n">
        <v>8.5</v>
      </c>
      <c r="F23" s="43" t="n">
        <v>8.5</v>
      </c>
      <c r="G23" s="43" t="n">
        <v>8.5</v>
      </c>
      <c r="H23" s="43" t="n">
        <v>8.5</v>
      </c>
      <c r="I23" s="43" t="n">
        <v>8.5</v>
      </c>
      <c r="J23" s="43" t="n">
        <v>8.5</v>
      </c>
      <c r="K23" s="43" t="n">
        <v>8.5</v>
      </c>
      <c r="L23" s="43" t="n">
        <v>8.5</v>
      </c>
      <c r="M23" s="43" t="n">
        <v>8.5</v>
      </c>
      <c r="N23" s="43" t="n">
        <v>8.5</v>
      </c>
    </row>
    <row r="24">
      <c r="B24" s="22" t="inlineStr">
        <is>
          <t>Затраты на капитальные/ППР ремонты</t>
        </is>
      </c>
      <c r="C24" s="24" t="inlineStr">
        <is>
          <t>тыс.вал/г</t>
        </is>
      </c>
      <c r="E24" s="43" t="n">
        <v>76.2</v>
      </c>
      <c r="F24" s="43" t="n">
        <v>217.8</v>
      </c>
      <c r="G24" s="43" t="n">
        <v>316.8</v>
      </c>
      <c r="H24" s="43" t="n">
        <v>242.8</v>
      </c>
      <c r="I24" s="43" t="n">
        <v>145.7</v>
      </c>
      <c r="J24" s="43" t="n">
        <v>349.3</v>
      </c>
      <c r="K24" s="43" t="n">
        <v>182.3</v>
      </c>
      <c r="L24" s="43" t="n">
        <v>297.3</v>
      </c>
      <c r="M24" s="43" t="n">
        <v>270.7</v>
      </c>
      <c r="N24" s="43" t="n">
        <v>244.8</v>
      </c>
    </row>
    <row r="25">
      <c r="B25" s="22" t="inlineStr">
        <is>
          <t>Сервис (трудозатраты) — ТО</t>
        </is>
      </c>
      <c r="C25" s="24" t="inlineStr">
        <is>
          <t>тыс.вал/г</t>
        </is>
      </c>
      <c r="E25" s="43" t="n">
        <v>12.04</v>
      </c>
      <c r="F25" s="43" t="n">
        <v>13.72</v>
      </c>
      <c r="G25" s="43" t="n">
        <v>12.04</v>
      </c>
      <c r="H25" s="43" t="n">
        <v>13.72</v>
      </c>
      <c r="I25" s="43" t="n">
        <v>12.04</v>
      </c>
      <c r="J25" s="43" t="n">
        <v>13.72</v>
      </c>
      <c r="K25" s="43" t="n">
        <v>13.72</v>
      </c>
      <c r="L25" s="43" t="n">
        <v>12.04</v>
      </c>
      <c r="M25" s="43" t="n">
        <v>13.72</v>
      </c>
      <c r="N25" s="43" t="n">
        <v>12.04</v>
      </c>
    </row>
    <row r="26">
      <c r="B26" s="22" t="inlineStr">
        <is>
          <t>Сервис (трудозатраты) — ремонты</t>
        </is>
      </c>
      <c r="C26" s="24" t="inlineStr">
        <is>
          <t>тыс.вал/г</t>
        </is>
      </c>
      <c r="E26" s="43" t="n">
        <v>14</v>
      </c>
      <c r="F26" s="43" t="n">
        <v>21</v>
      </c>
      <c r="G26" s="43" t="n">
        <v>14</v>
      </c>
      <c r="H26" s="43" t="n">
        <v>21</v>
      </c>
      <c r="I26" s="43" t="n">
        <v>56</v>
      </c>
      <c r="J26" s="43" t="n">
        <v>21</v>
      </c>
      <c r="K26" s="43" t="n">
        <v>63</v>
      </c>
      <c r="L26" s="43" t="n">
        <v>21</v>
      </c>
      <c r="M26" s="43" t="n">
        <v>14</v>
      </c>
      <c r="N26" s="43" t="n">
        <v>63</v>
      </c>
    </row>
    <row r="28">
      <c r="B28" s="5" t="inlineStr">
        <is>
          <t>БУРОВОЙ ИНСТРУМЕНТ И РАСХОДНИКИ (удельные нормы)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B29" s="15" t="inlineStr">
        <is>
          <t>Позиция</t>
        </is>
      </c>
      <c r="C29" s="15" t="inlineStr">
        <is>
          <t>ед.</t>
        </is>
      </c>
      <c r="D29" s="15" t="inlineStr">
        <is>
          <t>норма</t>
        </is>
      </c>
      <c r="E29" s="15" t="inlineStr">
        <is>
          <t>цена, тыс.вал/шт</t>
        </is>
      </c>
    </row>
    <row r="30">
      <c r="B30" s="22" t="inlineStr">
        <is>
          <t>Долота</t>
        </is>
      </c>
      <c r="C30" s="24" t="inlineStr">
        <is>
          <t>шт./тыс.пог.м</t>
        </is>
      </c>
      <c r="D30" s="44" t="n">
        <v>1.07</v>
      </c>
      <c r="E30" s="45" t="n">
        <v>1.6</v>
      </c>
    </row>
    <row r="31">
      <c r="B31" s="22" t="inlineStr">
        <is>
          <t>Штанги буровые / адаптеры</t>
        </is>
      </c>
      <c r="C31" s="24" t="inlineStr">
        <is>
          <t>шт./тыс.пог.м</t>
        </is>
      </c>
      <c r="D31" s="44" t="n">
        <v>1</v>
      </c>
      <c r="E31" s="45" t="n">
        <v>4</v>
      </c>
    </row>
    <row r="32">
      <c r="B32" s="22" t="inlineStr">
        <is>
          <t>Прочие расходники</t>
        </is>
      </c>
      <c r="C32" s="24" t="inlineStr">
        <is>
          <t>руб/пог.м</t>
        </is>
      </c>
      <c r="D32" s="45" t="n">
        <v>0</v>
      </c>
    </row>
    <row r="34">
      <c r="B34" s="46" t="inlineStr">
        <is>
          <t>Все затраты ТОиР — ПО ГОДАМ, в валюте (см. ячейку «Валюта затрат ТОиР»); пересчёт в рубли — в «Денежном потоке» по курсу с листа «Параметры». Данные примера — «в расчёте» из корпоративного файла 000_БСЛ-2027 (карьер «Сухой Лог»). «Рваный» график капремонтов по годам корректно учитывается дисконтированием. Буровой инструмент и расходники заполняются удельными нормами (на тыс.пог.м / на пог.м) — для инструмента у ряда станков данные поставщика отсутствуют (0) — уточните.</t>
        </is>
      </c>
    </row>
  </sheetData>
  <mergeCells count="7">
    <mergeCell ref="B1:N1"/>
    <mergeCell ref="E4:N4"/>
    <mergeCell ref="B19:N19"/>
    <mergeCell ref="B7:N7"/>
    <mergeCell ref="B2:N2"/>
    <mergeCell ref="B34:N34"/>
    <mergeCell ref="B28:N28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34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ДАННЫЕ ПОСТАВЩИКА — ВАРИАНТ 2 (ТО и Ремонты ПО ГОДАМ)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Жёлтое — ввод (данные поставщика/расчёта).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Буровой станок:</t>
        </is>
      </c>
      <c r="E4" s="37" t="str">
        <f>'Ввод данных'!E7</f>
        <v>Sunward
SWDRT250SM</v>
      </c>
    </row>
    <row r="5">
      <c r="B5" s="9" t="inlineStr">
        <is>
          <t>Валюта затрат ТОиР:</t>
        </is>
      </c>
      <c r="D5" s="38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9" t="inlineStr">
        <is>
          <t>Простои на ТО</t>
        </is>
      </c>
      <c r="C8" s="24" t="inlineStr">
        <is>
          <t>ч/год</t>
        </is>
      </c>
      <c r="E8" s="40">
        <f>E20</f>
        <v>272.0</v>
      </c>
      <c r="F8" s="40">
        <f>F20</f>
        <v>272.0</v>
      </c>
      <c r="G8" s="40">
        <f>G20</f>
        <v>272.0</v>
      </c>
      <c r="H8" s="40">
        <f>H20</f>
        <v>272.0</v>
      </c>
      <c r="I8" s="40">
        <f>I20</f>
        <v>272.0</v>
      </c>
      <c r="J8" s="40">
        <f>J20</f>
        <v>272.0</v>
      </c>
      <c r="K8" s="40">
        <f>K20</f>
        <v>272.0</v>
      </c>
      <c r="L8" s="40">
        <f>L20</f>
        <v>272.0</v>
      </c>
      <c r="M8" s="40">
        <f>M20</f>
        <v>272.0</v>
      </c>
      <c r="N8" s="40">
        <f>N20</f>
        <v>272.0</v>
      </c>
    </row>
    <row r="9">
      <c r="B9" s="39" t="inlineStr">
        <is>
          <t>Простои в ремонтах</t>
        </is>
      </c>
      <c r="C9" s="24" t="inlineStr">
        <is>
          <t>ч/год</t>
        </is>
      </c>
      <c r="E9" s="40">
        <f>E21</f>
        <v>425.645</v>
      </c>
      <c r="F9" s="40">
        <f>F21</f>
        <v>690.645</v>
      </c>
      <c r="G9" s="40">
        <f>G21</f>
        <v>870.645</v>
      </c>
      <c r="H9" s="40">
        <f>H21</f>
        <v>605.645</v>
      </c>
      <c r="I9" s="40">
        <f>I21</f>
        <v>690.645</v>
      </c>
      <c r="J9" s="40">
        <f>J21</f>
        <v>890.645</v>
      </c>
      <c r="K9" s="40">
        <f>K21</f>
        <v>720.645</v>
      </c>
      <c r="L9" s="40">
        <f>L21</f>
        <v>690.645</v>
      </c>
      <c r="M9" s="40">
        <f>M21</f>
        <v>830.645</v>
      </c>
      <c r="N9" s="40">
        <f>N21</f>
        <v>790.645</v>
      </c>
    </row>
    <row r="10">
      <c r="B10" s="39" t="inlineStr">
        <is>
          <t>Ежесменный осмотр (20 мин/смену)</t>
        </is>
      </c>
      <c r="C10" s="24" t="inlineStr">
        <is>
          <t>ч/год</t>
        </is>
      </c>
      <c r="E10" s="40">
        <f>('Параметры'!C27-E8-E9)/'Параметры'!C28*20/60</f>
        <v>223.95430555555552</v>
      </c>
      <c r="F10" s="40">
        <f>('Параметры'!C27-F8-F9)/'Параметры'!C28*20/60</f>
        <v>216.59319444444446</v>
      </c>
      <c r="G10" s="40">
        <f>('Параметры'!C27-G8-G9)/'Параметры'!C28*20/60</f>
        <v>211.59319444444446</v>
      </c>
      <c r="H10" s="40">
        <f>('Параметры'!C27-H8-H9)/'Параметры'!C28*20/60</f>
        <v>218.95430555555552</v>
      </c>
      <c r="I10" s="40">
        <f>('Параметры'!C27-I8-I9)/'Параметры'!C28*20/60</f>
        <v>216.59319444444446</v>
      </c>
      <c r="J10" s="40">
        <f>('Параметры'!C27-J8-J9)/'Параметры'!C28*20/60</f>
        <v>211.03763888888886</v>
      </c>
      <c r="K10" s="40">
        <f>('Параметры'!C27-K8-K9)/'Параметры'!C28*20/60</f>
        <v>215.75986111111112</v>
      </c>
      <c r="L10" s="40">
        <f>('Параметры'!C27-L8-L9)/'Параметры'!C28*20/60</f>
        <v>216.59319444444446</v>
      </c>
      <c r="M10" s="40">
        <f>('Параметры'!C27-M8-M9)/'Параметры'!C28*20/60</f>
        <v>212.70430555555552</v>
      </c>
      <c r="N10" s="40">
        <f>('Параметры'!C27-N8-N9)/'Параметры'!C28*20/60</f>
        <v>213.81541666666666</v>
      </c>
    </row>
    <row r="11">
      <c r="B11" s="39" t="inlineStr">
        <is>
          <t>КТГ (авто) = (8760 − простои)/8760</t>
        </is>
      </c>
      <c r="C11" s="24" t="inlineStr">
        <is>
          <t>коэф.</t>
        </is>
      </c>
      <c r="E11" s="41">
        <f>('Параметры'!C27-E8-E9-E10)/'Параметры'!C27</f>
        <v>0.894794599822425</v>
      </c>
      <c r="F11" s="41">
        <f>('Параметры'!C27-F8-F9-F10)/'Параметры'!C27</f>
        <v>0.8653837677574835</v>
      </c>
      <c r="G11" s="41">
        <f>('Параметры'!C27-G8-G9-G10)/'Параметры'!C27</f>
        <v>0.8454065988077117</v>
      </c>
      <c r="H11" s="41">
        <f>('Параметры'!C27-H8-H9-H10)/'Параметры'!C27</f>
        <v>0.8748174308726534</v>
      </c>
      <c r="I11" s="41">
        <f>('Параметры'!C27-I8-I9-I10)/'Параметры'!C27</f>
        <v>0.8653837677574835</v>
      </c>
      <c r="J11" s="41">
        <f>('Параметры'!C27-J8-J9-J10)/'Параметры'!C27</f>
        <v>0.8431869133688482</v>
      </c>
      <c r="K11" s="41">
        <f>('Параметры'!C27-K8-K9-K10)/'Параметры'!C27</f>
        <v>0.8620542395991883</v>
      </c>
      <c r="L11" s="41">
        <f>('Параметры'!C27-L8-L9-L10)/'Параметры'!C27</f>
        <v>0.8653837677574835</v>
      </c>
      <c r="M11" s="41">
        <f>('Параметры'!C27-M8-M9-M10)/'Параметры'!C27</f>
        <v>0.8498459696854388</v>
      </c>
      <c r="N11" s="41">
        <f>('Параметры'!C27-N8-N9-N10)/'Параметры'!C27</f>
        <v>0.8542853405631659</v>
      </c>
    </row>
    <row r="12">
      <c r="B12" s="39" t="inlineStr">
        <is>
          <t>Затраты на ТО (ЗЧ+смазочные)</t>
        </is>
      </c>
      <c r="C12" s="24" t="inlineStr">
        <is>
          <t>тыс.вал/г</t>
        </is>
      </c>
      <c r="E12" s="42">
        <f>E22</f>
        <v>300.6209</v>
      </c>
      <c r="F12" s="42">
        <f>F22</f>
        <v>300.6209</v>
      </c>
      <c r="G12" s="42">
        <f>G22</f>
        <v>300.6209</v>
      </c>
      <c r="H12" s="42">
        <f>H22</f>
        <v>300.6209</v>
      </c>
      <c r="I12" s="42">
        <f>I22</f>
        <v>300.6209</v>
      </c>
      <c r="J12" s="42">
        <f>J22</f>
        <v>300.6209</v>
      </c>
      <c r="K12" s="42">
        <f>K22</f>
        <v>300.6209</v>
      </c>
      <c r="L12" s="42">
        <f>L22</f>
        <v>300.6209</v>
      </c>
      <c r="M12" s="42">
        <f>M22</f>
        <v>300.6209</v>
      </c>
      <c r="N12" s="42">
        <f>N22</f>
        <v>300.6209</v>
      </c>
    </row>
    <row r="13">
      <c r="B13" s="39" t="inlineStr">
        <is>
          <t>Затраты на текущие ремонты</t>
        </is>
      </c>
      <c r="C13" s="24" t="inlineStr">
        <is>
          <t>тыс.вал/г</t>
        </is>
      </c>
      <c r="E13" s="42">
        <f>E23</f>
        <v>53.174</v>
      </c>
      <c r="F13" s="42">
        <f>F23</f>
        <v>53.174</v>
      </c>
      <c r="G13" s="42">
        <f>G23</f>
        <v>53.174</v>
      </c>
      <c r="H13" s="42">
        <f>H23</f>
        <v>53.174</v>
      </c>
      <c r="I13" s="42">
        <f>I23</f>
        <v>53.174</v>
      </c>
      <c r="J13" s="42">
        <f>J23</f>
        <v>53.174</v>
      </c>
      <c r="K13" s="42">
        <f>K23</f>
        <v>53.174</v>
      </c>
      <c r="L13" s="42">
        <f>L23</f>
        <v>53.174</v>
      </c>
      <c r="M13" s="42">
        <f>M23</f>
        <v>53.174</v>
      </c>
      <c r="N13" s="42">
        <f>N23</f>
        <v>53.174</v>
      </c>
    </row>
    <row r="14">
      <c r="B14" s="39" t="inlineStr">
        <is>
          <t>Затраты на капитальные/ППР ремонты</t>
        </is>
      </c>
      <c r="C14" s="24" t="inlineStr">
        <is>
          <t>тыс.вал/г</t>
        </is>
      </c>
      <c r="E14" s="42">
        <f>E24</f>
        <v>35.9588</v>
      </c>
      <c r="F14" s="42">
        <f>F24</f>
        <v>301.9387</v>
      </c>
      <c r="G14" s="42">
        <f>G24</f>
        <v>327.7334</v>
      </c>
      <c r="H14" s="42">
        <f>H24</f>
        <v>133.0825</v>
      </c>
      <c r="I14" s="42">
        <f>I24</f>
        <v>264.4417</v>
      </c>
      <c r="J14" s="42">
        <f>J24</f>
        <v>365.2304</v>
      </c>
      <c r="K14" s="42">
        <f>K24</f>
        <v>95.5855</v>
      </c>
      <c r="L14" s="42">
        <f>L24</f>
        <v>307.3168</v>
      </c>
      <c r="M14" s="42">
        <f>M24</f>
        <v>268.1067</v>
      </c>
      <c r="N14" s="42">
        <f>N24</f>
        <v>133.0825</v>
      </c>
    </row>
    <row r="15">
      <c r="B15" s="39" t="inlineStr">
        <is>
          <t>Сервис (трудозатраты) — ТО</t>
        </is>
      </c>
      <c r="C15" s="24" t="inlineStr">
        <is>
          <t>тыс.вал/г</t>
        </is>
      </c>
      <c r="E15" s="42">
        <f>E25</f>
        <v>19.04</v>
      </c>
      <c r="F15" s="42">
        <f>F25</f>
        <v>19.04</v>
      </c>
      <c r="G15" s="42">
        <f>G25</f>
        <v>19.04</v>
      </c>
      <c r="H15" s="42">
        <f>H25</f>
        <v>19.04</v>
      </c>
      <c r="I15" s="42">
        <f>I25</f>
        <v>19.04</v>
      </c>
      <c r="J15" s="42">
        <f>J25</f>
        <v>19.04</v>
      </c>
      <c r="K15" s="42">
        <f>K25</f>
        <v>19.04</v>
      </c>
      <c r="L15" s="42">
        <f>L25</f>
        <v>19.04</v>
      </c>
      <c r="M15" s="42">
        <f>M25</f>
        <v>19.04</v>
      </c>
      <c r="N15" s="42">
        <f>N25</f>
        <v>19.04</v>
      </c>
    </row>
    <row r="16">
      <c r="B16" s="39" t="inlineStr">
        <is>
          <t>Сервис (трудозатраты) — ремонты</t>
        </is>
      </c>
      <c r="C16" s="24" t="inlineStr">
        <is>
          <t>тыс.вал/г</t>
        </is>
      </c>
      <c r="E16" s="42">
        <f>E26</f>
        <v>12.0852</v>
      </c>
      <c r="F16" s="42">
        <f>F26</f>
        <v>40.6452</v>
      </c>
      <c r="G16" s="42">
        <f>G26</f>
        <v>43.4451</v>
      </c>
      <c r="H16" s="42">
        <f>H26</f>
        <v>30.1563</v>
      </c>
      <c r="I16" s="42">
        <f>I26</f>
        <v>37.1452</v>
      </c>
      <c r="J16" s="42">
        <f>J26</f>
        <v>46.9451</v>
      </c>
      <c r="K16" s="42">
        <f>K26</f>
        <v>30.9263</v>
      </c>
      <c r="L16" s="42">
        <f>L26</f>
        <v>39.3152</v>
      </c>
      <c r="M16" s="42">
        <f>M26</f>
        <v>40.9252</v>
      </c>
      <c r="N16" s="42">
        <f>N26</f>
        <v>30.1563</v>
      </c>
    </row>
    <row r="17">
      <c r="B17" s="39" t="inlineStr">
        <is>
          <t>ИТОГО ТОиР → «Данные по годам»</t>
        </is>
      </c>
      <c r="C17" s="24" t="inlineStr">
        <is>
          <t>тыс.вал/г</t>
        </is>
      </c>
      <c r="E17" s="42">
        <f>E12+E13+E14+E15+E16</f>
        <v>420.8789</v>
      </c>
      <c r="F17" s="42">
        <f>F12+F13+F14+F15+F16</f>
        <v>715.4188</v>
      </c>
      <c r="G17" s="42">
        <f>G12+G13+G14+G15+G16</f>
        <v>744.0133999999999</v>
      </c>
      <c r="H17" s="42">
        <f>H12+H13+H14+H15+H16</f>
        <v>536.0737</v>
      </c>
      <c r="I17" s="42">
        <f>I12+I13+I14+I15+I16</f>
        <v>674.4218</v>
      </c>
      <c r="J17" s="42">
        <f>J12+J13+J14+J15+J16</f>
        <v>785.0104</v>
      </c>
      <c r="K17" s="42">
        <f>K12+K13+K14+K15+K16</f>
        <v>499.34670000000006</v>
      </c>
      <c r="L17" s="42">
        <f>L12+L13+L14+L15+L16</f>
        <v>719.4668999999999</v>
      </c>
      <c r="M17" s="42">
        <f>M12+M13+M14+M15+M16</f>
        <v>681.8667999999999</v>
      </c>
      <c r="N17" s="42">
        <f>N12+N13+N14+N15+N16</f>
        <v>536.0737</v>
      </c>
    </row>
    <row r="18">
      <c r="B18" s="22" t="inlineStr">
        <is>
          <t>Удельный расход ДТ / энергии</t>
        </is>
      </c>
      <c r="C18" s="24" t="inlineStr">
        <is>
          <t>кг(кВт)/час</t>
        </is>
      </c>
      <c r="E18" s="34" t="n">
        <v>38.7</v>
      </c>
      <c r="F18" s="34" t="n">
        <v>38.7</v>
      </c>
      <c r="G18" s="34" t="n">
        <v>38.7</v>
      </c>
      <c r="H18" s="34" t="n">
        <v>38.7</v>
      </c>
      <c r="I18" s="34" t="n">
        <v>38.7</v>
      </c>
      <c r="J18" s="34" t="n">
        <v>38.7</v>
      </c>
      <c r="K18" s="34" t="n">
        <v>38.7</v>
      </c>
      <c r="L18" s="34" t="n">
        <v>38.7</v>
      </c>
      <c r="M18" s="34" t="n">
        <v>38.7</v>
      </c>
      <c r="N18" s="34" t="n">
        <v>38.7</v>
      </c>
    </row>
    <row r="19">
      <c r="B19" s="5" t="inlineStr">
        <is>
          <t>ВВОД ДАННЫХ ПОСТАВЩИКА ПО ГОДАМ (жёлтое)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Простои на ТО</t>
        </is>
      </c>
      <c r="C20" s="24" t="inlineStr">
        <is>
          <t>ч/год</t>
        </is>
      </c>
      <c r="E20" s="32" t="n">
        <v>272</v>
      </c>
      <c r="F20" s="32" t="n">
        <v>272</v>
      </c>
      <c r="G20" s="32" t="n">
        <v>272</v>
      </c>
      <c r="H20" s="32" t="n">
        <v>272</v>
      </c>
      <c r="I20" s="32" t="n">
        <v>272</v>
      </c>
      <c r="J20" s="32" t="n">
        <v>272</v>
      </c>
      <c r="K20" s="32" t="n">
        <v>272</v>
      </c>
      <c r="L20" s="32" t="n">
        <v>272</v>
      </c>
      <c r="M20" s="32" t="n">
        <v>272</v>
      </c>
      <c r="N20" s="32" t="n">
        <v>272</v>
      </c>
    </row>
    <row r="21">
      <c r="B21" s="22" t="inlineStr">
        <is>
          <t>Простои в ремонтах</t>
        </is>
      </c>
      <c r="C21" s="24" t="inlineStr">
        <is>
          <t>ч/год</t>
        </is>
      </c>
      <c r="E21" s="32" t="n">
        <v>425.645</v>
      </c>
      <c r="F21" s="32" t="n">
        <v>690.645</v>
      </c>
      <c r="G21" s="32" t="n">
        <v>870.645</v>
      </c>
      <c r="H21" s="32" t="n">
        <v>605.645</v>
      </c>
      <c r="I21" s="32" t="n">
        <v>690.645</v>
      </c>
      <c r="J21" s="32" t="n">
        <v>890.645</v>
      </c>
      <c r="K21" s="32" t="n">
        <v>720.645</v>
      </c>
      <c r="L21" s="32" t="n">
        <v>690.645</v>
      </c>
      <c r="M21" s="32" t="n">
        <v>830.645</v>
      </c>
      <c r="N21" s="32" t="n">
        <v>790.645</v>
      </c>
    </row>
    <row r="22">
      <c r="B22" s="22" t="inlineStr">
        <is>
          <t>Затраты на ТО (ЗЧ+смазочные)</t>
        </is>
      </c>
      <c r="C22" s="24" t="inlineStr">
        <is>
          <t>тыс.вал/г</t>
        </is>
      </c>
      <c r="E22" s="43" t="n">
        <v>300.6209</v>
      </c>
      <c r="F22" s="43" t="n">
        <v>300.6209</v>
      </c>
      <c r="G22" s="43" t="n">
        <v>300.6209</v>
      </c>
      <c r="H22" s="43" t="n">
        <v>300.6209</v>
      </c>
      <c r="I22" s="43" t="n">
        <v>300.6209</v>
      </c>
      <c r="J22" s="43" t="n">
        <v>300.6209</v>
      </c>
      <c r="K22" s="43" t="n">
        <v>300.6209</v>
      </c>
      <c r="L22" s="43" t="n">
        <v>300.6209</v>
      </c>
      <c r="M22" s="43" t="n">
        <v>300.6209</v>
      </c>
      <c r="N22" s="43" t="n">
        <v>300.6209</v>
      </c>
    </row>
    <row r="23">
      <c r="B23" s="22" t="inlineStr">
        <is>
          <t>Затраты на текущие ремонты</t>
        </is>
      </c>
      <c r="C23" s="24" t="inlineStr">
        <is>
          <t>тыс.вал/г</t>
        </is>
      </c>
      <c r="E23" s="43" t="n">
        <v>53.174</v>
      </c>
      <c r="F23" s="43" t="n">
        <v>53.174</v>
      </c>
      <c r="G23" s="43" t="n">
        <v>53.174</v>
      </c>
      <c r="H23" s="43" t="n">
        <v>53.174</v>
      </c>
      <c r="I23" s="43" t="n">
        <v>53.174</v>
      </c>
      <c r="J23" s="43" t="n">
        <v>53.174</v>
      </c>
      <c r="K23" s="43" t="n">
        <v>53.174</v>
      </c>
      <c r="L23" s="43" t="n">
        <v>53.174</v>
      </c>
      <c r="M23" s="43" t="n">
        <v>53.174</v>
      </c>
      <c r="N23" s="43" t="n">
        <v>53.174</v>
      </c>
    </row>
    <row r="24">
      <c r="B24" s="22" t="inlineStr">
        <is>
          <t>Затраты на капитальные/ППР ремонты</t>
        </is>
      </c>
      <c r="C24" s="24" t="inlineStr">
        <is>
          <t>тыс.вал/г</t>
        </is>
      </c>
      <c r="E24" s="43" t="n">
        <v>35.9588</v>
      </c>
      <c r="F24" s="43" t="n">
        <v>301.9387</v>
      </c>
      <c r="G24" s="43" t="n">
        <v>327.7334</v>
      </c>
      <c r="H24" s="43" t="n">
        <v>133.0825</v>
      </c>
      <c r="I24" s="43" t="n">
        <v>264.4417</v>
      </c>
      <c r="J24" s="43" t="n">
        <v>365.2304</v>
      </c>
      <c r="K24" s="43" t="n">
        <v>95.5855</v>
      </c>
      <c r="L24" s="43" t="n">
        <v>307.3168</v>
      </c>
      <c r="M24" s="43" t="n">
        <v>268.1067</v>
      </c>
      <c r="N24" s="43" t="n">
        <v>133.0825</v>
      </c>
    </row>
    <row r="25">
      <c r="B25" s="22" t="inlineStr">
        <is>
          <t>Сервис (трудозатраты) — ТО</t>
        </is>
      </c>
      <c r="C25" s="24" t="inlineStr">
        <is>
          <t>тыс.вал/г</t>
        </is>
      </c>
      <c r="E25" s="43" t="n">
        <v>19.04</v>
      </c>
      <c r="F25" s="43" t="n">
        <v>19.04</v>
      </c>
      <c r="G25" s="43" t="n">
        <v>19.04</v>
      </c>
      <c r="H25" s="43" t="n">
        <v>19.04</v>
      </c>
      <c r="I25" s="43" t="n">
        <v>19.04</v>
      </c>
      <c r="J25" s="43" t="n">
        <v>19.04</v>
      </c>
      <c r="K25" s="43" t="n">
        <v>19.04</v>
      </c>
      <c r="L25" s="43" t="n">
        <v>19.04</v>
      </c>
      <c r="M25" s="43" t="n">
        <v>19.04</v>
      </c>
      <c r="N25" s="43" t="n">
        <v>19.04</v>
      </c>
    </row>
    <row r="26">
      <c r="B26" s="22" t="inlineStr">
        <is>
          <t>Сервис (трудозатраты) — ремонты</t>
        </is>
      </c>
      <c r="C26" s="24" t="inlineStr">
        <is>
          <t>тыс.вал/г</t>
        </is>
      </c>
      <c r="E26" s="43" t="n">
        <v>12.0852</v>
      </c>
      <c r="F26" s="43" t="n">
        <v>40.6452</v>
      </c>
      <c r="G26" s="43" t="n">
        <v>43.4451</v>
      </c>
      <c r="H26" s="43" t="n">
        <v>30.1563</v>
      </c>
      <c r="I26" s="43" t="n">
        <v>37.1452</v>
      </c>
      <c r="J26" s="43" t="n">
        <v>46.9451</v>
      </c>
      <c r="K26" s="43" t="n">
        <v>30.9263</v>
      </c>
      <c r="L26" s="43" t="n">
        <v>39.3152</v>
      </c>
      <c r="M26" s="43" t="n">
        <v>40.9252</v>
      </c>
      <c r="N26" s="43" t="n">
        <v>30.1563</v>
      </c>
    </row>
    <row r="28">
      <c r="B28" s="5" t="inlineStr">
        <is>
          <t>БУРОВОЙ ИНСТРУМЕНТ И РАСХОДНИКИ (удельные нормы)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B29" s="15" t="inlineStr">
        <is>
          <t>Позиция</t>
        </is>
      </c>
      <c r="C29" s="15" t="inlineStr">
        <is>
          <t>ед.</t>
        </is>
      </c>
      <c r="D29" s="15" t="inlineStr">
        <is>
          <t>норма</t>
        </is>
      </c>
      <c r="E29" s="15" t="inlineStr">
        <is>
          <t>цена, тыс.вал/шт</t>
        </is>
      </c>
    </row>
    <row r="30">
      <c r="B30" s="22" t="inlineStr">
        <is>
          <t>Долота</t>
        </is>
      </c>
      <c r="C30" s="24" t="inlineStr">
        <is>
          <t>шт./тыс.пог.м</t>
        </is>
      </c>
      <c r="D30" s="44" t="n">
        <v>0</v>
      </c>
      <c r="E30" s="45" t="n">
        <v>0</v>
      </c>
    </row>
    <row r="31">
      <c r="B31" s="22" t="inlineStr">
        <is>
          <t>Штанги буровые / адаптеры</t>
        </is>
      </c>
      <c r="C31" s="24" t="inlineStr">
        <is>
          <t>шт./тыс.пог.м</t>
        </is>
      </c>
      <c r="D31" s="44" t="n">
        <v>0</v>
      </c>
      <c r="E31" s="45" t="n">
        <v>0</v>
      </c>
    </row>
    <row r="32">
      <c r="B32" s="22" t="inlineStr">
        <is>
          <t>Прочие расходники</t>
        </is>
      </c>
      <c r="C32" s="24" t="inlineStr">
        <is>
          <t>руб/пог.м</t>
        </is>
      </c>
      <c r="D32" s="45" t="n">
        <v>0</v>
      </c>
    </row>
    <row r="34">
      <c r="B34" s="46" t="inlineStr">
        <is>
          <t>Все затраты ТОиР — ПО ГОДАМ, в валюте (см. ячейку «Валюта затрат ТОиР»); пересчёт в рубли — в «Денежном потоке» по курсу с листа «Параметры». Данные примера — «в расчёте» из корпоративного файла 000_БСЛ-2027 (карьер «Сухой Лог»). «Рваный» график капремонтов по годам корректно учитывается дисконтированием. Буровой инструмент и расходники заполняются удельными нормами (на тыс.пог.м / на пог.м) — для инструмента у ряда станков данные поставщика отсутствуют (0) — уточните.</t>
        </is>
      </c>
    </row>
  </sheetData>
  <mergeCells count="7">
    <mergeCell ref="B1:N1"/>
    <mergeCell ref="E4:N4"/>
    <mergeCell ref="B19:N19"/>
    <mergeCell ref="B7:N7"/>
    <mergeCell ref="B2:N2"/>
    <mergeCell ref="B34:N34"/>
    <mergeCell ref="B28:N28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N34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ДАННЫЕ ПОСТАВЩИКА — ВАРИАНТ 3 (ТО и Ремонты ПО ГОДАМ)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Жёлтое — ввод (данные поставщика/расчёта).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Буровой станок:</t>
        </is>
      </c>
      <c r="E4" s="37" t="str">
        <f>'Ввод данных'!F7</f>
        <v>Sunward
SWDRT270SM</v>
      </c>
    </row>
    <row r="5">
      <c r="B5" s="9" t="inlineStr">
        <is>
          <t>Валюта затрат ТОиР:</t>
        </is>
      </c>
      <c r="D5" s="38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9" t="inlineStr">
        <is>
          <t>Простои на ТО</t>
        </is>
      </c>
      <c r="C8" s="24" t="inlineStr">
        <is>
          <t>ч/год</t>
        </is>
      </c>
      <c r="E8" s="40">
        <f>E20</f>
        <v>272.0</v>
      </c>
      <c r="F8" s="40">
        <f>F20</f>
        <v>272.0</v>
      </c>
      <c r="G8" s="40">
        <f>G20</f>
        <v>272.0</v>
      </c>
      <c r="H8" s="40">
        <f>H20</f>
        <v>272.0</v>
      </c>
      <c r="I8" s="40">
        <f>I20</f>
        <v>272.0</v>
      </c>
      <c r="J8" s="40">
        <f>J20</f>
        <v>272.0</v>
      </c>
      <c r="K8" s="40">
        <f>K20</f>
        <v>272.0</v>
      </c>
      <c r="L8" s="40">
        <f>L20</f>
        <v>272.0</v>
      </c>
      <c r="M8" s="40">
        <f>M20</f>
        <v>272.0</v>
      </c>
      <c r="N8" s="40">
        <f>N20</f>
        <v>272.0</v>
      </c>
    </row>
    <row r="9">
      <c r="B9" s="39" t="inlineStr">
        <is>
          <t>Простои в ремонтах</t>
        </is>
      </c>
      <c r="C9" s="24" t="inlineStr">
        <is>
          <t>ч/год</t>
        </is>
      </c>
      <c r="E9" s="40">
        <f>E21</f>
        <v>425.645</v>
      </c>
      <c r="F9" s="40">
        <f>F21</f>
        <v>690.645</v>
      </c>
      <c r="G9" s="40">
        <f>G21</f>
        <v>870.645</v>
      </c>
      <c r="H9" s="40">
        <f>H21</f>
        <v>605.645</v>
      </c>
      <c r="I9" s="40">
        <f>I21</f>
        <v>690.645</v>
      </c>
      <c r="J9" s="40">
        <f>J21</f>
        <v>890.645</v>
      </c>
      <c r="K9" s="40">
        <f>K21</f>
        <v>720.645</v>
      </c>
      <c r="L9" s="40">
        <f>L21</f>
        <v>690.645</v>
      </c>
      <c r="M9" s="40">
        <f>M21</f>
        <v>830.645</v>
      </c>
      <c r="N9" s="40">
        <f>N21</f>
        <v>790.645</v>
      </c>
    </row>
    <row r="10">
      <c r="B10" s="39" t="inlineStr">
        <is>
          <t>Ежесменный осмотр (20 мин/смену)</t>
        </is>
      </c>
      <c r="C10" s="24" t="inlineStr">
        <is>
          <t>ч/год</t>
        </is>
      </c>
      <c r="E10" s="40">
        <f>('Параметры'!C27-E8-E9)/'Параметры'!C28*20/60</f>
        <v>223.95430555555552</v>
      </c>
      <c r="F10" s="40">
        <f>('Параметры'!C27-F8-F9)/'Параметры'!C28*20/60</f>
        <v>216.59319444444446</v>
      </c>
      <c r="G10" s="40">
        <f>('Параметры'!C27-G8-G9)/'Параметры'!C28*20/60</f>
        <v>211.59319444444446</v>
      </c>
      <c r="H10" s="40">
        <f>('Параметры'!C27-H8-H9)/'Параметры'!C28*20/60</f>
        <v>218.95430555555552</v>
      </c>
      <c r="I10" s="40">
        <f>('Параметры'!C27-I8-I9)/'Параметры'!C28*20/60</f>
        <v>216.59319444444446</v>
      </c>
      <c r="J10" s="40">
        <f>('Параметры'!C27-J8-J9)/'Параметры'!C28*20/60</f>
        <v>211.03763888888886</v>
      </c>
      <c r="K10" s="40">
        <f>('Параметры'!C27-K8-K9)/'Параметры'!C28*20/60</f>
        <v>215.75986111111112</v>
      </c>
      <c r="L10" s="40">
        <f>('Параметры'!C27-L8-L9)/'Параметры'!C28*20/60</f>
        <v>216.59319444444446</v>
      </c>
      <c r="M10" s="40">
        <f>('Параметры'!C27-M8-M9)/'Параметры'!C28*20/60</f>
        <v>212.70430555555552</v>
      </c>
      <c r="N10" s="40">
        <f>('Параметры'!C27-N8-N9)/'Параметры'!C28*20/60</f>
        <v>213.81541666666666</v>
      </c>
    </row>
    <row r="11">
      <c r="B11" s="39" t="inlineStr">
        <is>
          <t>КТГ (авто) = (8760 − простои)/8760</t>
        </is>
      </c>
      <c r="C11" s="24" t="inlineStr">
        <is>
          <t>коэф.</t>
        </is>
      </c>
      <c r="E11" s="41">
        <f>('Параметры'!C27-E8-E9-E10)/'Параметры'!C27</f>
        <v>0.894794599822425</v>
      </c>
      <c r="F11" s="41">
        <f>('Параметры'!C27-F8-F9-F10)/'Параметры'!C27</f>
        <v>0.8653837677574835</v>
      </c>
      <c r="G11" s="41">
        <f>('Параметры'!C27-G8-G9-G10)/'Параметры'!C27</f>
        <v>0.8454065988077117</v>
      </c>
      <c r="H11" s="41">
        <f>('Параметры'!C27-H8-H9-H10)/'Параметры'!C27</f>
        <v>0.8748174308726534</v>
      </c>
      <c r="I11" s="41">
        <f>('Параметры'!C27-I8-I9-I10)/'Параметры'!C27</f>
        <v>0.8653837677574835</v>
      </c>
      <c r="J11" s="41">
        <f>('Параметры'!C27-J8-J9-J10)/'Параметры'!C27</f>
        <v>0.8431869133688482</v>
      </c>
      <c r="K11" s="41">
        <f>('Параметры'!C27-K8-K9-K10)/'Параметры'!C27</f>
        <v>0.8620542395991883</v>
      </c>
      <c r="L11" s="41">
        <f>('Параметры'!C27-L8-L9-L10)/'Параметры'!C27</f>
        <v>0.8653837677574835</v>
      </c>
      <c r="M11" s="41">
        <f>('Параметры'!C27-M8-M9-M10)/'Параметры'!C27</f>
        <v>0.8498459696854388</v>
      </c>
      <c r="N11" s="41">
        <f>('Параметры'!C27-N8-N9-N10)/'Параметры'!C27</f>
        <v>0.8542853405631659</v>
      </c>
    </row>
    <row r="12">
      <c r="B12" s="39" t="inlineStr">
        <is>
          <t>Затраты на ТО (ЗЧ+смазочные)</t>
        </is>
      </c>
      <c r="C12" s="24" t="inlineStr">
        <is>
          <t>тыс.вал/г</t>
        </is>
      </c>
      <c r="E12" s="42">
        <f>E22</f>
        <v>300.6209</v>
      </c>
      <c r="F12" s="42">
        <f>F22</f>
        <v>300.6209</v>
      </c>
      <c r="G12" s="42">
        <f>G22</f>
        <v>300.6209</v>
      </c>
      <c r="H12" s="42">
        <f>H22</f>
        <v>300.6209</v>
      </c>
      <c r="I12" s="42">
        <f>I22</f>
        <v>300.6209</v>
      </c>
      <c r="J12" s="42">
        <f>J22</f>
        <v>300.6209</v>
      </c>
      <c r="K12" s="42">
        <f>K22</f>
        <v>300.6209</v>
      </c>
      <c r="L12" s="42">
        <f>L22</f>
        <v>300.6209</v>
      </c>
      <c r="M12" s="42">
        <f>M22</f>
        <v>300.6209</v>
      </c>
      <c r="N12" s="42">
        <f>N22</f>
        <v>300.6209</v>
      </c>
    </row>
    <row r="13">
      <c r="B13" s="39" t="inlineStr">
        <is>
          <t>Затраты на текущие ремонты</t>
        </is>
      </c>
      <c r="C13" s="24" t="inlineStr">
        <is>
          <t>тыс.вал/г</t>
        </is>
      </c>
      <c r="E13" s="42">
        <f>E23</f>
        <v>53.174</v>
      </c>
      <c r="F13" s="42">
        <f>F23</f>
        <v>53.174</v>
      </c>
      <c r="G13" s="42">
        <f>G23</f>
        <v>53.174</v>
      </c>
      <c r="H13" s="42">
        <f>H23</f>
        <v>53.174</v>
      </c>
      <c r="I13" s="42">
        <f>I23</f>
        <v>53.174</v>
      </c>
      <c r="J13" s="42">
        <f>J23</f>
        <v>53.174</v>
      </c>
      <c r="K13" s="42">
        <f>K23</f>
        <v>53.174</v>
      </c>
      <c r="L13" s="42">
        <f>L23</f>
        <v>53.174</v>
      </c>
      <c r="M13" s="42">
        <f>M23</f>
        <v>53.174</v>
      </c>
      <c r="N13" s="42">
        <f>N23</f>
        <v>53.174</v>
      </c>
    </row>
    <row r="14">
      <c r="B14" s="39" t="inlineStr">
        <is>
          <t>Затраты на капитальные/ППР ремонты</t>
        </is>
      </c>
      <c r="C14" s="24" t="inlineStr">
        <is>
          <t>тыс.вал/г</t>
        </is>
      </c>
      <c r="E14" s="42">
        <f>E24</f>
        <v>35.9588</v>
      </c>
      <c r="F14" s="42">
        <f>F24</f>
        <v>301.9387</v>
      </c>
      <c r="G14" s="42">
        <f>G24</f>
        <v>327.7334</v>
      </c>
      <c r="H14" s="42">
        <f>H24</f>
        <v>133.0825</v>
      </c>
      <c r="I14" s="42">
        <f>I24</f>
        <v>264.4417</v>
      </c>
      <c r="J14" s="42">
        <f>J24</f>
        <v>365.2304</v>
      </c>
      <c r="K14" s="42">
        <f>K24</f>
        <v>95.5855</v>
      </c>
      <c r="L14" s="42">
        <f>L24</f>
        <v>307.3168</v>
      </c>
      <c r="M14" s="42">
        <f>M24</f>
        <v>268.1067</v>
      </c>
      <c r="N14" s="42">
        <f>N24</f>
        <v>133.0825</v>
      </c>
    </row>
    <row r="15">
      <c r="B15" s="39" t="inlineStr">
        <is>
          <t>Сервис (трудозатраты) — ТО</t>
        </is>
      </c>
      <c r="C15" s="24" t="inlineStr">
        <is>
          <t>тыс.вал/г</t>
        </is>
      </c>
      <c r="E15" s="42">
        <f>E25</f>
        <v>19.04</v>
      </c>
      <c r="F15" s="42">
        <f>F25</f>
        <v>19.04</v>
      </c>
      <c r="G15" s="42">
        <f>G25</f>
        <v>19.04</v>
      </c>
      <c r="H15" s="42">
        <f>H25</f>
        <v>19.04</v>
      </c>
      <c r="I15" s="42">
        <f>I25</f>
        <v>19.04</v>
      </c>
      <c r="J15" s="42">
        <f>J25</f>
        <v>19.04</v>
      </c>
      <c r="K15" s="42">
        <f>K25</f>
        <v>19.04</v>
      </c>
      <c r="L15" s="42">
        <f>L25</f>
        <v>19.04</v>
      </c>
      <c r="M15" s="42">
        <f>M25</f>
        <v>19.04</v>
      </c>
      <c r="N15" s="42">
        <f>N25</f>
        <v>19.04</v>
      </c>
    </row>
    <row r="16">
      <c r="B16" s="39" t="inlineStr">
        <is>
          <t>Сервис (трудозатраты) — ремонты</t>
        </is>
      </c>
      <c r="C16" s="24" t="inlineStr">
        <is>
          <t>тыс.вал/г</t>
        </is>
      </c>
      <c r="E16" s="42">
        <f>E26</f>
        <v>12.0852</v>
      </c>
      <c r="F16" s="42">
        <f>F26</f>
        <v>40.6452</v>
      </c>
      <c r="G16" s="42">
        <f>G26</f>
        <v>43.4451</v>
      </c>
      <c r="H16" s="42">
        <f>H26</f>
        <v>30.1563</v>
      </c>
      <c r="I16" s="42">
        <f>I26</f>
        <v>37.1452</v>
      </c>
      <c r="J16" s="42">
        <f>J26</f>
        <v>46.9451</v>
      </c>
      <c r="K16" s="42">
        <f>K26</f>
        <v>30.9263</v>
      </c>
      <c r="L16" s="42">
        <f>L26</f>
        <v>39.3152</v>
      </c>
      <c r="M16" s="42">
        <f>M26</f>
        <v>40.9252</v>
      </c>
      <c r="N16" s="42">
        <f>N26</f>
        <v>30.1563</v>
      </c>
    </row>
    <row r="17">
      <c r="B17" s="39" t="inlineStr">
        <is>
          <t>ИТОГО ТОиР → «Данные по годам»</t>
        </is>
      </c>
      <c r="C17" s="24" t="inlineStr">
        <is>
          <t>тыс.вал/г</t>
        </is>
      </c>
      <c r="E17" s="42">
        <f>E12+E13+E14+E15+E16</f>
        <v>420.8789</v>
      </c>
      <c r="F17" s="42">
        <f>F12+F13+F14+F15+F16</f>
        <v>715.4188</v>
      </c>
      <c r="G17" s="42">
        <f>G12+G13+G14+G15+G16</f>
        <v>744.0133999999999</v>
      </c>
      <c r="H17" s="42">
        <f>H12+H13+H14+H15+H16</f>
        <v>536.0737</v>
      </c>
      <c r="I17" s="42">
        <f>I12+I13+I14+I15+I16</f>
        <v>674.4218</v>
      </c>
      <c r="J17" s="42">
        <f>J12+J13+J14+J15+J16</f>
        <v>785.0104</v>
      </c>
      <c r="K17" s="42">
        <f>K12+K13+K14+K15+K16</f>
        <v>499.34670000000006</v>
      </c>
      <c r="L17" s="42">
        <f>L12+L13+L14+L15+L16</f>
        <v>719.4668999999999</v>
      </c>
      <c r="M17" s="42">
        <f>M12+M13+M14+M15+M16</f>
        <v>681.8667999999999</v>
      </c>
      <c r="N17" s="42">
        <f>N12+N13+N14+N15+N16</f>
        <v>536.0737</v>
      </c>
    </row>
    <row r="18">
      <c r="B18" s="22" t="inlineStr">
        <is>
          <t>Удельный расход ДТ / энергии</t>
        </is>
      </c>
      <c r="C18" s="24" t="inlineStr">
        <is>
          <t>кг(кВт)/час</t>
        </is>
      </c>
      <c r="E18" s="34" t="n">
        <v>50.1</v>
      </c>
      <c r="F18" s="34" t="n">
        <v>50.1</v>
      </c>
      <c r="G18" s="34" t="n">
        <v>50.1</v>
      </c>
      <c r="H18" s="34" t="n">
        <v>50.1</v>
      </c>
      <c r="I18" s="34" t="n">
        <v>50.1</v>
      </c>
      <c r="J18" s="34" t="n">
        <v>50.1</v>
      </c>
      <c r="K18" s="34" t="n">
        <v>50.1</v>
      </c>
      <c r="L18" s="34" t="n">
        <v>50.1</v>
      </c>
      <c r="M18" s="34" t="n">
        <v>50.1</v>
      </c>
      <c r="N18" s="34" t="n">
        <v>50.1</v>
      </c>
    </row>
    <row r="19">
      <c r="B19" s="5" t="inlineStr">
        <is>
          <t>ВВОД ДАННЫХ ПОСТАВЩИКА ПО ГОДАМ (жёлтое)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Простои на ТО</t>
        </is>
      </c>
      <c r="C20" s="24" t="inlineStr">
        <is>
          <t>ч/год</t>
        </is>
      </c>
      <c r="E20" s="32" t="n">
        <v>272</v>
      </c>
      <c r="F20" s="32" t="n">
        <v>272</v>
      </c>
      <c r="G20" s="32" t="n">
        <v>272</v>
      </c>
      <c r="H20" s="32" t="n">
        <v>272</v>
      </c>
      <c r="I20" s="32" t="n">
        <v>272</v>
      </c>
      <c r="J20" s="32" t="n">
        <v>272</v>
      </c>
      <c r="K20" s="32" t="n">
        <v>272</v>
      </c>
      <c r="L20" s="32" t="n">
        <v>272</v>
      </c>
      <c r="M20" s="32" t="n">
        <v>272</v>
      </c>
      <c r="N20" s="32" t="n">
        <v>272</v>
      </c>
    </row>
    <row r="21">
      <c r="B21" s="22" t="inlineStr">
        <is>
          <t>Простои в ремонтах</t>
        </is>
      </c>
      <c r="C21" s="24" t="inlineStr">
        <is>
          <t>ч/год</t>
        </is>
      </c>
      <c r="E21" s="32" t="n">
        <v>425.645</v>
      </c>
      <c r="F21" s="32" t="n">
        <v>690.645</v>
      </c>
      <c r="G21" s="32" t="n">
        <v>870.645</v>
      </c>
      <c r="H21" s="32" t="n">
        <v>605.645</v>
      </c>
      <c r="I21" s="32" t="n">
        <v>690.645</v>
      </c>
      <c r="J21" s="32" t="n">
        <v>890.645</v>
      </c>
      <c r="K21" s="32" t="n">
        <v>720.645</v>
      </c>
      <c r="L21" s="32" t="n">
        <v>690.645</v>
      </c>
      <c r="M21" s="32" t="n">
        <v>830.645</v>
      </c>
      <c r="N21" s="32" t="n">
        <v>790.645</v>
      </c>
    </row>
    <row r="22">
      <c r="B22" s="22" t="inlineStr">
        <is>
          <t>Затраты на ТО (ЗЧ+смазочные)</t>
        </is>
      </c>
      <c r="C22" s="24" t="inlineStr">
        <is>
          <t>тыс.вал/г</t>
        </is>
      </c>
      <c r="E22" s="43" t="n">
        <v>300.6209</v>
      </c>
      <c r="F22" s="43" t="n">
        <v>300.6209</v>
      </c>
      <c r="G22" s="43" t="n">
        <v>300.6209</v>
      </c>
      <c r="H22" s="43" t="n">
        <v>300.6209</v>
      </c>
      <c r="I22" s="43" t="n">
        <v>300.6209</v>
      </c>
      <c r="J22" s="43" t="n">
        <v>300.6209</v>
      </c>
      <c r="K22" s="43" t="n">
        <v>300.6209</v>
      </c>
      <c r="L22" s="43" t="n">
        <v>300.6209</v>
      </c>
      <c r="M22" s="43" t="n">
        <v>300.6209</v>
      </c>
      <c r="N22" s="43" t="n">
        <v>300.6209</v>
      </c>
    </row>
    <row r="23">
      <c r="B23" s="22" t="inlineStr">
        <is>
          <t>Затраты на текущие ремонты</t>
        </is>
      </c>
      <c r="C23" s="24" t="inlineStr">
        <is>
          <t>тыс.вал/г</t>
        </is>
      </c>
      <c r="E23" s="43" t="n">
        <v>53.174</v>
      </c>
      <c r="F23" s="43" t="n">
        <v>53.174</v>
      </c>
      <c r="G23" s="43" t="n">
        <v>53.174</v>
      </c>
      <c r="H23" s="43" t="n">
        <v>53.174</v>
      </c>
      <c r="I23" s="43" t="n">
        <v>53.174</v>
      </c>
      <c r="J23" s="43" t="n">
        <v>53.174</v>
      </c>
      <c r="K23" s="43" t="n">
        <v>53.174</v>
      </c>
      <c r="L23" s="43" t="n">
        <v>53.174</v>
      </c>
      <c r="M23" s="43" t="n">
        <v>53.174</v>
      </c>
      <c r="N23" s="43" t="n">
        <v>53.174</v>
      </c>
    </row>
    <row r="24">
      <c r="B24" s="22" t="inlineStr">
        <is>
          <t>Затраты на капитальные/ППР ремонты</t>
        </is>
      </c>
      <c r="C24" s="24" t="inlineStr">
        <is>
          <t>тыс.вал/г</t>
        </is>
      </c>
      <c r="E24" s="43" t="n">
        <v>35.9588</v>
      </c>
      <c r="F24" s="43" t="n">
        <v>301.9387</v>
      </c>
      <c r="G24" s="43" t="n">
        <v>327.7334</v>
      </c>
      <c r="H24" s="43" t="n">
        <v>133.0825</v>
      </c>
      <c r="I24" s="43" t="n">
        <v>264.4417</v>
      </c>
      <c r="J24" s="43" t="n">
        <v>365.2304</v>
      </c>
      <c r="K24" s="43" t="n">
        <v>95.5855</v>
      </c>
      <c r="L24" s="43" t="n">
        <v>307.3168</v>
      </c>
      <c r="M24" s="43" t="n">
        <v>268.1067</v>
      </c>
      <c r="N24" s="43" t="n">
        <v>133.0825</v>
      </c>
    </row>
    <row r="25">
      <c r="B25" s="22" t="inlineStr">
        <is>
          <t>Сервис (трудозатраты) — ТО</t>
        </is>
      </c>
      <c r="C25" s="24" t="inlineStr">
        <is>
          <t>тыс.вал/г</t>
        </is>
      </c>
      <c r="E25" s="43" t="n">
        <v>19.04</v>
      </c>
      <c r="F25" s="43" t="n">
        <v>19.04</v>
      </c>
      <c r="G25" s="43" t="n">
        <v>19.04</v>
      </c>
      <c r="H25" s="43" t="n">
        <v>19.04</v>
      </c>
      <c r="I25" s="43" t="n">
        <v>19.04</v>
      </c>
      <c r="J25" s="43" t="n">
        <v>19.04</v>
      </c>
      <c r="K25" s="43" t="n">
        <v>19.04</v>
      </c>
      <c r="L25" s="43" t="n">
        <v>19.04</v>
      </c>
      <c r="M25" s="43" t="n">
        <v>19.04</v>
      </c>
      <c r="N25" s="43" t="n">
        <v>19.04</v>
      </c>
    </row>
    <row r="26">
      <c r="B26" s="22" t="inlineStr">
        <is>
          <t>Сервис (трудозатраты) — ремонты</t>
        </is>
      </c>
      <c r="C26" s="24" t="inlineStr">
        <is>
          <t>тыс.вал/г</t>
        </is>
      </c>
      <c r="E26" s="43" t="n">
        <v>12.0852</v>
      </c>
      <c r="F26" s="43" t="n">
        <v>40.6452</v>
      </c>
      <c r="G26" s="43" t="n">
        <v>43.4451</v>
      </c>
      <c r="H26" s="43" t="n">
        <v>30.1563</v>
      </c>
      <c r="I26" s="43" t="n">
        <v>37.1452</v>
      </c>
      <c r="J26" s="43" t="n">
        <v>46.9451</v>
      </c>
      <c r="K26" s="43" t="n">
        <v>30.9263</v>
      </c>
      <c r="L26" s="43" t="n">
        <v>39.3152</v>
      </c>
      <c r="M26" s="43" t="n">
        <v>40.9252</v>
      </c>
      <c r="N26" s="43" t="n">
        <v>30.1563</v>
      </c>
    </row>
    <row r="28">
      <c r="B28" s="5" t="inlineStr">
        <is>
          <t>БУРОВОЙ ИНСТРУМЕНТ И РАСХОДНИКИ (удельные нормы)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B29" s="15" t="inlineStr">
        <is>
          <t>Позиция</t>
        </is>
      </c>
      <c r="C29" s="15" t="inlineStr">
        <is>
          <t>ед.</t>
        </is>
      </c>
      <c r="D29" s="15" t="inlineStr">
        <is>
          <t>норма</t>
        </is>
      </c>
      <c r="E29" s="15" t="inlineStr">
        <is>
          <t>цена, тыс.вал/шт</t>
        </is>
      </c>
    </row>
    <row r="30">
      <c r="B30" s="22" t="inlineStr">
        <is>
          <t>Долота</t>
        </is>
      </c>
      <c r="C30" s="24" t="inlineStr">
        <is>
          <t>шт./тыс.пог.м</t>
        </is>
      </c>
      <c r="D30" s="44" t="n">
        <v>0</v>
      </c>
      <c r="E30" s="45" t="n">
        <v>0</v>
      </c>
    </row>
    <row r="31">
      <c r="B31" s="22" t="inlineStr">
        <is>
          <t>Штанги буровые / адаптеры</t>
        </is>
      </c>
      <c r="C31" s="24" t="inlineStr">
        <is>
          <t>шт./тыс.пог.м</t>
        </is>
      </c>
      <c r="D31" s="44" t="n">
        <v>0</v>
      </c>
      <c r="E31" s="45" t="n">
        <v>0</v>
      </c>
    </row>
    <row r="32">
      <c r="B32" s="22" t="inlineStr">
        <is>
          <t>Прочие расходники</t>
        </is>
      </c>
      <c r="C32" s="24" t="inlineStr">
        <is>
          <t>руб/пог.м</t>
        </is>
      </c>
      <c r="D32" s="45" t="n">
        <v>0</v>
      </c>
    </row>
    <row r="34">
      <c r="B34" s="46" t="inlineStr">
        <is>
          <t>Все затраты ТОиР — ПО ГОДАМ, в валюте (см. ячейку «Валюта затрат ТОиР»); пересчёт в рубли — в «Денежном потоке» по курсу с листа «Параметры». Данные примера — «в расчёте» из корпоративного файла 000_БСЛ-2027 (карьер «Сухой Лог»). «Рваный» график капремонтов по годам корректно учитывается дисконтированием. Буровой инструмент и расходники заполняются удельными нормами (на тыс.пог.м / на пог.м) — для инструмента у ряда станков данные поставщика отсутствуют (0) — уточните.</t>
        </is>
      </c>
    </row>
  </sheetData>
  <mergeCells count="7">
    <mergeCell ref="B1:N1"/>
    <mergeCell ref="E4:N4"/>
    <mergeCell ref="B19:N19"/>
    <mergeCell ref="B7:N7"/>
    <mergeCell ref="B2:N2"/>
    <mergeCell ref="B34:N34"/>
    <mergeCell ref="B28:N28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N34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ДАННЫЕ ПОСТАВЩИКА — ВАРИАНТ 4 (ТО и Ремонты ПО ГОДАМ)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Жёлтое — ввод (данные поставщика/расчёта).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Буровой станок:</t>
        </is>
      </c>
      <c r="E4" s="37" t="str">
        <f>'Ввод данных'!G7</f>
        <v>Sunward
SWDRT270B</v>
      </c>
    </row>
    <row r="5">
      <c r="B5" s="9" t="inlineStr">
        <is>
          <t>Валюта затрат ТОиР:</t>
        </is>
      </c>
      <c r="D5" s="38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9" t="inlineStr">
        <is>
          <t>Простои на ТО</t>
        </is>
      </c>
      <c r="C8" s="24" t="inlineStr">
        <is>
          <t>ч/год</t>
        </is>
      </c>
      <c r="E8" s="40">
        <f>E20</f>
        <v>206.0</v>
      </c>
      <c r="F8" s="40">
        <f>F20</f>
        <v>238.0</v>
      </c>
      <c r="G8" s="40">
        <f>G20</f>
        <v>214.0</v>
      </c>
      <c r="H8" s="40">
        <f>H20</f>
        <v>238.0</v>
      </c>
      <c r="I8" s="40">
        <f>I20</f>
        <v>206.0</v>
      </c>
      <c r="J8" s="40">
        <f>J20</f>
        <v>258.0</v>
      </c>
      <c r="K8" s="40">
        <f>K20</f>
        <v>230.0</v>
      </c>
      <c r="L8" s="40">
        <f>L20</f>
        <v>214.0</v>
      </c>
      <c r="M8" s="40">
        <f>M20</f>
        <v>238.0</v>
      </c>
      <c r="N8" s="40">
        <f>N20</f>
        <v>214.0</v>
      </c>
    </row>
    <row r="9">
      <c r="B9" s="39" t="inlineStr">
        <is>
          <t>Простои в ремонтах</t>
        </is>
      </c>
      <c r="C9" s="24" t="inlineStr">
        <is>
          <t>ч/год</t>
        </is>
      </c>
      <c r="E9" s="40">
        <f>E21</f>
        <v>109.67</v>
      </c>
      <c r="F9" s="40">
        <f>F21</f>
        <v>109.67</v>
      </c>
      <c r="G9" s="40">
        <f>G21</f>
        <v>109.67</v>
      </c>
      <c r="H9" s="40">
        <f>H21</f>
        <v>109.67</v>
      </c>
      <c r="I9" s="40">
        <f>I21</f>
        <v>109.67</v>
      </c>
      <c r="J9" s="40">
        <f>J21</f>
        <v>109.67</v>
      </c>
      <c r="K9" s="40">
        <f>K21</f>
        <v>109.67</v>
      </c>
      <c r="L9" s="40">
        <f>L21</f>
        <v>109.67</v>
      </c>
      <c r="M9" s="40">
        <f>M21</f>
        <v>109.67</v>
      </c>
      <c r="N9" s="40">
        <f>N21</f>
        <v>109.67</v>
      </c>
    </row>
    <row r="10">
      <c r="B10" s="39" t="inlineStr">
        <is>
          <t>Ежесменный осмотр (20 мин/смену)</t>
        </is>
      </c>
      <c r="C10" s="24" t="inlineStr">
        <is>
          <t>ч/год</t>
        </is>
      </c>
      <c r="E10" s="40">
        <f>('Параметры'!C27-E8-E9)/'Параметры'!C28*20/60</f>
        <v>234.56472222222223</v>
      </c>
      <c r="F10" s="40">
        <f>('Параметры'!C27-F8-F9)/'Параметры'!C28*20/60</f>
        <v>233.67583333333334</v>
      </c>
      <c r="G10" s="40">
        <f>('Параметры'!C27-G8-G9)/'Параметры'!C28*20/60</f>
        <v>234.34250000000003</v>
      </c>
      <c r="H10" s="40">
        <f>('Параметры'!C27-H8-H9)/'Параметры'!C28*20/60</f>
        <v>233.67583333333334</v>
      </c>
      <c r="I10" s="40">
        <f>('Параметры'!C27-I8-I9)/'Параметры'!C28*20/60</f>
        <v>234.56472222222223</v>
      </c>
      <c r="J10" s="40">
        <f>('Параметры'!C27-J8-J9)/'Параметры'!C28*20/60</f>
        <v>233.12027777777774</v>
      </c>
      <c r="K10" s="40">
        <f>('Параметры'!C27-K8-K9)/'Параметры'!C28*20/60</f>
        <v>233.89805555555554</v>
      </c>
      <c r="L10" s="40">
        <f>('Параметры'!C27-L8-L9)/'Параметры'!C28*20/60</f>
        <v>234.34250000000003</v>
      </c>
      <c r="M10" s="40">
        <f>('Параметры'!C27-M8-M9)/'Параметры'!C28*20/60</f>
        <v>233.67583333333334</v>
      </c>
      <c r="N10" s="40">
        <f>('Параметры'!C27-N8-N9)/'Параметры'!C28*20/60</f>
        <v>234.34250000000003</v>
      </c>
    </row>
    <row r="11">
      <c r="B11" s="39" t="inlineStr">
        <is>
          <t>КТГ (авто) = (8760 − простои)/8760</t>
        </is>
      </c>
      <c r="C11" s="24" t="inlineStr">
        <is>
          <t>коэф.</t>
        </is>
      </c>
      <c r="E11" s="41">
        <f>('Параметры'!C27-E8-E9-E10)/'Параметры'!C27</f>
        <v>0.9371878170979199</v>
      </c>
      <c r="F11" s="41">
        <f>('Параметры'!C27-F8-F9-F10)/'Параметры'!C27</f>
        <v>0.9336363203957382</v>
      </c>
      <c r="G11" s="41">
        <f>('Параметры'!C27-G8-G9-G10)/'Параметры'!C27</f>
        <v>0.9362999429223744</v>
      </c>
      <c r="H11" s="41">
        <f>('Параметры'!C27-H8-H9-H10)/'Параметры'!C27</f>
        <v>0.9336363203957382</v>
      </c>
      <c r="I11" s="41">
        <f>('Параметры'!C27-I8-I9-I10)/'Параметры'!C27</f>
        <v>0.9371878170979199</v>
      </c>
      <c r="J11" s="41">
        <f>('Параметры'!C27-J8-J9-J10)/'Параметры'!C27</f>
        <v>0.9314166349568747</v>
      </c>
      <c r="K11" s="41">
        <f>('Параметры'!C27-K8-K9-K10)/'Параметры'!C27</f>
        <v>0.9345241945712837</v>
      </c>
      <c r="L11" s="41">
        <f>('Параметры'!C27-L8-L9-L10)/'Параметры'!C27</f>
        <v>0.9362999429223744</v>
      </c>
      <c r="M11" s="41">
        <f>('Параметры'!C27-M8-M9-M10)/'Параметры'!C27</f>
        <v>0.9336363203957382</v>
      </c>
      <c r="N11" s="41">
        <f>('Параметры'!C27-N8-N9-N10)/'Параметры'!C27</f>
        <v>0.9362999429223744</v>
      </c>
    </row>
    <row r="12">
      <c r="B12" s="39" t="inlineStr">
        <is>
          <t>Затраты на ТО (ЗЧ+смазочные)</t>
        </is>
      </c>
      <c r="C12" s="24" t="inlineStr">
        <is>
          <t>тыс.вал/г</t>
        </is>
      </c>
      <c r="E12" s="42">
        <f>E22</f>
        <v>122.3491</v>
      </c>
      <c r="F12" s="42">
        <f>F22</f>
        <v>138.8855</v>
      </c>
      <c r="G12" s="42">
        <f>G22</f>
        <v>127.7463</v>
      </c>
      <c r="H12" s="42">
        <f>H22</f>
        <v>138.8855</v>
      </c>
      <c r="I12" s="42">
        <f>I22</f>
        <v>122.3491</v>
      </c>
      <c r="J12" s="42">
        <f>J22</f>
        <v>152.5507</v>
      </c>
      <c r="K12" s="42">
        <f>K22</f>
        <v>130.6173</v>
      </c>
      <c r="L12" s="42">
        <f>L22</f>
        <v>130.6173</v>
      </c>
      <c r="M12" s="42">
        <f>M22</f>
        <v>136.0144</v>
      </c>
      <c r="N12" s="42">
        <f>N22</f>
        <v>130.6173</v>
      </c>
    </row>
    <row r="13">
      <c r="B13" s="39" t="inlineStr">
        <is>
          <t>Затраты на текущие ремонты</t>
        </is>
      </c>
      <c r="C13" s="24" t="inlineStr">
        <is>
          <t>тыс.вал/г</t>
        </is>
      </c>
      <c r="E13" s="42">
        <f>E23</f>
        <v>3.5</v>
      </c>
      <c r="F13" s="42">
        <f>F23</f>
        <v>3.5</v>
      </c>
      <c r="G13" s="42">
        <f>G23</f>
        <v>3.5</v>
      </c>
      <c r="H13" s="42">
        <f>H23</f>
        <v>3.5</v>
      </c>
      <c r="I13" s="42">
        <f>I23</f>
        <v>3.5</v>
      </c>
      <c r="J13" s="42">
        <f>J23</f>
        <v>3.5</v>
      </c>
      <c r="K13" s="42">
        <f>K23</f>
        <v>3.5</v>
      </c>
      <c r="L13" s="42">
        <f>L23</f>
        <v>3.5</v>
      </c>
      <c r="M13" s="42">
        <f>M23</f>
        <v>3.5</v>
      </c>
      <c r="N13" s="42">
        <f>N23</f>
        <v>3.5</v>
      </c>
    </row>
    <row r="14">
      <c r="B14" s="39" t="inlineStr">
        <is>
          <t>Затраты на капитальные/ППР ремонты</t>
        </is>
      </c>
      <c r="C14" s="24" t="inlineStr">
        <is>
          <t>тыс.вал/г</t>
        </is>
      </c>
      <c r="E14" s="42">
        <f>E24</f>
        <v>71.845</v>
      </c>
      <c r="F14" s="42">
        <f>F24</f>
        <v>704.385</v>
      </c>
      <c r="G14" s="42">
        <f>G24</f>
        <v>607.86</v>
      </c>
      <c r="H14" s="42">
        <f>H24</f>
        <v>519.915</v>
      </c>
      <c r="I14" s="42">
        <f>I24</f>
        <v>512.985</v>
      </c>
      <c r="J14" s="42">
        <f>J24</f>
        <v>796.785</v>
      </c>
      <c r="K14" s="42">
        <f>K24</f>
        <v>519.915</v>
      </c>
      <c r="L14" s="42">
        <f>L24</f>
        <v>519.585</v>
      </c>
      <c r="M14" s="42">
        <f>M24</f>
        <v>489.39</v>
      </c>
      <c r="N14" s="42">
        <f>N24</f>
        <v>515.46</v>
      </c>
    </row>
    <row r="15">
      <c r="B15" s="39" t="inlineStr">
        <is>
          <t>Сервис (трудозатраты) — ТО</t>
        </is>
      </c>
      <c r="C15" s="24" t="inlineStr">
        <is>
          <t>тыс.вал/г</t>
        </is>
      </c>
      <c r="E15" s="42">
        <f>E25</f>
        <v>14.42</v>
      </c>
      <c r="F15" s="42">
        <f>F25</f>
        <v>16.66</v>
      </c>
      <c r="G15" s="42">
        <f>G25</f>
        <v>14.98</v>
      </c>
      <c r="H15" s="42">
        <f>H25</f>
        <v>16.66</v>
      </c>
      <c r="I15" s="42">
        <f>I25</f>
        <v>14.42</v>
      </c>
      <c r="J15" s="42">
        <f>J25</f>
        <v>18.06</v>
      </c>
      <c r="K15" s="42">
        <f>K25</f>
        <v>16.1</v>
      </c>
      <c r="L15" s="42">
        <f>L25</f>
        <v>14.98</v>
      </c>
      <c r="M15" s="42">
        <f>M25</f>
        <v>16.66</v>
      </c>
      <c r="N15" s="42">
        <f>N25</f>
        <v>14.98</v>
      </c>
    </row>
    <row r="16">
      <c r="B16" s="39" t="inlineStr">
        <is>
          <t>Сервис (трудозатраты) — ремонты</t>
        </is>
      </c>
      <c r="C16" s="24" t="inlineStr">
        <is>
          <t>тыс.вал/г</t>
        </is>
      </c>
      <c r="E16" s="42">
        <f>E26</f>
        <v>134.3417</v>
      </c>
      <c r="F16" s="42">
        <f>F26</f>
        <v>134.3417</v>
      </c>
      <c r="G16" s="42">
        <f>G26</f>
        <v>134.3417</v>
      </c>
      <c r="H16" s="42">
        <f>H26</f>
        <v>134.3417</v>
      </c>
      <c r="I16" s="42">
        <f>I26</f>
        <v>134.3417</v>
      </c>
      <c r="J16" s="42">
        <f>J26</f>
        <v>134.3417</v>
      </c>
      <c r="K16" s="42">
        <f>K26</f>
        <v>134.3417</v>
      </c>
      <c r="L16" s="42">
        <f>L26</f>
        <v>134.3417</v>
      </c>
      <c r="M16" s="42">
        <f>M26</f>
        <v>134.3417</v>
      </c>
      <c r="N16" s="42">
        <f>N26</f>
        <v>134.3417</v>
      </c>
    </row>
    <row r="17">
      <c r="B17" s="39" t="inlineStr">
        <is>
          <t>ИТОГО ТОиР → «Данные по годам»</t>
        </is>
      </c>
      <c r="C17" s="24" t="inlineStr">
        <is>
          <t>тыс.вал/г</t>
        </is>
      </c>
      <c r="E17" s="42">
        <f>E12+E13+E14+E15+E16</f>
        <v>346.45579999999995</v>
      </c>
      <c r="F17" s="42">
        <f>F12+F13+F14+F15+F16</f>
        <v>997.7721999999999</v>
      </c>
      <c r="G17" s="42">
        <f>G12+G13+G14+G15+G16</f>
        <v>888.4280000000001</v>
      </c>
      <c r="H17" s="42">
        <f>H12+H13+H14+H15+H16</f>
        <v>813.3021999999999</v>
      </c>
      <c r="I17" s="42">
        <f>I12+I13+I14+I15+I16</f>
        <v>787.5958</v>
      </c>
      <c r="J17" s="42">
        <f>J12+J13+J14+J15+J16</f>
        <v>1105.2374</v>
      </c>
      <c r="K17" s="42">
        <f>K12+K13+K14+K15+K16</f>
        <v>804.4739999999999</v>
      </c>
      <c r="L17" s="42">
        <f>L12+L13+L14+L15+L16</f>
        <v>803.0240000000001</v>
      </c>
      <c r="M17" s="42">
        <f>M12+M13+M14+M15+M16</f>
        <v>779.9060999999999</v>
      </c>
      <c r="N17" s="42">
        <f>N12+N13+N14+N15+N16</f>
        <v>798.8990000000001</v>
      </c>
    </row>
    <row r="18">
      <c r="B18" s="22" t="inlineStr">
        <is>
          <t>Удельный расход ДТ / энергии</t>
        </is>
      </c>
      <c r="C18" s="24" t="inlineStr">
        <is>
          <t>кг(кВт)/час</t>
        </is>
      </c>
      <c r="E18" s="34" t="n">
        <v>74.8</v>
      </c>
      <c r="F18" s="34" t="n">
        <v>74.8</v>
      </c>
      <c r="G18" s="34" t="n">
        <v>74.8</v>
      </c>
      <c r="H18" s="34" t="n">
        <v>74.8</v>
      </c>
      <c r="I18" s="34" t="n">
        <v>74.8</v>
      </c>
      <c r="J18" s="34" t="n">
        <v>74.8</v>
      </c>
      <c r="K18" s="34" t="n">
        <v>74.8</v>
      </c>
      <c r="L18" s="34" t="n">
        <v>74.8</v>
      </c>
      <c r="M18" s="34" t="n">
        <v>74.8</v>
      </c>
      <c r="N18" s="34" t="n">
        <v>74.8</v>
      </c>
    </row>
    <row r="19">
      <c r="B19" s="5" t="inlineStr">
        <is>
          <t>ВВОД ДАННЫХ ПОСТАВЩИКА ПО ГОДАМ (жёлтое)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Простои на ТО</t>
        </is>
      </c>
      <c r="C20" s="24" t="inlineStr">
        <is>
          <t>ч/год</t>
        </is>
      </c>
      <c r="E20" s="32" t="n">
        <v>206</v>
      </c>
      <c r="F20" s="32" t="n">
        <v>238</v>
      </c>
      <c r="G20" s="32" t="n">
        <v>214</v>
      </c>
      <c r="H20" s="32" t="n">
        <v>238</v>
      </c>
      <c r="I20" s="32" t="n">
        <v>206</v>
      </c>
      <c r="J20" s="32" t="n">
        <v>258</v>
      </c>
      <c r="K20" s="32" t="n">
        <v>230</v>
      </c>
      <c r="L20" s="32" t="n">
        <v>214</v>
      </c>
      <c r="M20" s="32" t="n">
        <v>238</v>
      </c>
      <c r="N20" s="32" t="n">
        <v>214</v>
      </c>
    </row>
    <row r="21">
      <c r="B21" s="22" t="inlineStr">
        <is>
          <t>Простои в ремонтах</t>
        </is>
      </c>
      <c r="C21" s="24" t="inlineStr">
        <is>
          <t>ч/год</t>
        </is>
      </c>
      <c r="E21" s="32" t="n">
        <v>109.67</v>
      </c>
      <c r="F21" s="32" t="n">
        <v>109.67</v>
      </c>
      <c r="G21" s="32" t="n">
        <v>109.67</v>
      </c>
      <c r="H21" s="32" t="n">
        <v>109.67</v>
      </c>
      <c r="I21" s="32" t="n">
        <v>109.67</v>
      </c>
      <c r="J21" s="32" t="n">
        <v>109.67</v>
      </c>
      <c r="K21" s="32" t="n">
        <v>109.67</v>
      </c>
      <c r="L21" s="32" t="n">
        <v>109.67</v>
      </c>
      <c r="M21" s="32" t="n">
        <v>109.67</v>
      </c>
      <c r="N21" s="32" t="n">
        <v>109.67</v>
      </c>
    </row>
    <row r="22">
      <c r="B22" s="22" t="inlineStr">
        <is>
          <t>Затраты на ТО (ЗЧ+смазочные)</t>
        </is>
      </c>
      <c r="C22" s="24" t="inlineStr">
        <is>
          <t>тыс.вал/г</t>
        </is>
      </c>
      <c r="E22" s="43" t="n">
        <v>122.3491</v>
      </c>
      <c r="F22" s="43" t="n">
        <v>138.8855</v>
      </c>
      <c r="G22" s="43" t="n">
        <v>127.7463</v>
      </c>
      <c r="H22" s="43" t="n">
        <v>138.8855</v>
      </c>
      <c r="I22" s="43" t="n">
        <v>122.3491</v>
      </c>
      <c r="J22" s="43" t="n">
        <v>152.5507</v>
      </c>
      <c r="K22" s="43" t="n">
        <v>130.6173</v>
      </c>
      <c r="L22" s="43" t="n">
        <v>130.6173</v>
      </c>
      <c r="M22" s="43" t="n">
        <v>136.0144</v>
      </c>
      <c r="N22" s="43" t="n">
        <v>130.6173</v>
      </c>
    </row>
    <row r="23">
      <c r="B23" s="22" t="inlineStr">
        <is>
          <t>Затраты на текущие ремонты</t>
        </is>
      </c>
      <c r="C23" s="24" t="inlineStr">
        <is>
          <t>тыс.вал/г</t>
        </is>
      </c>
      <c r="E23" s="43" t="n">
        <v>3.5</v>
      </c>
      <c r="F23" s="43" t="n">
        <v>3.5</v>
      </c>
      <c r="G23" s="43" t="n">
        <v>3.5</v>
      </c>
      <c r="H23" s="43" t="n">
        <v>3.5</v>
      </c>
      <c r="I23" s="43" t="n">
        <v>3.5</v>
      </c>
      <c r="J23" s="43" t="n">
        <v>3.5</v>
      </c>
      <c r="K23" s="43" t="n">
        <v>3.5</v>
      </c>
      <c r="L23" s="43" t="n">
        <v>3.5</v>
      </c>
      <c r="M23" s="43" t="n">
        <v>3.5</v>
      </c>
      <c r="N23" s="43" t="n">
        <v>3.5</v>
      </c>
    </row>
    <row r="24">
      <c r="B24" s="22" t="inlineStr">
        <is>
          <t>Затраты на капитальные/ППР ремонты</t>
        </is>
      </c>
      <c r="C24" s="24" t="inlineStr">
        <is>
          <t>тыс.вал/г</t>
        </is>
      </c>
      <c r="E24" s="43" t="n">
        <v>71.845</v>
      </c>
      <c r="F24" s="43" t="n">
        <v>704.385</v>
      </c>
      <c r="G24" s="43" t="n">
        <v>607.86</v>
      </c>
      <c r="H24" s="43" t="n">
        <v>519.915</v>
      </c>
      <c r="I24" s="43" t="n">
        <v>512.985</v>
      </c>
      <c r="J24" s="43" t="n">
        <v>796.785</v>
      </c>
      <c r="K24" s="43" t="n">
        <v>519.915</v>
      </c>
      <c r="L24" s="43" t="n">
        <v>519.585</v>
      </c>
      <c r="M24" s="43" t="n">
        <v>489.39</v>
      </c>
      <c r="N24" s="43" t="n">
        <v>515.46</v>
      </c>
    </row>
    <row r="25">
      <c r="B25" s="22" t="inlineStr">
        <is>
          <t>Сервис (трудозатраты) — ТО</t>
        </is>
      </c>
      <c r="C25" s="24" t="inlineStr">
        <is>
          <t>тыс.вал/г</t>
        </is>
      </c>
      <c r="E25" s="43" t="n">
        <v>14.42</v>
      </c>
      <c r="F25" s="43" t="n">
        <v>16.66</v>
      </c>
      <c r="G25" s="43" t="n">
        <v>14.98</v>
      </c>
      <c r="H25" s="43" t="n">
        <v>16.66</v>
      </c>
      <c r="I25" s="43" t="n">
        <v>14.42</v>
      </c>
      <c r="J25" s="43" t="n">
        <v>18.06</v>
      </c>
      <c r="K25" s="43" t="n">
        <v>16.1</v>
      </c>
      <c r="L25" s="43" t="n">
        <v>14.98</v>
      </c>
      <c r="M25" s="43" t="n">
        <v>16.66</v>
      </c>
      <c r="N25" s="43" t="n">
        <v>14.98</v>
      </c>
    </row>
    <row r="26">
      <c r="B26" s="22" t="inlineStr">
        <is>
          <t>Сервис (трудозатраты) — ремонты</t>
        </is>
      </c>
      <c r="C26" s="24" t="inlineStr">
        <is>
          <t>тыс.вал/г</t>
        </is>
      </c>
      <c r="E26" s="43" t="n">
        <v>134.3417</v>
      </c>
      <c r="F26" s="43" t="n">
        <v>134.3417</v>
      </c>
      <c r="G26" s="43" t="n">
        <v>134.3417</v>
      </c>
      <c r="H26" s="43" t="n">
        <v>134.3417</v>
      </c>
      <c r="I26" s="43" t="n">
        <v>134.3417</v>
      </c>
      <c r="J26" s="43" t="n">
        <v>134.3417</v>
      </c>
      <c r="K26" s="43" t="n">
        <v>134.3417</v>
      </c>
      <c r="L26" s="43" t="n">
        <v>134.3417</v>
      </c>
      <c r="M26" s="43" t="n">
        <v>134.3417</v>
      </c>
      <c r="N26" s="43" t="n">
        <v>134.3417</v>
      </c>
    </row>
    <row r="28">
      <c r="B28" s="5" t="inlineStr">
        <is>
          <t>БУРОВОЙ ИНСТРУМЕНТ И РАСХОДНИКИ (удельные нормы)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B29" s="15" t="inlineStr">
        <is>
          <t>Позиция</t>
        </is>
      </c>
      <c r="C29" s="15" t="inlineStr">
        <is>
          <t>ед.</t>
        </is>
      </c>
      <c r="D29" s="15" t="inlineStr">
        <is>
          <t>норма</t>
        </is>
      </c>
      <c r="E29" s="15" t="inlineStr">
        <is>
          <t>цена, тыс.вал/шт</t>
        </is>
      </c>
    </row>
    <row r="30">
      <c r="B30" s="22" t="inlineStr">
        <is>
          <t>Долота</t>
        </is>
      </c>
      <c r="C30" s="24" t="inlineStr">
        <is>
          <t>шт./тыс.пог.м</t>
        </is>
      </c>
      <c r="D30" s="44" t="n">
        <v>0</v>
      </c>
      <c r="E30" s="45" t="n">
        <v>0</v>
      </c>
    </row>
    <row r="31">
      <c r="B31" s="22" t="inlineStr">
        <is>
          <t>Штанги буровые / адаптеры</t>
        </is>
      </c>
      <c r="C31" s="24" t="inlineStr">
        <is>
          <t>шт./тыс.пог.м</t>
        </is>
      </c>
      <c r="D31" s="44" t="n">
        <v>0</v>
      </c>
      <c r="E31" s="45" t="n">
        <v>0</v>
      </c>
    </row>
    <row r="32">
      <c r="B32" s="22" t="inlineStr">
        <is>
          <t>Прочие расходники</t>
        </is>
      </c>
      <c r="C32" s="24" t="inlineStr">
        <is>
          <t>руб/пог.м</t>
        </is>
      </c>
      <c r="D32" s="45" t="n">
        <v>0</v>
      </c>
    </row>
    <row r="34">
      <c r="B34" s="46" t="inlineStr">
        <is>
          <t>Все затраты ТОиР — ПО ГОДАМ, в валюте (см. ячейку «Валюта затрат ТОиР»); пересчёт в рубли — в «Денежном потоке» по курсу с листа «Параметры». Данные примера — «в расчёте» из корпоративного файла 000_БСЛ-2027 (карьер «Сухой Лог»). «Рваный» график капремонтов по годам корректно учитывается дисконтированием. Буровой инструмент и расходники заполняются удельными нормами (на тыс.пог.м / на пог.м) — для инструмента у ряда станков данные поставщика отсутствуют (0) — уточните.</t>
        </is>
      </c>
    </row>
  </sheetData>
  <mergeCells count="7">
    <mergeCell ref="B1:N1"/>
    <mergeCell ref="E4:N4"/>
    <mergeCell ref="B19:N19"/>
    <mergeCell ref="B7:N7"/>
    <mergeCell ref="B2:N2"/>
    <mergeCell ref="B34:N34"/>
    <mergeCell ref="B28:N28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N34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ДАННЫЕ ПОСТАВЩИКА — ВАРИАНТ 5 (ТО и Ремонты ПО ГОДАМ)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Жёлтое — ввод (данные поставщика/расчёта).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Буровой станок:</t>
        </is>
      </c>
      <c r="E4" s="37" t="str">
        <f>'Ввод данных'!H7</f>
        <v>HIFO 75D
(аналог DM75)</v>
      </c>
    </row>
    <row r="5">
      <c r="B5" s="9" t="inlineStr">
        <is>
          <t>Валюта затрат ТОиР:</t>
        </is>
      </c>
      <c r="D5" s="38" t="inlineStr">
        <is>
          <t>EUR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9" t="inlineStr">
        <is>
          <t>Простои на ТО</t>
        </is>
      </c>
      <c r="C8" s="24" t="inlineStr">
        <is>
          <t>ч/год</t>
        </is>
      </c>
      <c r="E8" s="40">
        <f>E20</f>
        <v>626.8</v>
      </c>
      <c r="F8" s="40">
        <f>F20</f>
        <v>632.47</v>
      </c>
      <c r="G8" s="40">
        <f>G20</f>
        <v>645.32</v>
      </c>
      <c r="H8" s="40">
        <f>H20</f>
        <v>632.47</v>
      </c>
      <c r="I8" s="40">
        <f>I20</f>
        <v>635.26</v>
      </c>
      <c r="J8" s="40">
        <f>J20</f>
        <v>642.53</v>
      </c>
      <c r="K8" s="40">
        <f>K20</f>
        <v>626.8</v>
      </c>
      <c r="L8" s="40">
        <f>L20</f>
        <v>640.93</v>
      </c>
      <c r="M8" s="40">
        <f>M20</f>
        <v>636.86</v>
      </c>
      <c r="N8" s="40">
        <f>N20</f>
        <v>640.93</v>
      </c>
    </row>
    <row r="9">
      <c r="B9" s="39" t="inlineStr">
        <is>
          <t>Простои в ремонтах</t>
        </is>
      </c>
      <c r="C9" s="24" t="inlineStr">
        <is>
          <t>ч/год</t>
        </is>
      </c>
      <c r="E9" s="40">
        <f>E21</f>
        <v>85.0</v>
      </c>
      <c r="F9" s="40">
        <f>F21</f>
        <v>315.66</v>
      </c>
      <c r="G9" s="40">
        <f>G21</f>
        <v>423.65</v>
      </c>
      <c r="H9" s="40">
        <f>H21</f>
        <v>333.06</v>
      </c>
      <c r="I9" s="40">
        <f>I21</f>
        <v>283.55</v>
      </c>
      <c r="J9" s="40">
        <f>J21</f>
        <v>510.36</v>
      </c>
      <c r="K9" s="40">
        <f>K21</f>
        <v>398.41</v>
      </c>
      <c r="L9" s="40">
        <f>L21</f>
        <v>274.9</v>
      </c>
      <c r="M9" s="40">
        <f>M21</f>
        <v>438.21</v>
      </c>
      <c r="N9" s="40">
        <f>N21</f>
        <v>436.2</v>
      </c>
    </row>
    <row r="10">
      <c r="B10" s="39" t="inlineStr">
        <is>
          <t>Ежесменный осмотр (20 мин/смену)</t>
        </is>
      </c>
      <c r="C10" s="24" t="inlineStr">
        <is>
          <t>ч/год</t>
        </is>
      </c>
      <c r="E10" s="40">
        <f>('Параметры'!C27-E8-E9)/'Параметры'!C28*20/60</f>
        <v>223.5611111111111</v>
      </c>
      <c r="F10" s="40">
        <f>('Параметры'!C27-F8-F9)/'Параметры'!C28*20/60</f>
        <v>216.99638888888887</v>
      </c>
      <c r="G10" s="40">
        <f>('Параметры'!C27-G8-G9)/'Параметры'!C28*20/60</f>
        <v>213.63972222222222</v>
      </c>
      <c r="H10" s="40">
        <f>('Параметры'!C27-H8-H9)/'Параметры'!C28*20/60</f>
        <v>216.51305555555552</v>
      </c>
      <c r="I10" s="40">
        <f>('Параметры'!C27-I8-I9)/'Параметры'!C28*20/60</f>
        <v>217.81083333333333</v>
      </c>
      <c r="J10" s="40">
        <f>('Параметры'!C27-J8-J9)/'Параметры'!C28*20/60</f>
        <v>211.3086111111111</v>
      </c>
      <c r="K10" s="40">
        <f>('Параметры'!C27-K8-K9)/'Параметры'!C28*20/60</f>
        <v>214.85527777777776</v>
      </c>
      <c r="L10" s="40">
        <f>('Параметры'!C27-L8-L9)/'Параметры'!C28*20/60</f>
        <v>217.8936111111111</v>
      </c>
      <c r="M10" s="40">
        <f>('Параметры'!C27-M8-M9)/'Параметры'!C28*20/60</f>
        <v>213.4702777777778</v>
      </c>
      <c r="N10" s="40">
        <f>('Параметры'!C27-N8-N9)/'Параметры'!C28*20/60</f>
        <v>213.41305555555556</v>
      </c>
    </row>
    <row r="11">
      <c r="B11" s="39" t="inlineStr">
        <is>
          <t>КТГ (авто) = (8760 − простои)/8760</t>
        </is>
      </c>
      <c r="C11" s="24" t="inlineStr">
        <is>
          <t>коэф.</t>
        </is>
      </c>
      <c r="E11" s="41">
        <f>('Параметры'!C27-E8-E9-E10)/'Параметры'!C27</f>
        <v>0.8932236174530694</v>
      </c>
      <c r="F11" s="41">
        <f>('Параметры'!C27-F8-F9-F10)/'Параметры'!C27</f>
        <v>0.8669947044647387</v>
      </c>
      <c r="G11" s="41">
        <f>('Параметры'!C27-G8-G9-G10)/'Параметры'!C27</f>
        <v>0.8535833650431254</v>
      </c>
      <c r="H11" s="41">
        <f>('Параметры'!C27-H8-H9-H10)/'Параметры'!C27</f>
        <v>0.8650635781329274</v>
      </c>
      <c r="I11" s="41">
        <f>('Параметры'!C27-I8-I9-I10)/'Параметры'!C27</f>
        <v>0.8702487633181126</v>
      </c>
      <c r="J11" s="41">
        <f>('Параметры'!C27-J8-J9-J10)/'Параметры'!C27</f>
        <v>0.844269564941654</v>
      </c>
      <c r="K11" s="41">
        <f>('Параметры'!C27-K8-K9-K10)/'Параметры'!C27</f>
        <v>0.8584400367833587</v>
      </c>
      <c r="L11" s="41">
        <f>('Параметры'!C27-L8-L9-L10)/'Параметры'!C27</f>
        <v>0.8705794964485034</v>
      </c>
      <c r="M11" s="41">
        <f>('Параметры'!C27-M8-M9-M10)/'Параметры'!C27</f>
        <v>0.852906360984272</v>
      </c>
      <c r="N11" s="41">
        <f>('Параметры'!C27-N8-N9-N10)/'Параметры'!C27</f>
        <v>0.8526777333840689</v>
      </c>
    </row>
    <row r="12">
      <c r="B12" s="39" t="inlineStr">
        <is>
          <t>Затраты на ТО (ЗЧ+смазочные)</t>
        </is>
      </c>
      <c r="C12" s="24" t="inlineStr">
        <is>
          <t>тыс.вал/г</t>
        </is>
      </c>
      <c r="E12" s="42">
        <f>E22</f>
        <v>74.9552</v>
      </c>
      <c r="F12" s="42">
        <f>F22</f>
        <v>78.6855</v>
      </c>
      <c r="G12" s="42">
        <f>G22</f>
        <v>101.7663</v>
      </c>
      <c r="H12" s="42">
        <f>H22</f>
        <v>78.6855</v>
      </c>
      <c r="I12" s="42">
        <f>I22</f>
        <v>100.9729</v>
      </c>
      <c r="J12" s="42">
        <f>J22</f>
        <v>79.479</v>
      </c>
      <c r="K12" s="42">
        <f>K22</f>
        <v>74.9552</v>
      </c>
      <c r="L12" s="42">
        <f>L22</f>
        <v>104.7032</v>
      </c>
      <c r="M12" s="42">
        <f>M22</f>
        <v>75.7486</v>
      </c>
      <c r="N12" s="42">
        <f>N22</f>
        <v>104.7032</v>
      </c>
    </row>
    <row r="13">
      <c r="B13" s="39" t="inlineStr">
        <is>
          <t>Затраты на текущие ремонты</t>
        </is>
      </c>
      <c r="C13" s="24" t="inlineStr">
        <is>
          <t>тыс.вал/г</t>
        </is>
      </c>
      <c r="E13" s="42">
        <f>E23</f>
        <v>4.5068</v>
      </c>
      <c r="F13" s="42">
        <f>F23</f>
        <v>55.6417</v>
      </c>
      <c r="G13" s="42">
        <f>G23</f>
        <v>136.2493</v>
      </c>
      <c r="H13" s="42">
        <f>H23</f>
        <v>12.4682</v>
      </c>
      <c r="I13" s="42">
        <f>I23</f>
        <v>1.0423</v>
      </c>
      <c r="J13" s="42">
        <f>J23</f>
        <v>62.5217</v>
      </c>
      <c r="K13" s="42">
        <f>K23</f>
        <v>136.3933</v>
      </c>
      <c r="L13" s="42">
        <f>L23</f>
        <v>9.0969</v>
      </c>
      <c r="M13" s="42">
        <f>M23</f>
        <v>4.4136</v>
      </c>
      <c r="N13" s="42">
        <f>N23</f>
        <v>71.8368</v>
      </c>
    </row>
    <row r="14">
      <c r="B14" s="39" t="inlineStr">
        <is>
          <t>Затраты на капитальные/ППР ремонты</t>
        </is>
      </c>
      <c r="C14" s="24" t="inlineStr">
        <is>
          <t>тыс.вал/г</t>
        </is>
      </c>
      <c r="E14" s="42">
        <f>E24</f>
        <v>7.3824</v>
      </c>
      <c r="F14" s="42">
        <f>F24</f>
        <v>204.0853</v>
      </c>
      <c r="G14" s="42">
        <f>G24</f>
        <v>415.7647</v>
      </c>
      <c r="H14" s="42">
        <f>H24</f>
        <v>435.8344</v>
      </c>
      <c r="I14" s="42">
        <f>I24</f>
        <v>605.1942</v>
      </c>
      <c r="J14" s="42">
        <f>J24</f>
        <v>348.3042</v>
      </c>
      <c r="K14" s="42">
        <f>K24</f>
        <v>352.6375</v>
      </c>
      <c r="L14" s="42">
        <f>L24</f>
        <v>454.2754</v>
      </c>
      <c r="M14" s="42">
        <f>M24</f>
        <v>754.9286</v>
      </c>
      <c r="N14" s="42">
        <f>N24</f>
        <v>53.0463</v>
      </c>
    </row>
    <row r="15">
      <c r="B15" s="39" t="inlineStr">
        <is>
          <t>Сервис (трудозатраты) — ТО</t>
        </is>
      </c>
      <c r="C15" s="24" t="inlineStr">
        <is>
          <t>тыс.вал/г</t>
        </is>
      </c>
      <c r="E15" s="42">
        <f>E25</f>
        <v>36.2878</v>
      </c>
      <c r="F15" s="42">
        <f>F25</f>
        <v>36.616</v>
      </c>
      <c r="G15" s="42">
        <f>G25</f>
        <v>37.36</v>
      </c>
      <c r="H15" s="42">
        <f>H25</f>
        <v>36.616</v>
      </c>
      <c r="I15" s="42">
        <f>I25</f>
        <v>36.7776</v>
      </c>
      <c r="J15" s="42">
        <f>J25</f>
        <v>37.1985</v>
      </c>
      <c r="K15" s="42">
        <f>K25</f>
        <v>36.2878</v>
      </c>
      <c r="L15" s="42">
        <f>L25</f>
        <v>37.1058</v>
      </c>
      <c r="M15" s="42">
        <f>M25</f>
        <v>36.8702</v>
      </c>
      <c r="N15" s="42">
        <f>N25</f>
        <v>37.1058</v>
      </c>
    </row>
    <row r="16">
      <c r="B16" s="39" t="inlineStr">
        <is>
          <t>Сервис (трудозатраты) — ремонты</t>
        </is>
      </c>
      <c r="C16" s="24" t="inlineStr">
        <is>
          <t>тыс.вал/г</t>
        </is>
      </c>
      <c r="E16" s="42">
        <f>E26</f>
        <v>4.921</v>
      </c>
      <c r="F16" s="42">
        <f>F26</f>
        <v>18.2747</v>
      </c>
      <c r="G16" s="42">
        <f>G26</f>
        <v>24.5267</v>
      </c>
      <c r="H16" s="42">
        <f>H26</f>
        <v>19.2821</v>
      </c>
      <c r="I16" s="42">
        <f>I26</f>
        <v>16.4158</v>
      </c>
      <c r="J16" s="42">
        <f>J26</f>
        <v>29.5466</v>
      </c>
      <c r="K16" s="42">
        <f>K26</f>
        <v>23.0654</v>
      </c>
      <c r="L16" s="42">
        <f>L26</f>
        <v>15.915</v>
      </c>
      <c r="M16" s="42">
        <f>M26</f>
        <v>25.3696</v>
      </c>
      <c r="N16" s="42">
        <f>N26</f>
        <v>25.2532</v>
      </c>
    </row>
    <row r="17">
      <c r="B17" s="39" t="inlineStr">
        <is>
          <t>ИТОГО ТОиР → «Данные по годам»</t>
        </is>
      </c>
      <c r="C17" s="24" t="inlineStr">
        <is>
          <t>тыс.вал/г</t>
        </is>
      </c>
      <c r="E17" s="42">
        <f>E12+E13+E14+E15+E16</f>
        <v>128.0532</v>
      </c>
      <c r="F17" s="42">
        <f>F12+F13+F14+F15+F16</f>
        <v>393.3032</v>
      </c>
      <c r="G17" s="42">
        <f>G12+G13+G14+G15+G16</f>
        <v>715.667</v>
      </c>
      <c r="H17" s="42">
        <f>H12+H13+H14+H15+H16</f>
        <v>582.8862</v>
      </c>
      <c r="I17" s="42">
        <f>I12+I13+I14+I15+I16</f>
        <v>760.4028</v>
      </c>
      <c r="J17" s="42">
        <f>J12+J13+J14+J15+J16</f>
        <v>557.05</v>
      </c>
      <c r="K17" s="42">
        <f>K12+K13+K14+K15+K16</f>
        <v>623.3391999999999</v>
      </c>
      <c r="L17" s="42">
        <f>L12+L13+L14+L15+L16</f>
        <v>621.0963</v>
      </c>
      <c r="M17" s="42">
        <f>M12+M13+M14+M15+M16</f>
        <v>897.3305999999999</v>
      </c>
      <c r="N17" s="42">
        <f>N12+N13+N14+N15+N16</f>
        <v>291.9453</v>
      </c>
    </row>
    <row r="18">
      <c r="B18" s="22" t="inlineStr">
        <is>
          <t>Удельный расход ДТ / энергии</t>
        </is>
      </c>
      <c r="C18" s="24" t="inlineStr">
        <is>
          <t>кг(кВт)/час</t>
        </is>
      </c>
      <c r="E18" s="34" t="n">
        <v>93.5</v>
      </c>
      <c r="F18" s="34" t="n">
        <v>93.5</v>
      </c>
      <c r="G18" s="34" t="n">
        <v>93.5</v>
      </c>
      <c r="H18" s="34" t="n">
        <v>93.5</v>
      </c>
      <c r="I18" s="34" t="n">
        <v>93.5</v>
      </c>
      <c r="J18" s="34" t="n">
        <v>93.5</v>
      </c>
      <c r="K18" s="34" t="n">
        <v>93.5</v>
      </c>
      <c r="L18" s="34" t="n">
        <v>93.5</v>
      </c>
      <c r="M18" s="34" t="n">
        <v>93.5</v>
      </c>
      <c r="N18" s="34" t="n">
        <v>93.5</v>
      </c>
    </row>
    <row r="19">
      <c r="B19" s="5" t="inlineStr">
        <is>
          <t>ВВОД ДАННЫХ ПОСТАВЩИКА ПО ГОДАМ (жёлтое)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Простои на ТО</t>
        </is>
      </c>
      <c r="C20" s="24" t="inlineStr">
        <is>
          <t>ч/год</t>
        </is>
      </c>
      <c r="E20" s="32" t="n">
        <v>626.8</v>
      </c>
      <c r="F20" s="32" t="n">
        <v>632.47</v>
      </c>
      <c r="G20" s="32" t="n">
        <v>645.3200000000001</v>
      </c>
      <c r="H20" s="32" t="n">
        <v>632.47</v>
      </c>
      <c r="I20" s="32" t="n">
        <v>635.26</v>
      </c>
      <c r="J20" s="32" t="n">
        <v>642.53</v>
      </c>
      <c r="K20" s="32" t="n">
        <v>626.8</v>
      </c>
      <c r="L20" s="32" t="n">
        <v>640.9299999999999</v>
      </c>
      <c r="M20" s="32" t="n">
        <v>636.86</v>
      </c>
      <c r="N20" s="32" t="n">
        <v>640.9299999999999</v>
      </c>
    </row>
    <row r="21">
      <c r="B21" s="22" t="inlineStr">
        <is>
          <t>Простои в ремонтах</t>
        </is>
      </c>
      <c r="C21" s="24" t="inlineStr">
        <is>
          <t>ч/год</t>
        </is>
      </c>
      <c r="E21" s="32" t="n">
        <v>85</v>
      </c>
      <c r="F21" s="32" t="n">
        <v>315.66</v>
      </c>
      <c r="G21" s="32" t="n">
        <v>423.65</v>
      </c>
      <c r="H21" s="32" t="n">
        <v>333.06</v>
      </c>
      <c r="I21" s="32" t="n">
        <v>283.55</v>
      </c>
      <c r="J21" s="32" t="n">
        <v>510.36</v>
      </c>
      <c r="K21" s="32" t="n">
        <v>398.41</v>
      </c>
      <c r="L21" s="32" t="n">
        <v>274.9</v>
      </c>
      <c r="M21" s="32" t="n">
        <v>438.21</v>
      </c>
      <c r="N21" s="32" t="n">
        <v>436.2</v>
      </c>
    </row>
    <row r="22">
      <c r="B22" s="22" t="inlineStr">
        <is>
          <t>Затраты на ТО (ЗЧ+смазочные)</t>
        </is>
      </c>
      <c r="C22" s="24" t="inlineStr">
        <is>
          <t>тыс.вал/г</t>
        </is>
      </c>
      <c r="E22" s="43" t="n">
        <v>74.9552</v>
      </c>
      <c r="F22" s="43" t="n">
        <v>78.6855</v>
      </c>
      <c r="G22" s="43" t="n">
        <v>101.7663</v>
      </c>
      <c r="H22" s="43" t="n">
        <v>78.6855</v>
      </c>
      <c r="I22" s="43" t="n">
        <v>100.9729</v>
      </c>
      <c r="J22" s="43" t="n">
        <v>79.479</v>
      </c>
      <c r="K22" s="43" t="n">
        <v>74.9552</v>
      </c>
      <c r="L22" s="43" t="n">
        <v>104.7032</v>
      </c>
      <c r="M22" s="43" t="n">
        <v>75.7486</v>
      </c>
      <c r="N22" s="43" t="n">
        <v>104.7032</v>
      </c>
    </row>
    <row r="23">
      <c r="B23" s="22" t="inlineStr">
        <is>
          <t>Затраты на текущие ремонты</t>
        </is>
      </c>
      <c r="C23" s="24" t="inlineStr">
        <is>
          <t>тыс.вал/г</t>
        </is>
      </c>
      <c r="E23" s="43" t="n">
        <v>4.5068</v>
      </c>
      <c r="F23" s="43" t="n">
        <v>55.6417</v>
      </c>
      <c r="G23" s="43" t="n">
        <v>136.2493</v>
      </c>
      <c r="H23" s="43" t="n">
        <v>12.4682</v>
      </c>
      <c r="I23" s="43" t="n">
        <v>1.0423</v>
      </c>
      <c r="J23" s="43" t="n">
        <v>62.5217</v>
      </c>
      <c r="K23" s="43" t="n">
        <v>136.3933</v>
      </c>
      <c r="L23" s="43" t="n">
        <v>9.0969</v>
      </c>
      <c r="M23" s="43" t="n">
        <v>4.4136</v>
      </c>
      <c r="N23" s="43" t="n">
        <v>71.8368</v>
      </c>
    </row>
    <row r="24">
      <c r="B24" s="22" t="inlineStr">
        <is>
          <t>Затраты на капитальные/ППР ремонты</t>
        </is>
      </c>
      <c r="C24" s="24" t="inlineStr">
        <is>
          <t>тыс.вал/г</t>
        </is>
      </c>
      <c r="E24" s="43" t="n">
        <v>7.3824</v>
      </c>
      <c r="F24" s="43" t="n">
        <v>204.0853</v>
      </c>
      <c r="G24" s="43" t="n">
        <v>415.7647</v>
      </c>
      <c r="H24" s="43" t="n">
        <v>435.8344</v>
      </c>
      <c r="I24" s="43" t="n">
        <v>605.1942</v>
      </c>
      <c r="J24" s="43" t="n">
        <v>348.3042</v>
      </c>
      <c r="K24" s="43" t="n">
        <v>352.6375</v>
      </c>
      <c r="L24" s="43" t="n">
        <v>454.2754</v>
      </c>
      <c r="M24" s="43" t="n">
        <v>754.9286</v>
      </c>
      <c r="N24" s="43" t="n">
        <v>53.0463</v>
      </c>
    </row>
    <row r="25">
      <c r="B25" s="22" t="inlineStr">
        <is>
          <t>Сервис (трудозатраты) — ТО</t>
        </is>
      </c>
      <c r="C25" s="24" t="inlineStr">
        <is>
          <t>тыс.вал/г</t>
        </is>
      </c>
      <c r="E25" s="43" t="n">
        <v>36.2878</v>
      </c>
      <c r="F25" s="43" t="n">
        <v>36.616</v>
      </c>
      <c r="G25" s="43" t="n">
        <v>37.36</v>
      </c>
      <c r="H25" s="43" t="n">
        <v>36.616</v>
      </c>
      <c r="I25" s="43" t="n">
        <v>36.7776</v>
      </c>
      <c r="J25" s="43" t="n">
        <v>37.1985</v>
      </c>
      <c r="K25" s="43" t="n">
        <v>36.2878</v>
      </c>
      <c r="L25" s="43" t="n">
        <v>37.1058</v>
      </c>
      <c r="M25" s="43" t="n">
        <v>36.8702</v>
      </c>
      <c r="N25" s="43" t="n">
        <v>37.1058</v>
      </c>
    </row>
    <row r="26">
      <c r="B26" s="22" t="inlineStr">
        <is>
          <t>Сервис (трудозатраты) — ремонты</t>
        </is>
      </c>
      <c r="C26" s="24" t="inlineStr">
        <is>
          <t>тыс.вал/г</t>
        </is>
      </c>
      <c r="E26" s="43" t="n">
        <v>4.921</v>
      </c>
      <c r="F26" s="43" t="n">
        <v>18.2747</v>
      </c>
      <c r="G26" s="43" t="n">
        <v>24.5267</v>
      </c>
      <c r="H26" s="43" t="n">
        <v>19.2821</v>
      </c>
      <c r="I26" s="43" t="n">
        <v>16.4158</v>
      </c>
      <c r="J26" s="43" t="n">
        <v>29.5466</v>
      </c>
      <c r="K26" s="43" t="n">
        <v>23.0654</v>
      </c>
      <c r="L26" s="43" t="n">
        <v>15.915</v>
      </c>
      <c r="M26" s="43" t="n">
        <v>25.3696</v>
      </c>
      <c r="N26" s="43" t="n">
        <v>25.2532</v>
      </c>
    </row>
    <row r="28">
      <c r="B28" s="5" t="inlineStr">
        <is>
          <t>БУРОВОЙ ИНСТРУМЕНТ И РАСХОДНИКИ (удельные нормы)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B29" s="15" t="inlineStr">
        <is>
          <t>Позиция</t>
        </is>
      </c>
      <c r="C29" s="15" t="inlineStr">
        <is>
          <t>ед.</t>
        </is>
      </c>
      <c r="D29" s="15" t="inlineStr">
        <is>
          <t>норма</t>
        </is>
      </c>
      <c r="E29" s="15" t="inlineStr">
        <is>
          <t>цена, тыс.вал/шт</t>
        </is>
      </c>
    </row>
    <row r="30">
      <c r="B30" s="22" t="inlineStr">
        <is>
          <t>Долота</t>
        </is>
      </c>
      <c r="C30" s="24" t="inlineStr">
        <is>
          <t>шт./тыс.пог.м</t>
        </is>
      </c>
      <c r="D30" s="44" t="n">
        <v>0</v>
      </c>
      <c r="E30" s="45" t="n">
        <v>0</v>
      </c>
    </row>
    <row r="31">
      <c r="B31" s="22" t="inlineStr">
        <is>
          <t>Штанги буровые / адаптеры</t>
        </is>
      </c>
      <c r="C31" s="24" t="inlineStr">
        <is>
          <t>шт./тыс.пог.м</t>
        </is>
      </c>
      <c r="D31" s="44" t="n">
        <v>0</v>
      </c>
      <c r="E31" s="45" t="n">
        <v>0</v>
      </c>
    </row>
    <row r="32">
      <c r="B32" s="22" t="inlineStr">
        <is>
          <t>Прочие расходники</t>
        </is>
      </c>
      <c r="C32" s="24" t="inlineStr">
        <is>
          <t>руб/пог.м</t>
        </is>
      </c>
      <c r="D32" s="45" t="n">
        <v>0</v>
      </c>
    </row>
    <row r="34">
      <c r="B34" s="46" t="inlineStr">
        <is>
          <t>Все затраты ТОиР — ПО ГОДАМ, в валюте (см. ячейку «Валюта затрат ТОиР»); пересчёт в рубли — в «Денежном потоке» по курсу с листа «Параметры». Данные примера — «в расчёте» из корпоративного файла 000_БСЛ-2027 (карьер «Сухой Лог»). «Рваный» график капремонтов по годам корректно учитывается дисконтированием. Буровой инструмент и расходники заполняются удельными нормами (на тыс.пог.м / на пог.м) — для инструмента у ряда станков данные поставщика отсутствуют (0) — уточните.</t>
        </is>
      </c>
    </row>
  </sheetData>
  <mergeCells count="7">
    <mergeCell ref="B1:N1"/>
    <mergeCell ref="E4:N4"/>
    <mergeCell ref="B19:N19"/>
    <mergeCell ref="B7:N7"/>
    <mergeCell ref="B2:N2"/>
    <mergeCell ref="B34:N34"/>
    <mergeCell ref="B28:N28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N2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1…5». Правьте данные там,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7" t="inlineStr">
        <is>
          <t>Значения ТЯНУТСЯ из листов «Поставщик 1…5» (КТГ и ИТОГО ТОиР — авто). Чтобы изменить данные по машине — откройте её лист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 t="str">
        <f>"Вариант 1:  "&amp;'Ввод данных'!D7</f>
        <v>Вариант 1:  YANGZI DR75
(аналог Epiroc DM75)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48">
        <f>'Поставщик 1'!E11</f>
        <v>0.9309360730593608</v>
      </c>
      <c r="F7" s="48">
        <f>'Поставщик 1'!F11</f>
        <v>0.9171740233384069</v>
      </c>
      <c r="G7" s="48">
        <f>'Поставщик 1'!G11</f>
        <v>0.9309360730593608</v>
      </c>
      <c r="H7" s="48">
        <f>'Поставщик 1'!H11</f>
        <v>0.9171740233384069</v>
      </c>
      <c r="I7" s="48">
        <f>'Поставщик 1'!I11</f>
        <v>0.8865423642820903</v>
      </c>
      <c r="J7" s="48">
        <f>'Поставщик 1'!J11</f>
        <v>0.9171740233384069</v>
      </c>
      <c r="K7" s="48">
        <f>'Поставщик 1'!K11</f>
        <v>0.8505834601725013</v>
      </c>
      <c r="L7" s="48">
        <f>'Поставщик 1'!L11</f>
        <v>0.9198376458650431</v>
      </c>
      <c r="M7" s="48">
        <f>'Поставщик 1'!M11</f>
        <v>0.9282724505327246</v>
      </c>
      <c r="N7" s="48">
        <f>'Поставщик 1'!N11</f>
        <v>0.8532470826991375</v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49" t="str">
        <f>'Поставщик 1'!$D$5</f>
        <v>USD</v>
      </c>
      <c r="E8" s="50">
        <f>'Поставщик 1'!E17</f>
        <v>180.85999999999999</v>
      </c>
      <c r="F8" s="50">
        <f>'Поставщик 1'!F17</f>
        <v>333.80000000000007</v>
      </c>
      <c r="G8" s="50">
        <f>'Поставщик 1'!G17</f>
        <v>421.46000000000004</v>
      </c>
      <c r="H8" s="50">
        <f>'Поставщик 1'!H17</f>
        <v>358.80000000000007</v>
      </c>
      <c r="I8" s="50">
        <f>'Поставщик 1'!I17</f>
        <v>292.36</v>
      </c>
      <c r="J8" s="50">
        <f>'Поставщик 1'!J17</f>
        <v>465.30000000000007</v>
      </c>
      <c r="K8" s="50">
        <f>'Поставщик 1'!K17</f>
        <v>340.30000000000007</v>
      </c>
      <c r="L8" s="50">
        <f>'Поставщик 1'!L17</f>
        <v>408.96000000000004</v>
      </c>
      <c r="M8" s="50">
        <f>'Поставщик 1'!M17</f>
        <v>379.70000000000005</v>
      </c>
      <c r="N8" s="50">
        <f>'Поставщик 1'!N17</f>
        <v>398.46000000000004</v>
      </c>
    </row>
    <row r="9">
      <c r="B9" s="22" t="inlineStr">
        <is>
          <t>Удельный расход ДТ/энергии</t>
        </is>
      </c>
      <c r="C9" s="24" t="inlineStr">
        <is>
          <t>кг/час</t>
        </is>
      </c>
      <c r="E9" s="51">
        <f>'Поставщик 1'!E18</f>
        <v>66.3</v>
      </c>
      <c r="F9" s="51">
        <f>'Поставщик 1'!F18</f>
        <v>66.3</v>
      </c>
      <c r="G9" s="51">
        <f>'Поставщик 1'!G18</f>
        <v>66.3</v>
      </c>
      <c r="H9" s="51">
        <f>'Поставщик 1'!H18</f>
        <v>66.3</v>
      </c>
      <c r="I9" s="51">
        <f>'Поставщик 1'!I18</f>
        <v>66.3</v>
      </c>
      <c r="J9" s="51">
        <f>'Поставщик 1'!J18</f>
        <v>66.3</v>
      </c>
      <c r="K9" s="51">
        <f>'Поставщик 1'!K18</f>
        <v>66.3</v>
      </c>
      <c r="L9" s="51">
        <f>'Поставщик 1'!L18</f>
        <v>66.3</v>
      </c>
      <c r="M9" s="51">
        <f>'Поставщик 1'!M18</f>
        <v>66.3</v>
      </c>
      <c r="N9" s="51">
        <f>'Поставщик 1'!N18</f>
        <v>66.3</v>
      </c>
    </row>
    <row r="10">
      <c r="B10" s="5" t="str">
        <f>"Вариант 2:  "&amp;'Ввод данных'!E7</f>
        <v>Вариант 2:  Sunward
SWDRT250SM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B11" s="22" t="inlineStr">
        <is>
          <t>КТГ (техготовность)</t>
        </is>
      </c>
      <c r="C11" s="24" t="inlineStr">
        <is>
          <t>коэф.</t>
        </is>
      </c>
      <c r="E11" s="48">
        <f>'Поставщик 2'!E11</f>
        <v>0.894794599822425</v>
      </c>
      <c r="F11" s="48">
        <f>'Поставщик 2'!F11</f>
        <v>0.8653837677574835</v>
      </c>
      <c r="G11" s="48">
        <f>'Поставщик 2'!G11</f>
        <v>0.8454065988077117</v>
      </c>
      <c r="H11" s="48">
        <f>'Поставщик 2'!H11</f>
        <v>0.8748174308726534</v>
      </c>
      <c r="I11" s="48">
        <f>'Поставщик 2'!I11</f>
        <v>0.8653837677574835</v>
      </c>
      <c r="J11" s="48">
        <f>'Поставщик 2'!J11</f>
        <v>0.8431869133688482</v>
      </c>
      <c r="K11" s="48">
        <f>'Поставщик 2'!K11</f>
        <v>0.8620542395991883</v>
      </c>
      <c r="L11" s="48">
        <f>'Поставщик 2'!L11</f>
        <v>0.8653837677574835</v>
      </c>
      <c r="M11" s="48">
        <f>'Поставщик 2'!M11</f>
        <v>0.8498459696854388</v>
      </c>
      <c r="N11" s="48">
        <f>'Поставщик 2'!N11</f>
        <v>0.8542853405631659</v>
      </c>
    </row>
    <row r="12">
      <c r="B12" s="22" t="inlineStr">
        <is>
          <t>Затраты на ТОиР и сервис</t>
        </is>
      </c>
      <c r="C12" s="24" t="inlineStr">
        <is>
          <t>тыс.вал/г</t>
        </is>
      </c>
      <c r="D12" s="49" t="str">
        <f>'Поставщик 2'!$D$5</f>
        <v>USD</v>
      </c>
      <c r="E12" s="50">
        <f>'Поставщик 2'!E17</f>
        <v>420.8789</v>
      </c>
      <c r="F12" s="50">
        <f>'Поставщик 2'!F17</f>
        <v>715.4188</v>
      </c>
      <c r="G12" s="50">
        <f>'Поставщик 2'!G17</f>
        <v>744.0133999999999</v>
      </c>
      <c r="H12" s="50">
        <f>'Поставщик 2'!H17</f>
        <v>536.0737</v>
      </c>
      <c r="I12" s="50">
        <f>'Поставщик 2'!I17</f>
        <v>674.4218</v>
      </c>
      <c r="J12" s="50">
        <f>'Поставщик 2'!J17</f>
        <v>785.0104</v>
      </c>
      <c r="K12" s="50">
        <f>'Поставщик 2'!K17</f>
        <v>499.34670000000006</v>
      </c>
      <c r="L12" s="50">
        <f>'Поставщик 2'!L17</f>
        <v>719.4668999999999</v>
      </c>
      <c r="M12" s="50">
        <f>'Поставщик 2'!M17</f>
        <v>681.8667999999999</v>
      </c>
      <c r="N12" s="50">
        <f>'Поставщик 2'!N17</f>
        <v>536.0737</v>
      </c>
    </row>
    <row r="13">
      <c r="B13" s="22" t="inlineStr">
        <is>
          <t>Удельный расход ДТ/энергии</t>
        </is>
      </c>
      <c r="C13" s="24" t="inlineStr">
        <is>
          <t>кг/час</t>
        </is>
      </c>
      <c r="E13" s="51">
        <f>'Поставщик 2'!E18</f>
        <v>38.7</v>
      </c>
      <c r="F13" s="51">
        <f>'Поставщик 2'!F18</f>
        <v>38.7</v>
      </c>
      <c r="G13" s="51">
        <f>'Поставщик 2'!G18</f>
        <v>38.7</v>
      </c>
      <c r="H13" s="51">
        <f>'Поставщик 2'!H18</f>
        <v>38.7</v>
      </c>
      <c r="I13" s="51">
        <f>'Поставщик 2'!I18</f>
        <v>38.7</v>
      </c>
      <c r="J13" s="51">
        <f>'Поставщик 2'!J18</f>
        <v>38.7</v>
      </c>
      <c r="K13" s="51">
        <f>'Поставщик 2'!K18</f>
        <v>38.7</v>
      </c>
      <c r="L13" s="51">
        <f>'Поставщик 2'!L18</f>
        <v>38.7</v>
      </c>
      <c r="M13" s="51">
        <f>'Поставщик 2'!M18</f>
        <v>38.7</v>
      </c>
      <c r="N13" s="51">
        <f>'Поставщик 2'!N18</f>
        <v>38.7</v>
      </c>
    </row>
    <row r="14">
      <c r="B14" s="5" t="str">
        <f>"Вариант 3:  "&amp;'Ввод данных'!F7</f>
        <v>Вариант 3:  Sunward
SWDRT270SM</v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B15" s="22" t="inlineStr">
        <is>
          <t>КТГ (техготовность)</t>
        </is>
      </c>
      <c r="C15" s="24" t="inlineStr">
        <is>
          <t>коэф.</t>
        </is>
      </c>
      <c r="E15" s="48">
        <f>'Поставщик 3'!E11</f>
        <v>0.894794599822425</v>
      </c>
      <c r="F15" s="48">
        <f>'Поставщик 3'!F11</f>
        <v>0.8653837677574835</v>
      </c>
      <c r="G15" s="48">
        <f>'Поставщик 3'!G11</f>
        <v>0.8454065988077117</v>
      </c>
      <c r="H15" s="48">
        <f>'Поставщик 3'!H11</f>
        <v>0.8748174308726534</v>
      </c>
      <c r="I15" s="48">
        <f>'Поставщик 3'!I11</f>
        <v>0.8653837677574835</v>
      </c>
      <c r="J15" s="48">
        <f>'Поставщик 3'!J11</f>
        <v>0.8431869133688482</v>
      </c>
      <c r="K15" s="48">
        <f>'Поставщик 3'!K11</f>
        <v>0.8620542395991883</v>
      </c>
      <c r="L15" s="48">
        <f>'Поставщик 3'!L11</f>
        <v>0.8653837677574835</v>
      </c>
      <c r="M15" s="48">
        <f>'Поставщик 3'!M11</f>
        <v>0.8498459696854388</v>
      </c>
      <c r="N15" s="48">
        <f>'Поставщик 3'!N11</f>
        <v>0.8542853405631659</v>
      </c>
    </row>
    <row r="16">
      <c r="B16" s="22" t="inlineStr">
        <is>
          <t>Затраты на ТОиР и сервис</t>
        </is>
      </c>
      <c r="C16" s="24" t="inlineStr">
        <is>
          <t>тыс.вал/г</t>
        </is>
      </c>
      <c r="D16" s="49" t="str">
        <f>'Поставщик 3'!$D$5</f>
        <v>USD</v>
      </c>
      <c r="E16" s="50">
        <f>'Поставщик 3'!E17</f>
        <v>420.8789</v>
      </c>
      <c r="F16" s="50">
        <f>'Поставщик 3'!F17</f>
        <v>715.4188</v>
      </c>
      <c r="G16" s="50">
        <f>'Поставщик 3'!G17</f>
        <v>744.0133999999999</v>
      </c>
      <c r="H16" s="50">
        <f>'Поставщик 3'!H17</f>
        <v>536.0737</v>
      </c>
      <c r="I16" s="50">
        <f>'Поставщик 3'!I17</f>
        <v>674.4218</v>
      </c>
      <c r="J16" s="50">
        <f>'Поставщик 3'!J17</f>
        <v>785.0104</v>
      </c>
      <c r="K16" s="50">
        <f>'Поставщик 3'!K17</f>
        <v>499.34670000000006</v>
      </c>
      <c r="L16" s="50">
        <f>'Поставщик 3'!L17</f>
        <v>719.4668999999999</v>
      </c>
      <c r="M16" s="50">
        <f>'Поставщик 3'!M17</f>
        <v>681.8667999999999</v>
      </c>
      <c r="N16" s="50">
        <f>'Поставщик 3'!N17</f>
        <v>536.0737</v>
      </c>
    </row>
    <row r="17">
      <c r="B17" s="22" t="inlineStr">
        <is>
          <t>Удельный расход ДТ/энергии</t>
        </is>
      </c>
      <c r="C17" s="24" t="inlineStr">
        <is>
          <t>кг/час</t>
        </is>
      </c>
      <c r="E17" s="51">
        <f>'Поставщик 3'!E18</f>
        <v>50.1</v>
      </c>
      <c r="F17" s="51">
        <f>'Поставщик 3'!F18</f>
        <v>50.1</v>
      </c>
      <c r="G17" s="51">
        <f>'Поставщик 3'!G18</f>
        <v>50.1</v>
      </c>
      <c r="H17" s="51">
        <f>'Поставщик 3'!H18</f>
        <v>50.1</v>
      </c>
      <c r="I17" s="51">
        <f>'Поставщик 3'!I18</f>
        <v>50.1</v>
      </c>
      <c r="J17" s="51">
        <f>'Поставщик 3'!J18</f>
        <v>50.1</v>
      </c>
      <c r="K17" s="51">
        <f>'Поставщик 3'!K18</f>
        <v>50.1</v>
      </c>
      <c r="L17" s="51">
        <f>'Поставщик 3'!L18</f>
        <v>50.1</v>
      </c>
      <c r="M17" s="51">
        <f>'Поставщик 3'!M18</f>
        <v>50.1</v>
      </c>
      <c r="N17" s="51">
        <f>'Поставщик 3'!N18</f>
        <v>50.1</v>
      </c>
    </row>
    <row r="18">
      <c r="B18" s="5" t="str">
        <f>"Вариант 4:  "&amp;'Ввод данных'!G7</f>
        <v>Вариант 4:  Sunward
SWDRT270B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B19" s="22" t="inlineStr">
        <is>
          <t>КТГ (техготовность)</t>
        </is>
      </c>
      <c r="C19" s="24" t="inlineStr">
        <is>
          <t>коэф.</t>
        </is>
      </c>
      <c r="E19" s="48">
        <f>'Поставщик 4'!E11</f>
        <v>0.9371878170979199</v>
      </c>
      <c r="F19" s="48">
        <f>'Поставщик 4'!F11</f>
        <v>0.9336363203957382</v>
      </c>
      <c r="G19" s="48">
        <f>'Поставщик 4'!G11</f>
        <v>0.9362999429223744</v>
      </c>
      <c r="H19" s="48">
        <f>'Поставщик 4'!H11</f>
        <v>0.9336363203957382</v>
      </c>
      <c r="I19" s="48">
        <f>'Поставщик 4'!I11</f>
        <v>0.9371878170979199</v>
      </c>
      <c r="J19" s="48">
        <f>'Поставщик 4'!J11</f>
        <v>0.9314166349568747</v>
      </c>
      <c r="K19" s="48">
        <f>'Поставщик 4'!K11</f>
        <v>0.9345241945712837</v>
      </c>
      <c r="L19" s="48">
        <f>'Поставщик 4'!L11</f>
        <v>0.9362999429223744</v>
      </c>
      <c r="M19" s="48">
        <f>'Поставщик 4'!M11</f>
        <v>0.9336363203957382</v>
      </c>
      <c r="N19" s="48">
        <f>'Поставщик 4'!N11</f>
        <v>0.9362999429223744</v>
      </c>
    </row>
    <row r="20">
      <c r="B20" s="22" t="inlineStr">
        <is>
          <t>Затраты на ТОиР и сервис</t>
        </is>
      </c>
      <c r="C20" s="24" t="inlineStr">
        <is>
          <t>тыс.вал/г</t>
        </is>
      </c>
      <c r="D20" s="49" t="str">
        <f>'Поставщик 4'!$D$5</f>
        <v>USD</v>
      </c>
      <c r="E20" s="50">
        <f>'Поставщик 4'!E17</f>
        <v>346.45579999999995</v>
      </c>
      <c r="F20" s="50">
        <f>'Поставщик 4'!F17</f>
        <v>997.7721999999999</v>
      </c>
      <c r="G20" s="50">
        <f>'Поставщик 4'!G17</f>
        <v>888.4280000000001</v>
      </c>
      <c r="H20" s="50">
        <f>'Поставщик 4'!H17</f>
        <v>813.3021999999999</v>
      </c>
      <c r="I20" s="50">
        <f>'Поставщик 4'!I17</f>
        <v>787.5958</v>
      </c>
      <c r="J20" s="50">
        <f>'Поставщик 4'!J17</f>
        <v>1105.2374</v>
      </c>
      <c r="K20" s="50">
        <f>'Поставщик 4'!K17</f>
        <v>804.4739999999999</v>
      </c>
      <c r="L20" s="50">
        <f>'Поставщик 4'!L17</f>
        <v>803.0240000000001</v>
      </c>
      <c r="M20" s="50">
        <f>'Поставщик 4'!M17</f>
        <v>779.9060999999999</v>
      </c>
      <c r="N20" s="50">
        <f>'Поставщик 4'!N17</f>
        <v>798.8990000000001</v>
      </c>
    </row>
    <row r="21">
      <c r="B21" s="22" t="inlineStr">
        <is>
          <t>Удельный расход ДТ/энергии</t>
        </is>
      </c>
      <c r="C21" s="24" t="inlineStr">
        <is>
          <t>кг/час</t>
        </is>
      </c>
      <c r="E21" s="51">
        <f>'Поставщик 4'!E18</f>
        <v>74.8</v>
      </c>
      <c r="F21" s="51">
        <f>'Поставщик 4'!F18</f>
        <v>74.8</v>
      </c>
      <c r="G21" s="51">
        <f>'Поставщик 4'!G18</f>
        <v>74.8</v>
      </c>
      <c r="H21" s="51">
        <f>'Поставщик 4'!H18</f>
        <v>74.8</v>
      </c>
      <c r="I21" s="51">
        <f>'Поставщик 4'!I18</f>
        <v>74.8</v>
      </c>
      <c r="J21" s="51">
        <f>'Поставщик 4'!J18</f>
        <v>74.8</v>
      </c>
      <c r="K21" s="51">
        <f>'Поставщик 4'!K18</f>
        <v>74.8</v>
      </c>
      <c r="L21" s="51">
        <f>'Поставщик 4'!L18</f>
        <v>74.8</v>
      </c>
      <c r="M21" s="51">
        <f>'Поставщик 4'!M18</f>
        <v>74.8</v>
      </c>
      <c r="N21" s="51">
        <f>'Поставщик 4'!N18</f>
        <v>74.8</v>
      </c>
    </row>
    <row r="22">
      <c r="B22" s="5" t="str">
        <f>"Вариант 5:  "&amp;'Ввод данных'!H7</f>
        <v>Вариант 5:  HIFO 75D
(аналог DM75)</v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B23" s="22" t="inlineStr">
        <is>
          <t>КТГ (техготовность)</t>
        </is>
      </c>
      <c r="C23" s="24" t="inlineStr">
        <is>
          <t>коэф.</t>
        </is>
      </c>
      <c r="E23" s="48">
        <f>'Поставщик 5'!E11</f>
        <v>0.8932236174530694</v>
      </c>
      <c r="F23" s="48">
        <f>'Поставщик 5'!F11</f>
        <v>0.8669947044647387</v>
      </c>
      <c r="G23" s="48">
        <f>'Поставщик 5'!G11</f>
        <v>0.8535833650431254</v>
      </c>
      <c r="H23" s="48">
        <f>'Поставщик 5'!H11</f>
        <v>0.8650635781329274</v>
      </c>
      <c r="I23" s="48">
        <f>'Поставщик 5'!I11</f>
        <v>0.8702487633181126</v>
      </c>
      <c r="J23" s="48">
        <f>'Поставщик 5'!J11</f>
        <v>0.844269564941654</v>
      </c>
      <c r="K23" s="48">
        <f>'Поставщик 5'!K11</f>
        <v>0.8584400367833587</v>
      </c>
      <c r="L23" s="48">
        <f>'Поставщик 5'!L11</f>
        <v>0.8705794964485034</v>
      </c>
      <c r="M23" s="48">
        <f>'Поставщик 5'!M11</f>
        <v>0.852906360984272</v>
      </c>
      <c r="N23" s="48">
        <f>'Поставщик 5'!N11</f>
        <v>0.8526777333840689</v>
      </c>
    </row>
    <row r="24">
      <c r="B24" s="22" t="inlineStr">
        <is>
          <t>Затраты на ТОиР и сервис</t>
        </is>
      </c>
      <c r="C24" s="24" t="inlineStr">
        <is>
          <t>тыс.вал/г</t>
        </is>
      </c>
      <c r="D24" s="49" t="str">
        <f>'Поставщик 5'!$D$5</f>
        <v>EUR</v>
      </c>
      <c r="E24" s="50">
        <f>'Поставщик 5'!E17</f>
        <v>128.0532</v>
      </c>
      <c r="F24" s="50">
        <f>'Поставщик 5'!F17</f>
        <v>393.3032</v>
      </c>
      <c r="G24" s="50">
        <f>'Поставщик 5'!G17</f>
        <v>715.667</v>
      </c>
      <c r="H24" s="50">
        <f>'Поставщик 5'!H17</f>
        <v>582.8862</v>
      </c>
      <c r="I24" s="50">
        <f>'Поставщик 5'!I17</f>
        <v>760.4028</v>
      </c>
      <c r="J24" s="50">
        <f>'Поставщик 5'!J17</f>
        <v>557.05</v>
      </c>
      <c r="K24" s="50">
        <f>'Поставщик 5'!K17</f>
        <v>623.3391999999999</v>
      </c>
      <c r="L24" s="50">
        <f>'Поставщик 5'!L17</f>
        <v>621.0963</v>
      </c>
      <c r="M24" s="50">
        <f>'Поставщик 5'!M17</f>
        <v>897.3305999999999</v>
      </c>
      <c r="N24" s="50">
        <f>'Поставщик 5'!N17</f>
        <v>291.9453</v>
      </c>
    </row>
    <row r="25">
      <c r="B25" s="22" t="inlineStr">
        <is>
          <t>Удельный расход ДТ/энергии</t>
        </is>
      </c>
      <c r="C25" s="24" t="inlineStr">
        <is>
          <t>кг/час</t>
        </is>
      </c>
      <c r="E25" s="51">
        <f>'Поставщик 5'!E18</f>
        <v>93.5</v>
      </c>
      <c r="F25" s="51">
        <f>'Поставщик 5'!F18</f>
        <v>93.5</v>
      </c>
      <c r="G25" s="51">
        <f>'Поставщик 5'!G18</f>
        <v>93.5</v>
      </c>
      <c r="H25" s="51">
        <f>'Поставщик 5'!H18</f>
        <v>93.5</v>
      </c>
      <c r="I25" s="51">
        <f>'Поставщик 5'!I18</f>
        <v>93.5</v>
      </c>
      <c r="J25" s="51">
        <f>'Поставщик 5'!J18</f>
        <v>93.5</v>
      </c>
      <c r="K25" s="51">
        <f>'Поставщик 5'!K18</f>
        <v>93.5</v>
      </c>
      <c r="L25" s="51">
        <f>'Поставщик 5'!L18</f>
        <v>93.5</v>
      </c>
      <c r="M25" s="51">
        <f>'Поставщик 5'!M18</f>
        <v>93.5</v>
      </c>
      <c r="N25" s="51">
        <f>'Поставщик 5'!N18</f>
        <v>93.5</v>
      </c>
    </row>
  </sheetData>
  <mergeCells count="8">
    <mergeCell ref="B22:N22"/>
    <mergeCell ref="B14:N14"/>
    <mergeCell ref="B1:N1"/>
    <mergeCell ref="B4:N4"/>
    <mergeCell ref="B18:N18"/>
    <mergeCell ref="B6:N6"/>
    <mergeCell ref="B2:N2"/>
    <mergeCell ref="B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РАСЧЁТ ПРОИЗВОДИТЕЛЬНОСТИ (методика бурения)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Часовая производительность (п.м/час) — физика бурения (геометрия неизменна по годам); полная погодовая таблица — с КТГ по годам.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YANGZI DR75
(аналог Epiroc DM75)</v>
      </c>
      <c r="E4" s="15" t="str">
        <f>'Ввод данных'!E7</f>
        <v>Sunward
SWDRT250SM</v>
      </c>
      <c r="F4" s="15" t="str">
        <f>'Ввод данных'!F7</f>
        <v>Sunward
SWDRT270SM</v>
      </c>
      <c r="G4" s="15" t="str">
        <f>'Ввод данных'!G7</f>
        <v>Sunward
SWDRT270B</v>
      </c>
      <c r="H4" s="15" t="str">
        <f>'Ввод данных'!H7</f>
        <v>HIFO 75D
(аналог DM75)</v>
      </c>
    </row>
    <row r="5">
      <c r="B5" s="52" t="inlineStr">
        <is>
          <t>Стоимость в рублях</t>
        </is>
      </c>
      <c r="C5" s="24" t="inlineStr">
        <is>
          <t>тыс.руб</t>
        </is>
      </c>
      <c r="D5" s="53">
        <f>'Ввод данных'!D11*IF('Ввод данных'!D12="CNY",'Параметры'!C21,IF('Ввод данных'!D12="USD",'Параметры'!C22,IF('Ввод данных'!D12="EUR",'Параметры'!C23,1)))+'Ввод данных'!D13</f>
        <v>152000.0</v>
      </c>
      <c r="E5" s="53">
        <f>'Ввод данных'!E11*IF('Ввод данных'!E12="CNY",'Параметры'!C21,IF('Ввод данных'!E12="USD",'Параметры'!C22,IF('Ввод данных'!E12="EUR",'Параметры'!C23,1)))+'Ввод данных'!E13</f>
        <v>112000.0</v>
      </c>
      <c r="F5" s="53">
        <f>'Ввод данных'!F11*IF('Ввод данных'!F12="CNY",'Параметры'!C21,IF('Ввод данных'!F12="USD",'Параметры'!C22,IF('Ввод данных'!F12="EUR",'Параметры'!C23,1)))+'Ввод данных'!F13</f>
        <v>136000.0</v>
      </c>
      <c r="G5" s="53">
        <f>'Ввод данных'!G11*IF('Ввод данных'!G12="CNY",'Параметры'!C21,IF('Ввод данных'!G12="USD",'Параметры'!C22,IF('Ввод данных'!G12="EUR",'Параметры'!C23,1)))+'Ввод данных'!G13</f>
        <v>136000.0</v>
      </c>
      <c r="H5" s="53">
        <f>'Ввод данных'!H11*IF('Ввод данных'!H12="CNY",'Параметры'!C21,IF('Ввод данных'!H12="USD",'Параметры'!C22,IF('Ввод данных'!H12="EUR",'Параметры'!C23,1)))+'Ввод данных'!H13</f>
        <v>132000.0</v>
      </c>
    </row>
    <row r="6">
      <c r="B6" s="22" t="inlineStr">
        <is>
          <t>Диаметр заряда</t>
        </is>
      </c>
      <c r="C6" s="24" t="inlineStr">
        <is>
          <t>м</t>
        </is>
      </c>
      <c r="D6" s="54">
        <f>'Ввод данных'!D17*'Параметры'!C30</f>
        <v>0.28035000000000004</v>
      </c>
      <c r="E6" s="54">
        <f>'Ввод данных'!E17*'Параметры'!C30</f>
        <v>0.28035000000000004</v>
      </c>
      <c r="F6" s="54">
        <f>'Ввод данных'!F17*'Параметры'!C30</f>
        <v>0.28035000000000004</v>
      </c>
      <c r="G6" s="54">
        <f>'Ввод данных'!G17*'Параметры'!C30</f>
        <v>0.28035000000000004</v>
      </c>
      <c r="H6" s="54">
        <f>'Ввод данных'!H17*'Параметры'!C30</f>
        <v>0.28035000000000004</v>
      </c>
    </row>
    <row r="7">
      <c r="B7" s="22" t="inlineStr">
        <is>
          <t>Теор. скорость бурения (КЗД, КИО=1)</t>
        </is>
      </c>
      <c r="C7" s="24" t="inlineStr">
        <is>
          <t>п.м/час</t>
        </is>
      </c>
      <c r="D7" s="55">
        <f>(0.1*'Ввод данных'!D16)/(POWER(2.73,0.017*'Параметры'!C29)*D6^2)</f>
        <v>18.802618635188317</v>
      </c>
      <c r="E7" s="55">
        <f>(0.1*'Ввод данных'!E16)/(POWER(2.73,0.017*'Параметры'!C29)*E6^2)</f>
        <v>20.503149585282554</v>
      </c>
      <c r="F7" s="55">
        <f>(0.1*'Ввод данных'!F16)/(POWER(2.73,0.017*'Параметры'!C29)*F6^2)</f>
        <v>23.9733387598651</v>
      </c>
      <c r="G7" s="55">
        <f>(0.1*'Ввод данных'!G16)/(POWER(2.73,0.017*'Параметры'!C29)*G6^2)</f>
        <v>23.9733387598651</v>
      </c>
      <c r="H7" s="55">
        <f>(0.1*'Ввод данных'!H16)/(POWER(2.73,0.017*'Параметры'!C29)*H6^2)</f>
        <v>18.802618635188317</v>
      </c>
    </row>
    <row r="8">
      <c r="B8" s="22" t="inlineStr">
        <is>
          <t>Время бурения скважины</t>
        </is>
      </c>
      <c r="C8" s="24" t="inlineStr">
        <is>
          <t>мин</t>
        </is>
      </c>
      <c r="D8" s="55">
        <f>'Параметры'!C31/D7*60</f>
        <v>51.56728532404705</v>
      </c>
      <c r="E8" s="55">
        <f>'Параметры'!C31/E7*60</f>
        <v>47.29029537471611</v>
      </c>
      <c r="F8" s="55">
        <f>'Параметры'!C31/F7*60</f>
        <v>40.444929665919254</v>
      </c>
      <c r="G8" s="55">
        <f>'Параметры'!C31/G7*60</f>
        <v>40.444929665919254</v>
      </c>
      <c r="H8" s="55">
        <f>'Параметры'!C31/H7*60</f>
        <v>51.56728532404705</v>
      </c>
    </row>
    <row r="9">
      <c r="B9" s="22" t="inlineStr">
        <is>
          <t>Время подъёма става</t>
        </is>
      </c>
      <c r="C9" s="24" t="inlineStr">
        <is>
          <t>мин</t>
        </is>
      </c>
      <c r="D9" s="55">
        <f>'Параметры'!C31/('Ввод данных'!D18*'Параметры'!C32)</f>
        <v>0.39223300970873787</v>
      </c>
      <c r="E9" s="55">
        <f>'Параметры'!C31/('Ввод данных'!E18*'Параметры'!C32)</f>
        <v>0.33666666666666667</v>
      </c>
      <c r="F9" s="55">
        <f>'Параметры'!C31/('Ввод данных'!F18*'Параметры'!C32)</f>
        <v>0.4488888888888889</v>
      </c>
      <c r="G9" s="55">
        <f>'Параметры'!C31/('Ввод данных'!G18*'Параметры'!C32)</f>
        <v>0.4488888888888889</v>
      </c>
      <c r="H9" s="55">
        <f>'Параметры'!C31/('Ввод данных'!H18*'Параметры'!C32)</f>
        <v>0.39223300970873787</v>
      </c>
    </row>
    <row r="10">
      <c r="B10" s="22" t="inlineStr">
        <is>
          <t>Время цикла скважины</t>
        </is>
      </c>
      <c r="C10" s="24" t="inlineStr">
        <is>
          <t>мин</t>
        </is>
      </c>
      <c r="D10" s="55">
        <f>D8+'Параметры'!C33+'Ввод данных'!D20*'Ввод данных'!D19*2+D9+'Параметры'!C34</f>
        <v>59.45951833375579</v>
      </c>
      <c r="E10" s="55">
        <f>E8+'Параметры'!C33+'Ввод данных'!E20*'Ввод данных'!E19*2+E9+'Параметры'!C34</f>
        <v>55.126962041382775</v>
      </c>
      <c r="F10" s="55">
        <f>F8+'Параметры'!C33+'Ввод данных'!F20*'Ввод данных'!F19*2+F9+'Параметры'!C34</f>
        <v>48.39381855480814</v>
      </c>
      <c r="G10" s="55">
        <f>G8+'Параметры'!C33+'Ввод данных'!G20*'Ввод данных'!G19*2+G9+'Параметры'!C34</f>
        <v>48.39381855480814</v>
      </c>
      <c r="H10" s="55">
        <f>H8+'Параметры'!C33+'Ввод данных'!H20*'Ввод данных'!H19*2+H9+'Параметры'!C34</f>
        <v>59.45951833375579</v>
      </c>
    </row>
    <row r="11">
      <c r="B11" s="22" t="inlineStr">
        <is>
          <t>Скважин за смену</t>
        </is>
      </c>
      <c r="C11" s="24" t="inlineStr">
        <is>
          <t>ед.</t>
        </is>
      </c>
      <c r="D11" s="55">
        <f>'Параметры'!C28/(D10/60)</f>
        <v>12.109078919182036</v>
      </c>
      <c r="E11" s="55">
        <f>'Параметры'!C28/(E10/60)</f>
        <v>13.06075962356695</v>
      </c>
      <c r="F11" s="55">
        <f>'Параметры'!C28/(F10/60)</f>
        <v>14.877933205137927</v>
      </c>
      <c r="G11" s="55">
        <f>'Параметры'!C28/(G10/60)</f>
        <v>14.877933205137927</v>
      </c>
      <c r="H11" s="55">
        <f>'Параметры'!C28/(H10/60)</f>
        <v>12.109078919182036</v>
      </c>
    </row>
    <row r="12">
      <c r="B12" s="39" t="inlineStr">
        <is>
          <t>Часовая производительность (по КИО)</t>
        </is>
      </c>
      <c r="C12" s="24" t="inlineStr">
        <is>
          <t>п.м/час</t>
        </is>
      </c>
      <c r="D12" s="56">
        <f>D11*'Параметры'!C31/'Параметры'!C28</f>
        <v>16.306892944498475</v>
      </c>
      <c r="E12" s="56">
        <f>E11*'Параметры'!C31/'Параметры'!C28</f>
        <v>17.588489626403494</v>
      </c>
      <c r="F12" s="56">
        <f>F11*'Параметры'!C31/'Параметры'!C28</f>
        <v>20.03561671625241</v>
      </c>
      <c r="G12" s="56">
        <f>G11*'Параметры'!C31/'Параметры'!C28</f>
        <v>20.03561671625241</v>
      </c>
      <c r="H12" s="56">
        <f>H11*'Параметры'!C31/'Параметры'!C28</f>
        <v>16.306892944498475</v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7">
        <f>'Данные по годам'!E7*(1-137.92/(60*'Параметры'!C28))</f>
        <v>0.7526100963977678</v>
      </c>
      <c r="E13" s="57">
        <f>'Данные по годам'!E11*(1-137.92/(60*'Параметры'!C28))</f>
        <v>0.7233917231453295</v>
      </c>
      <c r="F13" s="57">
        <f>'Данные по годам'!E15*(1-137.92/(60*'Параметры'!C28))</f>
        <v>0.7233917231453295</v>
      </c>
      <c r="G13" s="57">
        <f>'Данные по годам'!E19*(1-137.92/(60*'Параметры'!C28))</f>
        <v>0.7576642841338295</v>
      </c>
      <c r="H13" s="57">
        <f>'Данные по годам'!E23*(1-137.92/(60*'Параметры'!C28))</f>
        <v>0.7221216711765037</v>
      </c>
    </row>
    <row r="15">
      <c r="B15" s="5" t="inlineStr">
        <is>
          <t>ПОГОДОВАЯ ПРОИЗВОДИТЕЛЬНОСТЬ (КТГ по годам из «Данные по годам»; часовая производительность — из физики выше)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B16" s="15" t="inlineStr">
        <is>
          <t>Показатель</t>
        </is>
      </c>
      <c r="C16" s="15" t="inlineStr">
        <is>
          <t>Ед.</t>
        </is>
      </c>
      <c r="E16" s="15" t="inlineStr">
        <is>
          <t>год 1</t>
        </is>
      </c>
      <c r="F16" s="15" t="inlineStr">
        <is>
          <t>год 2</t>
        </is>
      </c>
      <c r="G16" s="15" t="inlineStr">
        <is>
          <t>год 3</t>
        </is>
      </c>
      <c r="H16" s="15" t="inlineStr">
        <is>
          <t>год 4</t>
        </is>
      </c>
      <c r="I16" s="15" t="inlineStr">
        <is>
          <t>год 5</t>
        </is>
      </c>
      <c r="J16" s="15" t="inlineStr">
        <is>
          <t>год 6</t>
        </is>
      </c>
      <c r="K16" s="15" t="inlineStr">
        <is>
          <t>год 7</t>
        </is>
      </c>
      <c r="L16" s="15" t="inlineStr">
        <is>
          <t>год 8</t>
        </is>
      </c>
      <c r="M16" s="15" t="inlineStr">
        <is>
          <t>год 9</t>
        </is>
      </c>
      <c r="N16" s="15" t="inlineStr">
        <is>
          <t>год 10</t>
        </is>
      </c>
    </row>
    <row r="17">
      <c r="B17" s="5" t="str">
        <f>"Вариант 1:  "&amp;'Ввод данных'!D7</f>
        <v>Вариант 1:  YANGZI DR75
(аналог Epiroc DM75)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B18" s="39" t="inlineStr">
        <is>
          <t>КТГ (по годам)</t>
        </is>
      </c>
      <c r="C18" s="24" t="inlineStr">
        <is>
          <t>коэф.</t>
        </is>
      </c>
      <c r="E18" s="41">
        <f>'Данные по годам'!E7</f>
        <v>0.9309360730593608</v>
      </c>
      <c r="F18" s="41">
        <f>'Данные по годам'!F7</f>
        <v>0.9171740233384069</v>
      </c>
      <c r="G18" s="41">
        <f>'Данные по годам'!G7</f>
        <v>0.9309360730593608</v>
      </c>
      <c r="H18" s="41">
        <f>'Данные по годам'!H7</f>
        <v>0.9171740233384069</v>
      </c>
      <c r="I18" s="41">
        <f>'Данные по годам'!I7</f>
        <v>0.8865423642820903</v>
      </c>
      <c r="J18" s="41">
        <f>'Данные по годам'!J7</f>
        <v>0.9171740233384069</v>
      </c>
      <c r="K18" s="41">
        <f>'Данные по годам'!K7</f>
        <v>0.8505834601725013</v>
      </c>
      <c r="L18" s="41">
        <f>'Данные по годам'!L7</f>
        <v>0.9198376458650431</v>
      </c>
      <c r="M18" s="41">
        <f>'Данные по годам'!M7</f>
        <v>0.9282724505327246</v>
      </c>
      <c r="N18" s="41">
        <f>'Данные по годам'!N7</f>
        <v>0.8532470826991375</v>
      </c>
    </row>
    <row r="19">
      <c r="B19" s="39" t="inlineStr">
        <is>
          <t>КИО</t>
        </is>
      </c>
      <c r="C19" s="24" t="inlineStr">
        <is>
          <t>коэф.</t>
        </is>
      </c>
      <c r="E19" s="41">
        <f>E18*(1-137.92/(60*'Параметры'!C28))</f>
        <v>0.7526100963977678</v>
      </c>
      <c r="F19" s="41">
        <f>F18*(1-137.92/(60*'Параметры'!C28))</f>
        <v>0.7414842437566944</v>
      </c>
      <c r="G19" s="41">
        <f>G18*(1-137.92/(60*'Параметры'!C28))</f>
        <v>0.7526100963977678</v>
      </c>
      <c r="H19" s="41">
        <f>H18*(1-137.92/(60*'Параметры'!C28))</f>
        <v>0.7414842437566944</v>
      </c>
      <c r="I19" s="41">
        <f>I18*(1-137.92/(60*'Параметры'!C28))</f>
        <v>0.7167202491684989</v>
      </c>
      <c r="J19" s="41">
        <f>J18*(1-137.92/(60*'Параметры'!C28))</f>
        <v>0.7414842437566944</v>
      </c>
      <c r="K19" s="41">
        <f>K18*(1-137.92/(60*'Параметры'!C28))</f>
        <v>0.6876494729127911</v>
      </c>
      <c r="L19" s="41">
        <f>L18*(1-137.92/(60*'Параметры'!C28))</f>
        <v>0.7436376345904505</v>
      </c>
      <c r="M19" s="41">
        <f>M18*(1-137.92/(60*'Параметры'!C28))</f>
        <v>0.7504567055640116</v>
      </c>
      <c r="N19" s="41">
        <f>N18*(1-137.92/(60*'Параметры'!C28))</f>
        <v>0.6898028637465472</v>
      </c>
    </row>
    <row r="20">
      <c r="B20" s="39" t="inlineStr">
        <is>
          <t>Эффективное время</t>
        </is>
      </c>
      <c r="C20" s="24" t="inlineStr">
        <is>
          <t>час/год</t>
        </is>
      </c>
      <c r="E20" s="40">
        <f>'Параметры'!C27*E19</f>
        <v>6592.864444444445</v>
      </c>
      <c r="F20" s="40">
        <f>'Параметры'!C27*F19</f>
        <v>6495.401975308643</v>
      </c>
      <c r="G20" s="40">
        <f>'Параметры'!C27*G19</f>
        <v>6592.864444444445</v>
      </c>
      <c r="H20" s="40">
        <f>'Параметры'!C27*H19</f>
        <v>6495.401975308643</v>
      </c>
      <c r="I20" s="40">
        <f>'Параметры'!C27*I19</f>
        <v>6278.46938271605</v>
      </c>
      <c r="J20" s="40">
        <f>'Параметры'!C27*J19</f>
        <v>6495.401975308643</v>
      </c>
      <c r="K20" s="40">
        <f>'Параметры'!C27*K19</f>
        <v>6023.80938271605</v>
      </c>
      <c r="L20" s="40">
        <f>'Параметры'!C27*L19</f>
        <v>6514.2656790123465</v>
      </c>
      <c r="M20" s="40">
        <f>'Параметры'!C27*M19</f>
        <v>6574.000740740741</v>
      </c>
      <c r="N20" s="40">
        <f>'Параметры'!C27*N19</f>
        <v>6042.673086419753</v>
      </c>
    </row>
    <row r="21">
      <c r="B21" s="39" t="inlineStr">
        <is>
          <t>Объём бурения</t>
        </is>
      </c>
      <c r="C21" s="24" t="inlineStr">
        <is>
          <t>тыс.пог.м</t>
        </is>
      </c>
      <c r="E21" s="58">
        <f>'Производительность'!D12*E20/1000</f>
        <v>107.50913469314598</v>
      </c>
      <c r="F21" s="58">
        <f>'Производительность'!D12*F20/1000</f>
        <v>105.91982464284196</v>
      </c>
      <c r="G21" s="58">
        <f>'Производительность'!D12*G20/1000</f>
        <v>107.50913469314598</v>
      </c>
      <c r="H21" s="58">
        <f>'Производительность'!D12*H20/1000</f>
        <v>105.91982464284196</v>
      </c>
      <c r="I21" s="58">
        <f>'Производительность'!D12*I20/1000</f>
        <v>102.38232807926205</v>
      </c>
      <c r="J21" s="58">
        <f>'Производительность'!D12*J20/1000</f>
        <v>105.91982464284196</v>
      </c>
      <c r="K21" s="58">
        <f>'Производительность'!D12*K20/1000</f>
        <v>98.22961472201608</v>
      </c>
      <c r="L21" s="58">
        <f>'Производительность'!D12*L20/1000</f>
        <v>106.227433039675</v>
      </c>
      <c r="M21" s="58">
        <f>'Производительность'!D12*M20/1000</f>
        <v>107.20152629631293</v>
      </c>
      <c r="N21" s="58">
        <f>'Производительность'!D12*N20/1000</f>
        <v>98.5372231188491</v>
      </c>
    </row>
    <row r="22">
      <c r="B22" s="39" t="inlineStr">
        <is>
          <t>Объём взрывания</t>
        </is>
      </c>
      <c r="C22" s="24" t="inlineStr">
        <is>
          <t>тыс.м³</t>
        </is>
      </c>
      <c r="E22" s="40">
        <f>E21*'Параметры'!C35</f>
        <v>5317.939347596466</v>
      </c>
      <c r="F22" s="40">
        <f>F21*'Параметры'!C35</f>
        <v>5239.324125958178</v>
      </c>
      <c r="G22" s="40">
        <f>G21*'Параметры'!C35</f>
        <v>5317.939347596466</v>
      </c>
      <c r="H22" s="40">
        <f>H21*'Параметры'!C35</f>
        <v>5239.324125958178</v>
      </c>
      <c r="I22" s="40">
        <f>I21*'Параметры'!C35</f>
        <v>5064.341858440698</v>
      </c>
      <c r="J22" s="40">
        <f>J21*'Параметры'!C35</f>
        <v>5239.324125958178</v>
      </c>
      <c r="K22" s="40">
        <f>K21*'Параметры'!C35</f>
        <v>4858.927892224526</v>
      </c>
      <c r="L22" s="40">
        <f>L21*'Параметры'!C35</f>
        <v>5254.539975307524</v>
      </c>
      <c r="M22" s="40">
        <f>M21*'Параметры'!C35</f>
        <v>5302.72349824712</v>
      </c>
      <c r="N22" s="40">
        <f>N21*'Параметры'!C35</f>
        <v>4874.143741573871</v>
      </c>
    </row>
    <row r="24">
      <c r="B24" s="5" t="str">
        <f>"Вариант 2:  "&amp;'Ввод данных'!E7</f>
        <v>Вариант 2:  Sunward
SWDRT250SM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B25" s="39" t="inlineStr">
        <is>
          <t>КТГ (по годам)</t>
        </is>
      </c>
      <c r="C25" s="24" t="inlineStr">
        <is>
          <t>коэф.</t>
        </is>
      </c>
      <c r="E25" s="41">
        <f>'Данные по годам'!E11</f>
        <v>0.894794599822425</v>
      </c>
      <c r="F25" s="41">
        <f>'Данные по годам'!F11</f>
        <v>0.8653837677574835</v>
      </c>
      <c r="G25" s="41">
        <f>'Данные по годам'!G11</f>
        <v>0.8454065988077117</v>
      </c>
      <c r="H25" s="41">
        <f>'Данные по годам'!H11</f>
        <v>0.8748174308726534</v>
      </c>
      <c r="I25" s="41">
        <f>'Данные по годам'!I11</f>
        <v>0.8653837677574835</v>
      </c>
      <c r="J25" s="41">
        <f>'Данные по годам'!J11</f>
        <v>0.8431869133688482</v>
      </c>
      <c r="K25" s="41">
        <f>'Данные по годам'!K11</f>
        <v>0.8620542395991883</v>
      </c>
      <c r="L25" s="41">
        <f>'Данные по годам'!L11</f>
        <v>0.8653837677574835</v>
      </c>
      <c r="M25" s="41">
        <f>'Данные по годам'!M11</f>
        <v>0.8498459696854388</v>
      </c>
      <c r="N25" s="41">
        <f>'Данные по годам'!N11</f>
        <v>0.8542853405631659</v>
      </c>
    </row>
    <row r="26">
      <c r="B26" s="39" t="inlineStr">
        <is>
          <t>КИО</t>
        </is>
      </c>
      <c r="C26" s="24" t="inlineStr">
        <is>
          <t>коэф.</t>
        </is>
      </c>
      <c r="E26" s="41">
        <f>E25*(1-137.92/(60*'Параметры'!C28))</f>
        <v>0.7233917231453295</v>
      </c>
      <c r="F26" s="41">
        <f>F25*(1-137.92/(60*'Параметры'!C28))</f>
        <v>0.6996146993559389</v>
      </c>
      <c r="G26" s="41">
        <f>G25*(1-137.92/(60*'Параметры'!C28))</f>
        <v>0.683464268102768</v>
      </c>
      <c r="H26" s="41">
        <f>H25*(1-137.92/(60*'Параметры'!C28))</f>
        <v>0.7072412918921586</v>
      </c>
      <c r="I26" s="41">
        <f>I25*(1-137.92/(60*'Параметры'!C28))</f>
        <v>0.6996146993559389</v>
      </c>
      <c r="J26" s="41">
        <f>J25*(1-137.92/(60*'Параметры'!C28))</f>
        <v>0.6816697757413045</v>
      </c>
      <c r="K26" s="41">
        <f>K25*(1-137.92/(60*'Параметры'!C28))</f>
        <v>0.6969229608137438</v>
      </c>
      <c r="L26" s="41">
        <f>L25*(1-137.92/(60*'Параметры'!C28))</f>
        <v>0.6996146993559389</v>
      </c>
      <c r="M26" s="41">
        <f>M25*(1-137.92/(60*'Параметры'!C28))</f>
        <v>0.6870532528256948</v>
      </c>
      <c r="N26" s="41">
        <f>N25*(1-137.92/(60*'Параметры'!C28))</f>
        <v>0.6906422375486218</v>
      </c>
    </row>
    <row r="27">
      <c r="B27" s="39" t="inlineStr">
        <is>
          <t>Эффективное время</t>
        </is>
      </c>
      <c r="C27" s="24" t="inlineStr">
        <is>
          <t>час/год</t>
        </is>
      </c>
      <c r="E27" s="40">
        <f>'Параметры'!C27*E26</f>
        <v>6336.911494753086</v>
      </c>
      <c r="F27" s="40">
        <f>'Параметры'!C27*F26</f>
        <v>6128.624766358024</v>
      </c>
      <c r="G27" s="40">
        <f>'Параметры'!C27*G26</f>
        <v>5987.146988580247</v>
      </c>
      <c r="H27" s="40">
        <f>'Параметры'!C27*H26</f>
        <v>6195.433716975309</v>
      </c>
      <c r="I27" s="40">
        <f>'Параметры'!C27*I26</f>
        <v>6128.624766358024</v>
      </c>
      <c r="J27" s="40">
        <f>'Параметры'!C27*J26</f>
        <v>5971.4272354938275</v>
      </c>
      <c r="K27" s="40">
        <f>'Параметры'!C27*K26</f>
        <v>6105.045136728396</v>
      </c>
      <c r="L27" s="40">
        <f>'Параметры'!C27*L26</f>
        <v>6128.624766358024</v>
      </c>
      <c r="M27" s="40">
        <f>'Параметры'!C27*M26</f>
        <v>6018.586494753087</v>
      </c>
      <c r="N27" s="40">
        <f>'Параметры'!C27*N26</f>
        <v>6050.026000925926</v>
      </c>
    </row>
    <row r="28">
      <c r="B28" s="39" t="inlineStr">
        <is>
          <t>Объём бурения</t>
        </is>
      </c>
      <c r="C28" s="24" t="inlineStr">
        <is>
          <t>тыс.пог.м</t>
        </is>
      </c>
      <c r="E28" s="58">
        <f>'Производительность'!E12*E27/1000</f>
        <v>111.45670208890172</v>
      </c>
      <c r="F28" s="58">
        <f>'Производительность'!E12*F27/1000</f>
        <v>107.79325312720765</v>
      </c>
      <c r="G28" s="58">
        <f>'Производительность'!E12*G27/1000</f>
        <v>105.30487270039659</v>
      </c>
      <c r="H28" s="58">
        <f>'Производительность'!E12*H27/1000</f>
        <v>108.96832166209066</v>
      </c>
      <c r="I28" s="58">
        <f>'Производительность'!E12*I27/1000</f>
        <v>107.79325312720765</v>
      </c>
      <c r="J28" s="58">
        <f>'Производительность'!E12*J27/1000</f>
        <v>105.02838598630647</v>
      </c>
      <c r="K28" s="58">
        <f>'Производительность'!E12*K27/1000</f>
        <v>107.3785230560725</v>
      </c>
      <c r="L28" s="58">
        <f>'Производительность'!E12*L27/1000</f>
        <v>107.79325312720765</v>
      </c>
      <c r="M28" s="58">
        <f>'Производительность'!E12*M27/1000</f>
        <v>105.85784612857684</v>
      </c>
      <c r="N28" s="58">
        <f>'Производительность'!E12*N27/1000</f>
        <v>106.41081955675706</v>
      </c>
    </row>
    <row r="29">
      <c r="B29" s="39" t="inlineStr">
        <is>
          <t>Объём взрывания</t>
        </is>
      </c>
      <c r="C29" s="24" t="inlineStr">
        <is>
          <t>тыс.м³</t>
        </is>
      </c>
      <c r="E29" s="40">
        <f>E28*'Параметры'!C35</f>
        <v>5513.2057688275245</v>
      </c>
      <c r="F29" s="40">
        <f>F28*'Параметры'!C35</f>
        <v>5331.993265937327</v>
      </c>
      <c r="G29" s="40">
        <f>G28*'Параметры'!C35</f>
        <v>5208.905528125118</v>
      </c>
      <c r="H29" s="40">
        <f>H28*'Параметры'!C35</f>
        <v>5390.118031015315</v>
      </c>
      <c r="I29" s="40">
        <f>I28*'Параметры'!C35</f>
        <v>5331.993265937327</v>
      </c>
      <c r="J29" s="40">
        <f>J28*'Параметры'!C35</f>
        <v>5195.22911281265</v>
      </c>
      <c r="K29" s="40">
        <f>K28*'Параметры'!C35</f>
        <v>5311.478642968626</v>
      </c>
      <c r="L29" s="40">
        <f>L28*'Параметры'!C35</f>
        <v>5331.993265937327</v>
      </c>
      <c r="M29" s="40">
        <f>M28*'Параметры'!C35</f>
        <v>5236.258358750054</v>
      </c>
      <c r="N29" s="40">
        <f>N28*'Параметры'!C35</f>
        <v>5263.6111893749885</v>
      </c>
    </row>
    <row r="31">
      <c r="B31" s="5" t="str">
        <f>"Вариант 3:  "&amp;'Ввод данных'!F7</f>
        <v>Вариант 3:  Sunward
SWDRT270SM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39" t="inlineStr">
        <is>
          <t>КТГ (по годам)</t>
        </is>
      </c>
      <c r="C32" s="24" t="inlineStr">
        <is>
          <t>коэф.</t>
        </is>
      </c>
      <c r="E32" s="41">
        <f>'Данные по годам'!E15</f>
        <v>0.894794599822425</v>
      </c>
      <c r="F32" s="41">
        <f>'Данные по годам'!F15</f>
        <v>0.8653837677574835</v>
      </c>
      <c r="G32" s="41">
        <f>'Данные по годам'!G15</f>
        <v>0.8454065988077117</v>
      </c>
      <c r="H32" s="41">
        <f>'Данные по годам'!H15</f>
        <v>0.8748174308726534</v>
      </c>
      <c r="I32" s="41">
        <f>'Данные по годам'!I15</f>
        <v>0.8653837677574835</v>
      </c>
      <c r="J32" s="41">
        <f>'Данные по годам'!J15</f>
        <v>0.8431869133688482</v>
      </c>
      <c r="K32" s="41">
        <f>'Данные по годам'!K15</f>
        <v>0.8620542395991883</v>
      </c>
      <c r="L32" s="41">
        <f>'Данные по годам'!L15</f>
        <v>0.8653837677574835</v>
      </c>
      <c r="M32" s="41">
        <f>'Данные по годам'!M15</f>
        <v>0.8498459696854388</v>
      </c>
      <c r="N32" s="41">
        <f>'Данные по годам'!N15</f>
        <v>0.8542853405631659</v>
      </c>
    </row>
    <row r="33">
      <c r="B33" s="39" t="inlineStr">
        <is>
          <t>КИО</t>
        </is>
      </c>
      <c r="C33" s="24" t="inlineStr">
        <is>
          <t>коэф.</t>
        </is>
      </c>
      <c r="E33" s="41">
        <f>E32*(1-137.92/(60*'Параметры'!C28))</f>
        <v>0.7233917231453295</v>
      </c>
      <c r="F33" s="41">
        <f>F32*(1-137.92/(60*'Параметры'!C28))</f>
        <v>0.6996146993559389</v>
      </c>
      <c r="G33" s="41">
        <f>G32*(1-137.92/(60*'Параметры'!C28))</f>
        <v>0.683464268102768</v>
      </c>
      <c r="H33" s="41">
        <f>H32*(1-137.92/(60*'Параметры'!C28))</f>
        <v>0.7072412918921586</v>
      </c>
      <c r="I33" s="41">
        <f>I32*(1-137.92/(60*'Параметры'!C28))</f>
        <v>0.6996146993559389</v>
      </c>
      <c r="J33" s="41">
        <f>J32*(1-137.92/(60*'Параметры'!C28))</f>
        <v>0.6816697757413045</v>
      </c>
      <c r="K33" s="41">
        <f>K32*(1-137.92/(60*'Параметры'!C28))</f>
        <v>0.6969229608137438</v>
      </c>
      <c r="L33" s="41">
        <f>L32*(1-137.92/(60*'Параметры'!C28))</f>
        <v>0.6996146993559389</v>
      </c>
      <c r="M33" s="41">
        <f>M32*(1-137.92/(60*'Параметры'!C28))</f>
        <v>0.6870532528256948</v>
      </c>
      <c r="N33" s="41">
        <f>N32*(1-137.92/(60*'Параметры'!C28))</f>
        <v>0.6906422375486218</v>
      </c>
    </row>
    <row r="34">
      <c r="B34" s="39" t="inlineStr">
        <is>
          <t>Эффективное время</t>
        </is>
      </c>
      <c r="C34" s="24" t="inlineStr">
        <is>
          <t>час/год</t>
        </is>
      </c>
      <c r="E34" s="40">
        <f>'Параметры'!C27*E33</f>
        <v>6336.911494753086</v>
      </c>
      <c r="F34" s="40">
        <f>'Параметры'!C27*F33</f>
        <v>6128.624766358024</v>
      </c>
      <c r="G34" s="40">
        <f>'Параметры'!C27*G33</f>
        <v>5987.146988580247</v>
      </c>
      <c r="H34" s="40">
        <f>'Параметры'!C27*H33</f>
        <v>6195.433716975309</v>
      </c>
      <c r="I34" s="40">
        <f>'Параметры'!C27*I33</f>
        <v>6128.624766358024</v>
      </c>
      <c r="J34" s="40">
        <f>'Параметры'!C27*J33</f>
        <v>5971.4272354938275</v>
      </c>
      <c r="K34" s="40">
        <f>'Параметры'!C27*K33</f>
        <v>6105.045136728396</v>
      </c>
      <c r="L34" s="40">
        <f>'Параметры'!C27*L33</f>
        <v>6128.624766358024</v>
      </c>
      <c r="M34" s="40">
        <f>'Параметры'!C27*M33</f>
        <v>6018.586494753087</v>
      </c>
      <c r="N34" s="40">
        <f>'Параметры'!C27*N33</f>
        <v>6050.026000925926</v>
      </c>
    </row>
    <row r="35">
      <c r="B35" s="39" t="inlineStr">
        <is>
          <t>Объём бурения</t>
        </is>
      </c>
      <c r="C35" s="24" t="inlineStr">
        <is>
          <t>тыс.пог.м</t>
        </is>
      </c>
      <c r="E35" s="58">
        <f>'Производительность'!F12*E34/1000</f>
        <v>126.96392987368696</v>
      </c>
      <c r="F35" s="58">
        <f>'Производительность'!F12*F34/1000</f>
        <v>122.79077681648134</v>
      </c>
      <c r="G35" s="58">
        <f>'Производительность'!F12*G34/1000</f>
        <v>119.95618228705868</v>
      </c>
      <c r="H35" s="58">
        <f>'Производительность'!F12*H34/1000</f>
        <v>124.1293353442643</v>
      </c>
      <c r="I35" s="58">
        <f>'Производительность'!F12*I34/1000</f>
        <v>122.79077681648134</v>
      </c>
      <c r="J35" s="58">
        <f>'Производительность'!F12*J34/1000</f>
        <v>119.64122733934505</v>
      </c>
      <c r="K35" s="58">
        <f>'Производительность'!F12*K34/1000</f>
        <v>122.31834439491092</v>
      </c>
      <c r="L35" s="58">
        <f>'Производительность'!F12*L34/1000</f>
        <v>122.79077681648134</v>
      </c>
      <c r="M35" s="58">
        <f>'Производительность'!F12*M34/1000</f>
        <v>120.58609218248596</v>
      </c>
      <c r="N35" s="58">
        <f>'Производительность'!F12*N34/1000</f>
        <v>121.2160020779132</v>
      </c>
    </row>
    <row r="36">
      <c r="B36" s="39" t="inlineStr">
        <is>
          <t>Объём взрывания</t>
        </is>
      </c>
      <c r="C36" s="24" t="inlineStr">
        <is>
          <t>тыс.м³</t>
        </is>
      </c>
      <c r="E36" s="40">
        <f>E35*'Параметры'!C35</f>
        <v>6280.270791201926</v>
      </c>
      <c r="F36" s="40">
        <f>F35*'Параметры'!C35</f>
        <v>6073.84577522725</v>
      </c>
      <c r="G36" s="40">
        <f>G35*'Параметры'!C35</f>
        <v>5933.632556829358</v>
      </c>
      <c r="H36" s="40">
        <f>H35*'Параметры'!C35</f>
        <v>6140.057572804034</v>
      </c>
      <c r="I36" s="40">
        <f>I35*'Параметры'!C35</f>
        <v>6073.84577522725</v>
      </c>
      <c r="J36" s="40">
        <f>J35*'Параметры'!C35</f>
        <v>5918.053310340703</v>
      </c>
      <c r="K36" s="40">
        <f>K35*'Параметры'!C35</f>
        <v>6050.476905494269</v>
      </c>
      <c r="L36" s="40">
        <f>L35*'Параметры'!C35</f>
        <v>6073.84577522725</v>
      </c>
      <c r="M36" s="40">
        <f>M35*'Параметры'!C35</f>
        <v>5964.7910498066685</v>
      </c>
      <c r="N36" s="40">
        <f>N35*'Параметры'!C35</f>
        <v>5995.9495427839765</v>
      </c>
    </row>
    <row r="38">
      <c r="B38" s="5" t="str">
        <f>"Вариант 4:  "&amp;'Ввод данных'!G7</f>
        <v>Вариант 4:  Sunward
SWDRT270B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B39" s="39" t="inlineStr">
        <is>
          <t>КТГ (по годам)</t>
        </is>
      </c>
      <c r="C39" s="24" t="inlineStr">
        <is>
          <t>коэф.</t>
        </is>
      </c>
      <c r="E39" s="41">
        <f>'Данные по годам'!E19</f>
        <v>0.9371878170979199</v>
      </c>
      <c r="F39" s="41">
        <f>'Данные по годам'!F19</f>
        <v>0.9336363203957382</v>
      </c>
      <c r="G39" s="41">
        <f>'Данные по годам'!G19</f>
        <v>0.9362999429223744</v>
      </c>
      <c r="H39" s="41">
        <f>'Данные по годам'!H19</f>
        <v>0.9336363203957382</v>
      </c>
      <c r="I39" s="41">
        <f>'Данные по годам'!I19</f>
        <v>0.9371878170979199</v>
      </c>
      <c r="J39" s="41">
        <f>'Данные по годам'!J19</f>
        <v>0.9314166349568747</v>
      </c>
      <c r="K39" s="41">
        <f>'Данные по годам'!K19</f>
        <v>0.9345241945712837</v>
      </c>
      <c r="L39" s="41">
        <f>'Данные по годам'!L19</f>
        <v>0.9362999429223744</v>
      </c>
      <c r="M39" s="41">
        <f>'Данные по годам'!M19</f>
        <v>0.9336363203957382</v>
      </c>
      <c r="N39" s="41">
        <f>'Данные по годам'!N19</f>
        <v>0.9362999429223744</v>
      </c>
    </row>
    <row r="40">
      <c r="B40" s="39" t="inlineStr">
        <is>
          <t>КИО</t>
        </is>
      </c>
      <c r="C40" s="24" t="inlineStr">
        <is>
          <t>коэф.</t>
        </is>
      </c>
      <c r="E40" s="41">
        <f>E39*(1-137.92/(60*'Параметры'!C28))</f>
        <v>0.7576642841338295</v>
      </c>
      <c r="F40" s="41">
        <f>F39*(1-137.92/(60*'Параметры'!C28))</f>
        <v>0.754793096355488</v>
      </c>
      <c r="G40" s="41">
        <f>G39*(1-137.92/(60*'Параметры'!C28))</f>
        <v>0.7569464871892441</v>
      </c>
      <c r="H40" s="41">
        <f>H39*(1-137.92/(60*'Параметры'!C28))</f>
        <v>0.754793096355488</v>
      </c>
      <c r="I40" s="41">
        <f>I39*(1-137.92/(60*'Параметры'!C28))</f>
        <v>0.7576642841338295</v>
      </c>
      <c r="J40" s="41">
        <f>J39*(1-137.92/(60*'Параметры'!C28))</f>
        <v>0.7529986039940245</v>
      </c>
      <c r="K40" s="41">
        <f>K39*(1-137.92/(60*'Параметры'!C28))</f>
        <v>0.7555108933000734</v>
      </c>
      <c r="L40" s="41">
        <f>L39*(1-137.92/(60*'Параметры'!C28))</f>
        <v>0.7569464871892441</v>
      </c>
      <c r="M40" s="41">
        <f>M39*(1-137.92/(60*'Параметры'!C28))</f>
        <v>0.754793096355488</v>
      </c>
      <c r="N40" s="41">
        <f>N39*(1-137.92/(60*'Параметры'!C28))</f>
        <v>0.7569464871892441</v>
      </c>
    </row>
    <row r="41">
      <c r="B41" s="39" t="inlineStr">
        <is>
          <t>Эффективное время</t>
        </is>
      </c>
      <c r="C41" s="24" t="inlineStr">
        <is>
          <t>час/год</t>
        </is>
      </c>
      <c r="E41" s="40">
        <f>'Параметры'!C27*E40</f>
        <v>6637.1391290123465</v>
      </c>
      <c r="F41" s="40">
        <f>'Параметры'!C27*F40</f>
        <v>6611.987524074075</v>
      </c>
      <c r="G41" s="40">
        <f>'Параметры'!C27*G40</f>
        <v>6630.851227777778</v>
      </c>
      <c r="H41" s="40">
        <f>'Параметры'!C27*H40</f>
        <v>6611.987524074075</v>
      </c>
      <c r="I41" s="40">
        <f>'Параметры'!C27*I40</f>
        <v>6637.1391290123465</v>
      </c>
      <c r="J41" s="40">
        <f>'Параметры'!C27*J40</f>
        <v>6596.267770987654</v>
      </c>
      <c r="K41" s="40">
        <f>'Параметры'!C27*K40</f>
        <v>6618.275425308642</v>
      </c>
      <c r="L41" s="40">
        <f>'Параметры'!C27*L40</f>
        <v>6630.851227777778</v>
      </c>
      <c r="M41" s="40">
        <f>'Параметры'!C27*M40</f>
        <v>6611.987524074075</v>
      </c>
      <c r="N41" s="40">
        <f>'Параметры'!C27*N40</f>
        <v>6630.851227777778</v>
      </c>
    </row>
    <row r="42">
      <c r="B42" s="39" t="inlineStr">
        <is>
          <t>Объём бурения</t>
        </is>
      </c>
      <c r="C42" s="24" t="inlineStr">
        <is>
          <t>тыс.пог.м</t>
        </is>
      </c>
      <c r="E42" s="58">
        <f>'Производительность'!G12*E41/1000</f>
        <v>132.97917568133275</v>
      </c>
      <c r="F42" s="58">
        <f>'Производительность'!G12*F41/1000</f>
        <v>132.47524776499094</v>
      </c>
      <c r="G42" s="58">
        <f>'Производительность'!G12*G41/1000</f>
        <v>132.85319370224727</v>
      </c>
      <c r="H42" s="58">
        <f>'Производительность'!G12*H41/1000</f>
        <v>132.47524776499094</v>
      </c>
      <c r="I42" s="58">
        <f>'Производительность'!G12*I41/1000</f>
        <v>132.97917568133275</v>
      </c>
      <c r="J42" s="58">
        <f>'Производительность'!G12*J41/1000</f>
        <v>132.16029281727728</v>
      </c>
      <c r="K42" s="58">
        <f>'Производительность'!G12*K41/1000</f>
        <v>132.60122974407636</v>
      </c>
      <c r="L42" s="58">
        <f>'Производительность'!G12*L41/1000</f>
        <v>132.85319370224727</v>
      </c>
      <c r="M42" s="58">
        <f>'Производительность'!G12*M41/1000</f>
        <v>132.47524776499094</v>
      </c>
      <c r="N42" s="58">
        <f>'Производительность'!G12*N41/1000</f>
        <v>132.85319370224727</v>
      </c>
    </row>
    <row r="43">
      <c r="B43" s="39" t="inlineStr">
        <is>
          <t>Объём взрывания</t>
        </is>
      </c>
      <c r="C43" s="24" t="inlineStr">
        <is>
          <t>тыс.м³</t>
        </is>
      </c>
      <c r="E43" s="40">
        <f>E42*'Параметры'!C35</f>
        <v>6577.814925077125</v>
      </c>
      <c r="F43" s="40">
        <f>F42*'Параметры'!C35</f>
        <v>6552.888130695277</v>
      </c>
      <c r="G43" s="40">
        <f>G42*'Параметры'!C35</f>
        <v>6571.583226481662</v>
      </c>
      <c r="H43" s="40">
        <f>H42*'Параметры'!C35</f>
        <v>6552.888130695277</v>
      </c>
      <c r="I43" s="40">
        <f>I42*'Параметры'!C35</f>
        <v>6577.814925077125</v>
      </c>
      <c r="J43" s="40">
        <f>J42*'Параметры'!C35</f>
        <v>6537.308884206621</v>
      </c>
      <c r="K43" s="40">
        <f>K42*'Параметры'!C35</f>
        <v>6559.1198292907375</v>
      </c>
      <c r="L43" s="40">
        <f>L42*'Параметры'!C35</f>
        <v>6571.583226481662</v>
      </c>
      <c r="M43" s="40">
        <f>M42*'Параметры'!C35</f>
        <v>6552.888130695277</v>
      </c>
      <c r="N43" s="40">
        <f>N42*'Параметры'!C35</f>
        <v>6571.583226481662</v>
      </c>
    </row>
    <row r="45">
      <c r="B45" s="5" t="str">
        <f>"Вариант 5:  "&amp;'Ввод данных'!H7</f>
        <v>Вариант 5:  HIFO 75D
(аналог DM75)</v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B46" s="39" t="inlineStr">
        <is>
          <t>КТГ (по годам)</t>
        </is>
      </c>
      <c r="C46" s="24" t="inlineStr">
        <is>
          <t>коэф.</t>
        </is>
      </c>
      <c r="E46" s="41">
        <f>'Данные по годам'!E23</f>
        <v>0.8932236174530694</v>
      </c>
      <c r="F46" s="41">
        <f>'Данные по годам'!F23</f>
        <v>0.8669947044647387</v>
      </c>
      <c r="G46" s="41">
        <f>'Данные по годам'!G23</f>
        <v>0.8535833650431254</v>
      </c>
      <c r="H46" s="41">
        <f>'Данные по годам'!H23</f>
        <v>0.8650635781329274</v>
      </c>
      <c r="I46" s="41">
        <f>'Данные по годам'!I23</f>
        <v>0.8702487633181126</v>
      </c>
      <c r="J46" s="41">
        <f>'Данные по годам'!J23</f>
        <v>0.844269564941654</v>
      </c>
      <c r="K46" s="41">
        <f>'Данные по годам'!K23</f>
        <v>0.8584400367833587</v>
      </c>
      <c r="L46" s="41">
        <f>'Данные по годам'!L23</f>
        <v>0.8705794964485034</v>
      </c>
      <c r="M46" s="41">
        <f>'Данные по годам'!M23</f>
        <v>0.852906360984272</v>
      </c>
      <c r="N46" s="41">
        <f>'Данные по годам'!N23</f>
        <v>0.8526777333840689</v>
      </c>
    </row>
    <row r="47">
      <c r="B47" s="39" t="inlineStr">
        <is>
          <t>КИО</t>
        </is>
      </c>
      <c r="C47" s="24" t="inlineStr">
        <is>
          <t>коэф.</t>
        </is>
      </c>
      <c r="E47" s="41">
        <f>E46*(1-137.92/(60*'Параметры'!C28))</f>
        <v>0.7221216711765037</v>
      </c>
      <c r="F47" s="41">
        <f>F46*(1-137.92/(60*'Параметры'!C28))</f>
        <v>0.7009170521872711</v>
      </c>
      <c r="G47" s="41">
        <f>G46*(1-137.92/(60*'Параметры'!C28))</f>
        <v>0.690074729339309</v>
      </c>
      <c r="H47" s="41">
        <f>H46*(1-137.92/(60*'Параметры'!C28))</f>
        <v>0.6993558438327978</v>
      </c>
      <c r="I47" s="41">
        <f>I46*(1-137.92/(60*'Параметры'!C28))</f>
        <v>0.7035477779891764</v>
      </c>
      <c r="J47" s="41">
        <f>J46*(1-137.92/(60*'Параметры'!C28))</f>
        <v>0.6825450393906083</v>
      </c>
      <c r="K47" s="41">
        <f>K46*(1-137.92/(60*'Параметры'!C28))</f>
        <v>0.6940010786261909</v>
      </c>
      <c r="L47" s="41">
        <f>L46*(1-137.92/(60*'Параметры'!C28))</f>
        <v>0.7038151573510346</v>
      </c>
      <c r="M47" s="41">
        <f>M46*(1-137.92/(60*'Параметры'!C28))</f>
        <v>0.6895274091690626</v>
      </c>
      <c r="N47" s="41">
        <f>N46*(1-137.92/(60*'Параметры'!C28))</f>
        <v>0.6893425764558317</v>
      </c>
    </row>
    <row r="48">
      <c r="B48" s="39" t="inlineStr">
        <is>
          <t>Эффективное время</t>
        </is>
      </c>
      <c r="C48" s="24" t="inlineStr">
        <is>
          <t>час/год</t>
        </is>
      </c>
      <c r="E48" s="40">
        <f>'Параметры'!C27*E47</f>
        <v>6325.785839506173</v>
      </c>
      <c r="F48" s="40">
        <f>'Параметры'!C27*F47</f>
        <v>6140.033377160495</v>
      </c>
      <c r="G48" s="40">
        <f>'Параметры'!C27*G47</f>
        <v>6045.054629012347</v>
      </c>
      <c r="H48" s="40">
        <f>'Параметры'!C27*H47</f>
        <v>6126.3571919753085</v>
      </c>
      <c r="I48" s="40">
        <f>'Параметры'!C27*I47</f>
        <v>6163.0785351851855</v>
      </c>
      <c r="J48" s="40">
        <f>'Параметры'!C27*J47</f>
        <v>5979.094545061728</v>
      </c>
      <c r="K48" s="40">
        <f>'Параметры'!C27*K47</f>
        <v>6079.449448765432</v>
      </c>
      <c r="L48" s="40">
        <f>'Параметры'!C27*L47</f>
        <v>6165.420778395063</v>
      </c>
      <c r="M48" s="40">
        <f>'Параметры'!C27*M47</f>
        <v>6040.260104320989</v>
      </c>
      <c r="N48" s="40">
        <f>'Параметры'!C27*N47</f>
        <v>6038.640969753086</v>
      </c>
    </row>
    <row r="49">
      <c r="B49" s="39" t="inlineStr">
        <is>
          <t>Объём бурения</t>
        </is>
      </c>
      <c r="C49" s="24" t="inlineStr">
        <is>
          <t>тыс.пог.м</t>
        </is>
      </c>
      <c r="E49" s="58">
        <f>'Производительность'!H12*E48/1000</f>
        <v>103.15391247465158</v>
      </c>
      <c r="F49" s="58">
        <f>'Производительность'!H12*F48/1000</f>
        <v>100.12486695700362</v>
      </c>
      <c r="G49" s="58">
        <f>'Производительность'!H12*G48/1000</f>
        <v>98.57605867894928</v>
      </c>
      <c r="H49" s="58">
        <f>'Производительность'!H12*H48/1000</f>
        <v>99.90185086929965</v>
      </c>
      <c r="I49" s="58">
        <f>'Производительность'!H12*I48/1000</f>
        <v>100.50066188180129</v>
      </c>
      <c r="J49" s="58">
        <f>'Производительность'!H12*J48/1000</f>
        <v>97.5004546513564</v>
      </c>
      <c r="K49" s="58">
        <f>'Производительность'!H12*K48/1000</f>
        <v>99.13693132250818</v>
      </c>
      <c r="L49" s="58">
        <f>'Производительность'!H12*L48/1000</f>
        <v>100.53885659107476</v>
      </c>
      <c r="M49" s="58">
        <f>'Производительность'!H12*M48/1000</f>
        <v>98.49787487808756</v>
      </c>
      <c r="N49" s="58">
        <f>'Производительность'!H12*N48/1000</f>
        <v>98.47147182402603</v>
      </c>
    </row>
    <row r="50">
      <c r="B50" s="39" t="inlineStr">
        <is>
          <t>Объём взрывания</t>
        </is>
      </c>
      <c r="C50" s="24" t="inlineStr">
        <is>
          <t>тыс.м³</t>
        </is>
      </c>
      <c r="E50" s="40">
        <f>E49*'Параметры'!C35</f>
        <v>5102.508280558641</v>
      </c>
      <c r="F50" s="40">
        <f>F49*'Параметры'!C35</f>
        <v>4952.676544028184</v>
      </c>
      <c r="G50" s="40">
        <f>G49*'Параметры'!C35</f>
        <v>4876.0647425542265</v>
      </c>
      <c r="H50" s="40">
        <f>H49*'Параметры'!C35</f>
        <v>4941.6450532499075</v>
      </c>
      <c r="I50" s="40">
        <f>I49*'Параметры'!C35</f>
        <v>4971.265239983301</v>
      </c>
      <c r="J50" s="40">
        <f>J49*'Параметры'!C35</f>
        <v>4822.859989329345</v>
      </c>
      <c r="K50" s="40">
        <f>K49*'Параметры'!C35</f>
        <v>4903.808307867867</v>
      </c>
      <c r="L50" s="40">
        <f>L49*'Параметры'!C35</f>
        <v>4973.154541277513</v>
      </c>
      <c r="M50" s="40">
        <f>M49*'Параметры'!C35</f>
        <v>4872.197380844601</v>
      </c>
      <c r="N50" s="40">
        <f>N49*'Параметры'!C35</f>
        <v>4870.891353775448</v>
      </c>
    </row>
  </sheetData>
  <mergeCells count="8">
    <mergeCell ref="B31:N31"/>
    <mergeCell ref="B45:N45"/>
    <mergeCell ref="B1:N1"/>
    <mergeCell ref="B38:N38"/>
    <mergeCell ref="B17:N17"/>
    <mergeCell ref="B15:N15"/>
    <mergeCell ref="B24:N24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N121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9" t="inlineStr">
        <is>
          <t>Период</t>
        </is>
      </c>
      <c r="D4" s="60" t="n">
        <v>0</v>
      </c>
      <c r="E4" s="60" t="n">
        <v>1</v>
      </c>
      <c r="F4" s="60" t="n">
        <v>2</v>
      </c>
      <c r="G4" s="60" t="n">
        <v>3</v>
      </c>
      <c r="H4" s="60" t="n">
        <v>4</v>
      </c>
      <c r="I4" s="60" t="n">
        <v>5</v>
      </c>
      <c r="J4" s="60" t="n">
        <v>6</v>
      </c>
      <c r="K4" s="60" t="n">
        <v>7</v>
      </c>
      <c r="L4" s="60" t="n">
        <v>8</v>
      </c>
      <c r="M4" s="60" t="n">
        <v>9</v>
      </c>
      <c r="N4" s="60" t="n">
        <v>10</v>
      </c>
    </row>
    <row r="5">
      <c r="B5" s="61" t="inlineStr">
        <is>
          <t>Календарный год</t>
        </is>
      </c>
      <c r="D5" s="24" t="n">
        <v>2027</v>
      </c>
      <c r="E5" s="24" t="n">
        <v>2028</v>
      </c>
      <c r="F5" s="24" t="n">
        <v>2029</v>
      </c>
      <c r="G5" s="24" t="n">
        <v>2030</v>
      </c>
      <c r="H5" s="24" t="n">
        <v>2031</v>
      </c>
      <c r="I5" s="24" t="n">
        <v>2032</v>
      </c>
      <c r="J5" s="24" t="n">
        <v>2033</v>
      </c>
      <c r="K5" s="24" t="n">
        <v>2034</v>
      </c>
      <c r="L5" s="24" t="n">
        <v>2035</v>
      </c>
      <c r="M5" s="24" t="n">
        <v>2036</v>
      </c>
      <c r="N5" s="24" t="n">
        <v>2037</v>
      </c>
    </row>
    <row r="6">
      <c r="B6" s="59" t="inlineStr">
        <is>
          <t>Дисконт-фактор</t>
        </is>
      </c>
      <c r="D6" s="62">
        <f>1/(1+'Параметры'!C6)^D$4</f>
        <v>1.0</v>
      </c>
      <c r="E6" s="62">
        <f>1/(1+'Параметры'!C6)^E$4</f>
        <v>0.8928571428571428</v>
      </c>
      <c r="F6" s="62">
        <f>1/(1+'Параметры'!C6)^F$4</f>
        <v>0.7971938775510203</v>
      </c>
      <c r="G6" s="62">
        <f>1/(1+'Параметры'!C6)^G$4</f>
        <v>0.7117802478134109</v>
      </c>
      <c r="H6" s="62">
        <f>1/(1+'Параметры'!C6)^H$4</f>
        <v>0.6355180784048311</v>
      </c>
      <c r="I6" s="62">
        <f>1/(1+'Параметры'!C6)^I$4</f>
        <v>0.5674268557185992</v>
      </c>
      <c r="J6" s="62">
        <f>1/(1+'Параметры'!C6)^J$4</f>
        <v>0.5066311211773206</v>
      </c>
      <c r="K6" s="62">
        <f>1/(1+'Параметры'!C6)^K$4</f>
        <v>0.4523492153368934</v>
      </c>
      <c r="L6" s="62">
        <f>1/(1+'Параметры'!C6)^L$4</f>
        <v>0.40388322797936904</v>
      </c>
      <c r="M6" s="62">
        <f>1/(1+'Параметры'!C6)^M$4</f>
        <v>0.36061002498157946</v>
      </c>
      <c r="N6" s="62">
        <f>1/(1+'Параметры'!C6)^N$4</f>
        <v>0.32197323659069593</v>
      </c>
    </row>
    <row r="8">
      <c r="B8" s="5" t="str">
        <f>"Вариант 1:  "&amp;'Ввод данных'!D7</f>
        <v>Вариант 1:  YANGZI DR75
(аналог Epiroc DM75)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7" t="n"/>
      <c r="E9" s="57">
        <f>'Данные по годам'!E7</f>
        <v>0.9309360730593608</v>
      </c>
      <c r="F9" s="57">
        <f>'Данные по годам'!F7</f>
        <v>0.9171740233384069</v>
      </c>
      <c r="G9" s="57">
        <f>'Данные по годам'!G7</f>
        <v>0.9309360730593608</v>
      </c>
      <c r="H9" s="57">
        <f>'Данные по годам'!H7</f>
        <v>0.9171740233384069</v>
      </c>
      <c r="I9" s="57">
        <f>'Данные по годам'!I7</f>
        <v>0.8865423642820903</v>
      </c>
      <c r="J9" s="57">
        <f>'Данные по годам'!J7</f>
        <v>0.9171740233384069</v>
      </c>
      <c r="K9" s="57">
        <f>'Данные по годам'!K7</f>
        <v>0.8505834601725013</v>
      </c>
      <c r="L9" s="57">
        <f>'Данные по годам'!L7</f>
        <v>0.9198376458650431</v>
      </c>
      <c r="M9" s="57">
        <f>'Данные по годам'!M7</f>
        <v>0.9282724505327246</v>
      </c>
      <c r="N9" s="57">
        <f>'Данные по годам'!N7</f>
        <v>0.8532470826991375</v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3" t="n"/>
      <c r="E10" s="53">
        <f>'Параметры'!C27*E9*(1-137.92/(60*'Параметры'!C28))</f>
        <v>6592.864444444445</v>
      </c>
      <c r="F10" s="53">
        <f>'Параметры'!C27*F9*(1-137.92/(60*'Параметры'!C28))</f>
        <v>6495.401975308642</v>
      </c>
      <c r="G10" s="53">
        <f>'Параметры'!C27*G9*(1-137.92/(60*'Параметры'!C28))</f>
        <v>6592.864444444445</v>
      </c>
      <c r="H10" s="53">
        <f>'Параметры'!C27*H9*(1-137.92/(60*'Параметры'!C28))</f>
        <v>6495.401975308642</v>
      </c>
      <c r="I10" s="53">
        <f>'Параметры'!C27*I9*(1-137.92/(60*'Параметры'!C28))</f>
        <v>6278.46938271605</v>
      </c>
      <c r="J10" s="53">
        <f>'Параметры'!C27*J9*(1-137.92/(60*'Параметры'!C28))</f>
        <v>6495.401975308642</v>
      </c>
      <c r="K10" s="53">
        <f>'Параметры'!C27*K9*(1-137.92/(60*'Параметры'!C28))</f>
        <v>6023.80938271605</v>
      </c>
      <c r="L10" s="53">
        <f>'Параметры'!C27*L9*(1-137.92/(60*'Параметры'!C28))</f>
        <v>6514.265679012346</v>
      </c>
      <c r="M10" s="53">
        <f>'Параметры'!C27*M9*(1-137.92/(60*'Параметры'!C28))</f>
        <v>6574.000740740742</v>
      </c>
      <c r="N10" s="53">
        <f>'Параметры'!C27*N9*(1-137.92/(60*'Параметры'!C28))</f>
        <v>6042.673086419753</v>
      </c>
    </row>
    <row r="11">
      <c r="B11" s="22" t="inlineStr">
        <is>
          <t>Объём бурения</t>
        </is>
      </c>
      <c r="C11" s="24" t="inlineStr">
        <is>
          <t>тыс.пог.м</t>
        </is>
      </c>
      <c r="D11" s="63" t="n"/>
      <c r="E11" s="63">
        <f>'Производительность'!D12*E10/1000</f>
        <v>107.50913469314598</v>
      </c>
      <c r="F11" s="63">
        <f>'Производительность'!D12*F10/1000</f>
        <v>105.91982464284195</v>
      </c>
      <c r="G11" s="63">
        <f>'Производительность'!D12*G10/1000</f>
        <v>107.50913469314598</v>
      </c>
      <c r="H11" s="63">
        <f>'Производительность'!D12*H10/1000</f>
        <v>105.91982464284195</v>
      </c>
      <c r="I11" s="63">
        <f>'Производительность'!D12*I10/1000</f>
        <v>102.38232807926205</v>
      </c>
      <c r="J11" s="63">
        <f>'Производительность'!D12*J10/1000</f>
        <v>105.91982464284195</v>
      </c>
      <c r="K11" s="63">
        <f>'Производительность'!D12*K10/1000</f>
        <v>98.22961472201608</v>
      </c>
      <c r="L11" s="63">
        <f>'Производительность'!D12*L10/1000</f>
        <v>106.22743303967499</v>
      </c>
      <c r="M11" s="63">
        <f>'Производительность'!D12*M10/1000</f>
        <v>107.20152629631295</v>
      </c>
      <c r="N11" s="63">
        <f>'Производительность'!D12*N10/1000</f>
        <v>98.5372231188491</v>
      </c>
    </row>
    <row r="12">
      <c r="B12" s="22" t="inlineStr">
        <is>
          <t>Объём взрывания</t>
        </is>
      </c>
      <c r="C12" s="24" t="inlineStr">
        <is>
          <t>тыс.м³</t>
        </is>
      </c>
      <c r="D12" s="53" t="n"/>
      <c r="E12" s="53">
        <f>E11*'Параметры'!C35</f>
        <v>5317.939347596466</v>
      </c>
      <c r="F12" s="53">
        <f>F11*'Параметры'!C35</f>
        <v>5239.324125958177</v>
      </c>
      <c r="G12" s="53">
        <f>G11*'Параметры'!C35</f>
        <v>5317.939347596466</v>
      </c>
      <c r="H12" s="53">
        <f>H11*'Параметры'!C35</f>
        <v>5239.324125958177</v>
      </c>
      <c r="I12" s="53">
        <f>I11*'Параметры'!C35</f>
        <v>5064.341858440698</v>
      </c>
      <c r="J12" s="53">
        <f>J11*'Параметры'!C35</f>
        <v>5239.324125958177</v>
      </c>
      <c r="K12" s="53">
        <f>K11*'Параметры'!C35</f>
        <v>4858.927892224526</v>
      </c>
      <c r="L12" s="53">
        <f>L11*'Параметры'!C35</f>
        <v>5254.5399753075235</v>
      </c>
      <c r="M12" s="53">
        <f>M11*'Параметры'!C35</f>
        <v>5302.72349824712</v>
      </c>
      <c r="N12" s="53">
        <f>N11*'Параметры'!C35</f>
        <v>4874.143741573871</v>
      </c>
    </row>
    <row r="13">
      <c r="B13" s="22" t="inlineStr">
        <is>
          <t>Топливо/энергия</t>
        </is>
      </c>
      <c r="C13" s="24" t="inlineStr">
        <is>
          <t>тыс.руб</t>
        </is>
      </c>
      <c r="D13" s="53" t="n"/>
      <c r="E13" s="53">
        <f>E10*'Данные по годам'!E9/1000*'Параметры'!C10*(1+'Параметры'!C15)^(E$4-1)</f>
        <v>28857.361267340675</v>
      </c>
      <c r="F13" s="53">
        <f>F10*'Данные по годам'!F9/1000*'Параметры'!C10*(1+'Параметры'!C15)^(F$4-1)</f>
        <v>28430.76222142385</v>
      </c>
      <c r="G13" s="53">
        <f>G10*'Данные по годам'!G9/1000*'Параметры'!C10*(1+'Параметры'!C15)^(G$4-1)</f>
        <v>28857.361267340675</v>
      </c>
      <c r="H13" s="53">
        <f>H10*'Данные по годам'!H9/1000*'Параметры'!C10*(1+'Параметры'!C15)^(H$4-1)</f>
        <v>28430.76222142385</v>
      </c>
      <c r="I13" s="53">
        <f>I10*'Данные по годам'!I9/1000*'Параметры'!C10*(1+'Параметры'!C15)^(I$4-1)</f>
        <v>27481.2353127703</v>
      </c>
      <c r="J13" s="53">
        <f>J10*'Данные по годам'!J9/1000*'Параметры'!C10*(1+'Параметры'!C15)^(J$4-1)</f>
        <v>28430.76222142385</v>
      </c>
      <c r="K13" s="53">
        <f>K10*'Данные по годам'!K9/1000*'Параметры'!C10*(1+'Параметры'!C15)^(K$4-1)</f>
        <v>26366.573289568303</v>
      </c>
      <c r="L13" s="53">
        <f>L10*'Данные по годам'!L9/1000*'Параметры'!C10*(1+'Параметры'!C15)^(L$4-1)</f>
        <v>28513.329778698077</v>
      </c>
      <c r="M13" s="53">
        <f>M10*'Данные по годам'!M9/1000*'Параметры'!C10*(1+'Параметры'!C15)^(M$4-1)</f>
        <v>28774.79371006645</v>
      </c>
      <c r="N13" s="53">
        <f>N10*'Данные по годам'!N9/1000*'Параметры'!C10*(1+'Параметры'!C15)^(N$4-1)</f>
        <v>26449.14084684252</v>
      </c>
    </row>
    <row r="14">
      <c r="B14" s="22" t="inlineStr">
        <is>
          <t>ТОиР и сервис (по годам)</t>
        </is>
      </c>
      <c r="C14" s="24" t="inlineStr">
        <is>
          <t>тыс.руб</t>
        </is>
      </c>
      <c r="D14" s="53" t="n"/>
      <c r="E14" s="53">
        <f>'Данные по годам'!E8*IF('Данные по годам'!$D$8="CNY",'Параметры'!C21,IF('Данные по годам'!$D$8="USD",'Параметры'!C22,IF('Данные по годам'!$D$8="EUR",'Параметры'!C23,1)))</f>
        <v>14468.8</v>
      </c>
      <c r="F14" s="53">
        <f>'Данные по годам'!F8*IF('Данные по годам'!$D$8="CNY",'Параметры'!C21,IF('Данные по годам'!$D$8="USD",'Параметры'!C22,IF('Данные по годам'!$D$8="EUR",'Параметры'!C23,1)))</f>
        <v>26704.000000000007</v>
      </c>
      <c r="G14" s="53">
        <f>'Данные по годам'!G8*IF('Данные по годам'!$D$8="CNY",'Параметры'!C21,IF('Данные по годам'!$D$8="USD",'Параметры'!C22,IF('Данные по годам'!$D$8="EUR",'Параметры'!C23,1)))</f>
        <v>33716.8</v>
      </c>
      <c r="H14" s="53">
        <f>'Данные по годам'!H8*IF('Данные по годам'!$D$8="CNY",'Параметры'!C21,IF('Данные по годам'!$D$8="USD",'Параметры'!C22,IF('Данные по годам'!$D$8="EUR",'Параметры'!C23,1)))</f>
        <v>28704.000000000007</v>
      </c>
      <c r="I14" s="53">
        <f>'Данные по годам'!I8*IF('Данные по годам'!$D$8="CNY",'Параметры'!C21,IF('Данные по годам'!$D$8="USD",'Параметры'!C22,IF('Данные по годам'!$D$8="EUR",'Параметры'!C23,1)))</f>
        <v>23388.800000000003</v>
      </c>
      <c r="J14" s="53">
        <f>'Данные по годам'!J8*IF('Данные по годам'!$D$8="CNY",'Параметры'!C21,IF('Данные по годам'!$D$8="USD",'Параметры'!C22,IF('Данные по годам'!$D$8="EUR",'Параметры'!C23,1)))</f>
        <v>37224.00000000001</v>
      </c>
      <c r="K14" s="53">
        <f>'Данные по годам'!K8*IF('Данные по годам'!$D$8="CNY",'Параметры'!C21,IF('Данные по годам'!$D$8="USD",'Параметры'!C22,IF('Данные по годам'!$D$8="EUR",'Параметры'!C23,1)))</f>
        <v>27224.000000000007</v>
      </c>
      <c r="L14" s="53">
        <f>'Данные по годам'!L8*IF('Данные по годам'!$D$8="CNY",'Параметры'!C21,IF('Данные по годам'!$D$8="USD",'Параметры'!C22,IF('Данные по годам'!$D$8="EUR",'Параметры'!C23,1)))</f>
        <v>32716.800000000003</v>
      </c>
      <c r="M14" s="53">
        <f>'Данные по годам'!M8*IF('Данные по годам'!$D$8="CNY",'Параметры'!C21,IF('Данные по годам'!$D$8="USD",'Параметры'!C22,IF('Данные по годам'!$D$8="EUR",'Параметры'!C23,1)))</f>
        <v>30376.000000000004</v>
      </c>
      <c r="N14" s="53">
        <f>'Данные по годам'!N8*IF('Данные по годам'!$D$8="CNY",'Параметры'!C21,IF('Данные по годам'!$D$8="USD",'Параметры'!C22,IF('Данные по годам'!$D$8="EUR",'Параметры'!C23,1)))</f>
        <v>31876.800000000003</v>
      </c>
    </row>
    <row r="15">
      <c r="B15" s="22" t="inlineStr">
        <is>
          <t>Долота</t>
        </is>
      </c>
      <c r="C15" s="24" t="inlineStr">
        <is>
          <t>тыс.руб</t>
        </is>
      </c>
      <c r="D15" s="53" t="n"/>
      <c r="E15" s="53">
        <f>E11*'Поставщик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годам'!$D$8="EUR",'Параметры'!C23,1)))*(1+'Параметры'!C16)^(E$4-1)</f>
        <v>14724.451087573274</v>
      </c>
      <c r="F15" s="53">
        <f>F11*'Поставщик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годам'!$D$8="EUR",'Параметры'!C23,1)))*(1+'Параметры'!C16)^(F$4-1)</f>
        <v>14506.779183083636</v>
      </c>
      <c r="G15" s="53">
        <f>G11*'Поставщик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годам'!$D$8="EUR",'Параметры'!C23,1)))*(1+'Параметры'!C16)^(G$4-1)</f>
        <v>14724.451087573274</v>
      </c>
      <c r="H15" s="53">
        <f>H11*'Поставщик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годам'!$D$8="EUR",'Параметры'!C23,1)))*(1+'Параметры'!C16)^(H$4-1)</f>
        <v>14506.779183083636</v>
      </c>
      <c r="I15" s="53">
        <f>I11*'Поставщик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годам'!$D$8="EUR",'Параметры'!C23,1)))*(1+'Параметры'!C16)^(I$4-1)</f>
        <v>14022.28365373573</v>
      </c>
      <c r="J15" s="53">
        <f>J11*'Поставщик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годам'!$D$8="EUR",'Параметры'!C23,1)))*(1+'Параметры'!C16)^(J$4-1)</f>
        <v>14506.779183083636</v>
      </c>
      <c r="K15" s="53">
        <f>K11*'Поставщик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годам'!$D$8="EUR",'Параметры'!C23,1)))*(1+'Параметры'!C16)^(K$4-1)</f>
        <v>13453.528032327324</v>
      </c>
      <c r="L15" s="53">
        <f>L11*'Поставщик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годам'!$D$8="EUR",'Параметры'!C23,1)))*(1+'Параметры'!C16)^(L$4-1)</f>
        <v>14548.909229113888</v>
      </c>
      <c r="M15" s="53">
        <f>M11*'Поставщик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годам'!$D$8="EUR",'Параметры'!C23,1)))*(1+'Параметры'!C16)^(M$4-1)</f>
        <v>14682.321041543022</v>
      </c>
      <c r="N15" s="53">
        <f>N11*'Поставщик 1'!$D$30*'Поставщик 1'!$E$30*IF('Данные по годам'!$D$8="CNY",'Параметры'!C21,IF('Данные по годам'!$D$8="USD",'Параметры'!C22,IF('Данные по годам'!$D$8="EUR",'Параметры'!C23,1)))*(1+'Параметры'!C16)^(N$4-1)</f>
        <v>13495.658078357574</v>
      </c>
    </row>
    <row r="16">
      <c r="B16" s="22" t="inlineStr">
        <is>
          <t>Штанги/адаптеры</t>
        </is>
      </c>
      <c r="C16" s="24" t="inlineStr">
        <is>
          <t>тыс.руб</t>
        </is>
      </c>
      <c r="D16" s="53" t="n"/>
      <c r="E16" s="53">
        <f>E11*'Поставщик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годам'!$D$8="EUR",'Параметры'!C23,1)))*(1+'Параметры'!C16)^(E$4-1)</f>
        <v>34402.923101806715</v>
      </c>
      <c r="F16" s="53">
        <f>F11*'Поставщик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годам'!$D$8="EUR",'Параметры'!C23,1)))*(1+'Параметры'!C16)^(F$4-1)</f>
        <v>33894.34388570942</v>
      </c>
      <c r="G16" s="53">
        <f>G11*'Поставщик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годам'!$D$8="EUR",'Параметры'!C23,1)))*(1+'Параметры'!C16)^(G$4-1)</f>
        <v>34402.923101806715</v>
      </c>
      <c r="H16" s="53">
        <f>H11*'Поставщик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годам'!$D$8="EUR",'Параметры'!C23,1)))*(1+'Параметры'!C16)^(H$4-1)</f>
        <v>33894.34388570942</v>
      </c>
      <c r="I16" s="53">
        <f>I11*'Поставщик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годам'!$D$8="EUR",'Параметры'!C23,1)))*(1+'Параметры'!C16)^(I$4-1)</f>
        <v>32762.344985363856</v>
      </c>
      <c r="J16" s="53">
        <f>J11*'Поставщик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годам'!$D$8="EUR",'Параметры'!C23,1)))*(1+'Параметры'!C16)^(J$4-1)</f>
        <v>33894.34388570942</v>
      </c>
      <c r="K16" s="53">
        <f>K11*'Поставщик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годам'!$D$8="EUR",'Параметры'!C23,1)))*(1+'Параметры'!C16)^(K$4-1)</f>
        <v>31433.476711045147</v>
      </c>
      <c r="L16" s="53">
        <f>L11*'Поставщик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годам'!$D$8="EUR",'Параметры'!C23,1)))*(1+'Параметры'!C16)^(L$4-1)</f>
        <v>33992.778572696</v>
      </c>
      <c r="M16" s="53">
        <f>M11*'Поставщик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годам'!$D$8="EUR",'Параметры'!C23,1)))*(1+'Параметры'!C16)^(M$4-1)</f>
        <v>34304.488414820145</v>
      </c>
      <c r="N16" s="53">
        <f>N11*'Поставщик 1'!$D$31*'Поставщик 1'!$E$31*IF('Данные по годам'!$D$8="CNY",'Параметры'!C21,IF('Данные по годам'!$D$8="USD",'Параметры'!C22,IF('Данные по годам'!$D$8="EUR",'Параметры'!C23,1)))*(1+'Параметры'!C16)^(N$4-1)</f>
        <v>31531.911398031712</v>
      </c>
    </row>
    <row r="17">
      <c r="B17" s="22" t="inlineStr">
        <is>
          <t>Расходники</t>
        </is>
      </c>
      <c r="C17" s="24" t="inlineStr">
        <is>
          <t>тыс.руб</t>
        </is>
      </c>
      <c r="D17" s="53" t="n"/>
      <c r="E17" s="53">
        <f>E11*'Поставщик 1'!$D$32*(1+'Параметры'!C16)^(E$4-1)</f>
        <v>0.0</v>
      </c>
      <c r="F17" s="53">
        <f>F11*'Поставщик 1'!$D$32*(1+'Параметры'!C16)^(F$4-1)</f>
        <v>0.0</v>
      </c>
      <c r="G17" s="53">
        <f>G11*'Поставщик 1'!$D$32*(1+'Параметры'!C16)^(G$4-1)</f>
        <v>0.0</v>
      </c>
      <c r="H17" s="53">
        <f>H11*'Поставщик 1'!$D$32*(1+'Параметры'!C16)^(H$4-1)</f>
        <v>0.0</v>
      </c>
      <c r="I17" s="53">
        <f>I11*'Поставщик 1'!$D$32*(1+'Параметры'!C16)^(I$4-1)</f>
        <v>0.0</v>
      </c>
      <c r="J17" s="53">
        <f>J11*'Поставщик 1'!$D$32*(1+'Параметры'!C16)^(J$4-1)</f>
        <v>0.0</v>
      </c>
      <c r="K17" s="53">
        <f>K11*'Поставщик 1'!$D$32*(1+'Параметры'!C16)^(K$4-1)</f>
        <v>0.0</v>
      </c>
      <c r="L17" s="53">
        <f>L11*'Поставщик 1'!$D$32*(1+'Параметры'!C16)^(L$4-1)</f>
        <v>0.0</v>
      </c>
      <c r="M17" s="53">
        <f>M11*'Поставщик 1'!$D$32*(1+'Параметры'!C16)^(M$4-1)</f>
        <v>0.0</v>
      </c>
      <c r="N17" s="53">
        <f>N11*'Поставщик 1'!$D$32*(1+'Параметры'!C16)^(N$4-1)</f>
        <v>0.0</v>
      </c>
    </row>
    <row r="18">
      <c r="B18" s="22" t="inlineStr">
        <is>
          <t>Персонал</t>
        </is>
      </c>
      <c r="C18" s="24" t="inlineStr">
        <is>
          <t>тыс.руб</t>
        </is>
      </c>
      <c r="D18" s="53" t="n"/>
      <c r="E18" s="53">
        <f>'Ввод данных'!D22*(1+'Параметры'!C17)^(E$4-1)</f>
        <v>15710.0</v>
      </c>
      <c r="F18" s="53">
        <f>'Ввод данных'!D22*(1+'Параметры'!C17)^(F$4-1)</f>
        <v>15710.0</v>
      </c>
      <c r="G18" s="53">
        <f>'Ввод данных'!D22*(1+'Параметры'!C17)^(G$4-1)</f>
        <v>15710.0</v>
      </c>
      <c r="H18" s="53">
        <f>'Ввод данных'!D22*(1+'Параметры'!C17)^(H$4-1)</f>
        <v>15710.0</v>
      </c>
      <c r="I18" s="53">
        <f>'Ввод данных'!D22*(1+'Параметры'!C17)^(I$4-1)</f>
        <v>15710.0</v>
      </c>
      <c r="J18" s="53">
        <f>'Ввод данных'!D22*(1+'Параметры'!C17)^(J$4-1)</f>
        <v>15710.0</v>
      </c>
      <c r="K18" s="53">
        <f>'Ввод данных'!D22*(1+'Параметры'!C17)^(K$4-1)</f>
        <v>15710.0</v>
      </c>
      <c r="L18" s="53">
        <f>'Ввод данных'!D22*(1+'Параметры'!C17)^(L$4-1)</f>
        <v>15710.0</v>
      </c>
      <c r="M18" s="53">
        <f>'Ввод данных'!D22*(1+'Параметры'!C17)^(M$4-1)</f>
        <v>15710.0</v>
      </c>
      <c r="N18" s="53">
        <f>'Ввод данных'!D22*(1+'Параметры'!C17)^(N$4-1)</f>
        <v>15710.0</v>
      </c>
    </row>
    <row r="19">
      <c r="B19" s="22" t="inlineStr">
        <is>
          <t>Транспортный налог</t>
        </is>
      </c>
      <c r="C19" s="24" t="inlineStr">
        <is>
          <t>тыс.руб</t>
        </is>
      </c>
      <c r="D19" s="53" t="n"/>
      <c r="E19" s="53">
        <f>'Ввод данных'!D23*15/1000</f>
        <v>12.0</v>
      </c>
      <c r="F19" s="53">
        <f>'Ввод данных'!D23*15/1000</f>
        <v>12.0</v>
      </c>
      <c r="G19" s="53">
        <f>'Ввод данных'!D23*15/1000</f>
        <v>12.0</v>
      </c>
      <c r="H19" s="53">
        <f>'Ввод данных'!D23*15/1000</f>
        <v>12.0</v>
      </c>
      <c r="I19" s="53">
        <f>'Ввод данных'!D23*15/1000</f>
        <v>12.0</v>
      </c>
      <c r="J19" s="53">
        <f>'Ввод данных'!D23*15/1000</f>
        <v>12.0</v>
      </c>
      <c r="K19" s="53">
        <f>'Ввод данных'!D23*15/1000</f>
        <v>12.0</v>
      </c>
      <c r="L19" s="53">
        <f>'Ввод данных'!D23*15/1000</f>
        <v>12.0</v>
      </c>
      <c r="M19" s="53">
        <f>'Ввод данных'!D23*15/1000</f>
        <v>12.0</v>
      </c>
      <c r="N19" s="53">
        <f>'Ввод данных'!D23*15/1000</f>
        <v>12.0</v>
      </c>
    </row>
    <row r="20">
      <c r="B20" s="22" t="inlineStr">
        <is>
          <t>Итого денежные затраты</t>
        </is>
      </c>
      <c r="C20" s="24" t="inlineStr">
        <is>
          <t>тыс.руб</t>
        </is>
      </c>
      <c r="D20" s="53" t="n"/>
      <c r="E20" s="64">
        <f>E13+E14+E15+E16+E17+E18+E19</f>
        <v>108175.53545672067</v>
      </c>
      <c r="F20" s="64">
        <f>F13+F14+F15+F16+F17+F18+F19</f>
        <v>119257.88529021692</v>
      </c>
      <c r="G20" s="64">
        <f>G13+G14+G15+G16+G17+G18+G19</f>
        <v>127423.53545672068</v>
      </c>
      <c r="H20" s="64">
        <f>H13+H14+H15+H16+H17+H18+H19</f>
        <v>121257.88529021692</v>
      </c>
      <c r="I20" s="64">
        <f>I13+I14+I15+I16+I17+I18+I19</f>
        <v>113376.66395186988</v>
      </c>
      <c r="J20" s="64">
        <f>J13+J14+J15+J16+J17+J18+J19</f>
        <v>129777.88529021692</v>
      </c>
      <c r="K20" s="64">
        <f>K13+K14+K15+K16+K17+K18+K19</f>
        <v>114199.57803294079</v>
      </c>
      <c r="L20" s="64">
        <f>L13+L14+L15+L16+L17+L18+L19</f>
        <v>125493.81758050797</v>
      </c>
      <c r="M20" s="64">
        <f>M13+M14+M15+M16+M17+M18+M19</f>
        <v>123859.60316642962</v>
      </c>
      <c r="N20" s="64">
        <f>N13+N14+N15+N16+N17+N18+N19</f>
        <v>119075.5103232318</v>
      </c>
    </row>
    <row r="21">
      <c r="B21" s="22" t="inlineStr">
        <is>
          <t>Амортизация (НУ)</t>
        </is>
      </c>
      <c r="C21" s="24" t="inlineStr">
        <is>
          <t>тыс.руб</t>
        </is>
      </c>
      <c r="D21" s="53" t="n"/>
      <c r="E21" s="53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>29903.600236081053</v>
      </c>
      <c r="F21" s="53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>29903.600236081053</v>
      </c>
      <c r="G21" s="53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>29903.600236081053</v>
      </c>
      <c r="H21" s="53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>29903.600236081053</v>
      </c>
      <c r="I21" s="53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>29903.600236081053</v>
      </c>
      <c r="J21" s="53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>2481.9988195947326</v>
      </c>
      <c r="K21" s="53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>0.0</v>
      </c>
      <c r="L21" s="53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>0.0</v>
      </c>
      <c r="M21" s="53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>0.0</v>
      </c>
      <c r="N21" s="53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>0.0</v>
      </c>
    </row>
    <row r="22">
      <c r="B22" s="22" t="inlineStr">
        <is>
          <t>Налогооблагаемая база</t>
        </is>
      </c>
      <c r="C22" s="24" t="inlineStr">
        <is>
          <t>тыс.руб</t>
        </is>
      </c>
      <c r="D22" s="53" t="n"/>
      <c r="E22" s="53">
        <f>E20+E21</f>
        <v>138079.13569280173</v>
      </c>
      <c r="F22" s="53">
        <f>F20+F21</f>
        <v>149161.48552629797</v>
      </c>
      <c r="G22" s="53">
        <f>G20+G21</f>
        <v>157327.13569280173</v>
      </c>
      <c r="H22" s="53">
        <f>H20+H21</f>
        <v>151161.48552629797</v>
      </c>
      <c r="I22" s="53">
        <f>I20+I21</f>
        <v>143280.26418795093</v>
      </c>
      <c r="J22" s="53">
        <f>J20+J21</f>
        <v>132259.88410981165</v>
      </c>
      <c r="K22" s="53">
        <f>K20+K21</f>
        <v>114199.57803294079</v>
      </c>
      <c r="L22" s="53">
        <f>L20+L21</f>
        <v>125493.81758050797</v>
      </c>
      <c r="M22" s="53">
        <f>M20+M21</f>
        <v>123859.60316642962</v>
      </c>
      <c r="N22" s="53">
        <f>N20+N21</f>
        <v>119075.5103232318</v>
      </c>
    </row>
    <row r="23">
      <c r="B23" s="22" t="inlineStr">
        <is>
          <t>Налог на прибыль (щит)</t>
        </is>
      </c>
      <c r="C23" s="24" t="inlineStr">
        <is>
          <t>тыс.руб</t>
        </is>
      </c>
      <c r="D23" s="53" t="n"/>
      <c r="E23" s="53">
        <f>-E22*'Параметры'!C7</f>
        <v>-34519.78392320043</v>
      </c>
      <c r="F23" s="53">
        <f>-F22*'Параметры'!C7</f>
        <v>-37290.37138157449</v>
      </c>
      <c r="G23" s="53">
        <f>-G22*'Параметры'!C7</f>
        <v>-39331.78392320043</v>
      </c>
      <c r="H23" s="53">
        <f>-H22*'Параметры'!C7</f>
        <v>-37790.37138157449</v>
      </c>
      <c r="I23" s="53">
        <f>-I22*'Параметры'!C7</f>
        <v>-35820.06604698773</v>
      </c>
      <c r="J23" s="53">
        <f>-J22*'Параметры'!C7</f>
        <v>-33064.97102745291</v>
      </c>
      <c r="K23" s="53">
        <f>-K22*'Параметры'!C7</f>
        <v>-28549.894508235197</v>
      </c>
      <c r="L23" s="53">
        <f>-L22*'Параметры'!C7</f>
        <v>-31373.45439512699</v>
      </c>
      <c r="M23" s="53">
        <f>-M22*'Параметры'!C7</f>
        <v>-30964.900791607404</v>
      </c>
      <c r="N23" s="53">
        <f>-N22*'Параметры'!C7</f>
        <v>-29768.87758080795</v>
      </c>
    </row>
    <row r="24">
      <c r="B24" s="22" t="inlineStr">
        <is>
          <t>Операц. денежный поток</t>
        </is>
      </c>
      <c r="C24" s="24" t="inlineStr">
        <is>
          <t>тыс.руб</t>
        </is>
      </c>
      <c r="D24" s="53" t="n"/>
      <c r="E24" s="64">
        <f>E22+E23-E21</f>
        <v>73655.75153352025</v>
      </c>
      <c r="F24" s="64">
        <f>F22+F23-F21</f>
        <v>81967.51390864243</v>
      </c>
      <c r="G24" s="64">
        <f>G22+G23-G21</f>
        <v>88091.75153352025</v>
      </c>
      <c r="H24" s="64">
        <f>H22+H23-H21</f>
        <v>83467.51390864243</v>
      </c>
      <c r="I24" s="64">
        <f>I22+I23-I21</f>
        <v>77556.59790488215</v>
      </c>
      <c r="J24" s="64">
        <f>J22+J23-J21</f>
        <v>96712.91426276401</v>
      </c>
      <c r="K24" s="64">
        <f>K22+K23-K21</f>
        <v>85649.68352470559</v>
      </c>
      <c r="L24" s="64">
        <f>L22+L23-L21</f>
        <v>94120.36318538098</v>
      </c>
      <c r="M24" s="64">
        <f>M22+M23-M21</f>
        <v>92894.70237482221</v>
      </c>
      <c r="N24" s="64">
        <f>N22+N23-N21</f>
        <v>89306.63274242386</v>
      </c>
    </row>
    <row r="25">
      <c r="B25" s="22" t="inlineStr">
        <is>
          <t>Инвестиции / остаточная ст-ть</t>
        </is>
      </c>
      <c r="C25" s="24" t="inlineStr">
        <is>
          <t>тыс.руб</t>
        </is>
      </c>
      <c r="D25" s="53">
        <f>IF(D$4=0,'Производительность'!D5,IF(D$4='Параметры'!C8,-'Ввод данных'!D14*'Производительность'!D5,0))</f>
        <v>152000.0</v>
      </c>
      <c r="E25" s="53">
        <f>IF(E$4=0,'Производительность'!D5,IF(E$4='Параметры'!C8,-'Ввод данных'!D14*'Производительность'!D5,0))</f>
        <v>0.0</v>
      </c>
      <c r="F25" s="53">
        <f>IF(F$4=0,'Производительность'!D5,IF(F$4='Параметры'!C8,-'Ввод данных'!D14*'Производительность'!D5,0))</f>
        <v>0.0</v>
      </c>
      <c r="G25" s="53">
        <f>IF(G$4=0,'Производительность'!D5,IF(G$4='Параметры'!C8,-'Ввод данных'!D14*'Производительность'!D5,0))</f>
        <v>0.0</v>
      </c>
      <c r="H25" s="53">
        <f>IF(H$4=0,'Производительность'!D5,IF(H$4='Параметры'!C8,-'Ввод данных'!D14*'Производительность'!D5,0))</f>
        <v>0.0</v>
      </c>
      <c r="I25" s="53">
        <f>IF(I$4=0,'Производительность'!D5,IF(I$4='Параметры'!C8,-'Ввод данных'!D14*'Производительность'!D5,0))</f>
        <v>0.0</v>
      </c>
      <c r="J25" s="53">
        <f>IF(J$4=0,'Производительность'!D5,IF(J$4='Параметры'!C8,-'Ввод данных'!D14*'Производительность'!D5,0))</f>
        <v>0.0</v>
      </c>
      <c r="K25" s="53">
        <f>IF(K$4=0,'Производительность'!D5,IF(K$4='Параметры'!C8,-'Ввод данных'!D14*'Производительность'!D5,0))</f>
        <v>0.0</v>
      </c>
      <c r="L25" s="53">
        <f>IF(L$4=0,'Производительность'!D5,IF(L$4='Параметры'!C8,-'Ввод данных'!D14*'Производительность'!D5,0))</f>
        <v>0.0</v>
      </c>
      <c r="M25" s="53">
        <f>IF(M$4=0,'Производительность'!D5,IF(M$4='Параметры'!C8,-'Ввод данных'!D14*'Производительность'!D5,0))</f>
        <v>0.0</v>
      </c>
      <c r="N25" s="53">
        <f>IF(N$4=0,'Производительность'!D5,IF(N$4='Параметры'!C8,-'Ввод данных'!D14*'Производительность'!D5,0))</f>
        <v>-0.0</v>
      </c>
    </row>
    <row r="26">
      <c r="B26" s="22" t="inlineStr">
        <is>
          <t>Чистый денежный поток</t>
        </is>
      </c>
      <c r="C26" s="24" t="inlineStr">
        <is>
          <t>тыс.руб</t>
        </is>
      </c>
      <c r="D26" s="64">
        <f>0+D25</f>
        <v>152000.0</v>
      </c>
      <c r="E26" s="64">
        <f>E24+E25</f>
        <v>73655.75153352025</v>
      </c>
      <c r="F26" s="64">
        <f>F24+F25</f>
        <v>81967.51390864243</v>
      </c>
      <c r="G26" s="64">
        <f>G24+G25</f>
        <v>88091.75153352025</v>
      </c>
      <c r="H26" s="64">
        <f>H24+H25</f>
        <v>83467.51390864243</v>
      </c>
      <c r="I26" s="64">
        <f>I24+I25</f>
        <v>77556.59790488215</v>
      </c>
      <c r="J26" s="64">
        <f>J24+J25</f>
        <v>96712.91426276401</v>
      </c>
      <c r="K26" s="64">
        <f>K24+K25</f>
        <v>85649.68352470559</v>
      </c>
      <c r="L26" s="64">
        <f>L24+L25</f>
        <v>94120.36318538098</v>
      </c>
      <c r="M26" s="64">
        <f>M24+M25</f>
        <v>92894.70237482221</v>
      </c>
      <c r="N26" s="64">
        <f>N24+N25</f>
        <v>89306.63274242386</v>
      </c>
    </row>
    <row r="27">
      <c r="B27" s="22" t="inlineStr">
        <is>
          <t>Дисконтированный поток</t>
        </is>
      </c>
      <c r="C27" s="24" t="inlineStr">
        <is>
          <t>тыс.руб</t>
        </is>
      </c>
      <c r="D27" s="53">
        <f>D26*D$6</f>
        <v>152000.0</v>
      </c>
      <c r="E27" s="53">
        <f>E26*E$6</f>
        <v>65764.0638692145</v>
      </c>
      <c r="F27" s="53">
        <f>F26*F$6</f>
        <v>65344.00024604785</v>
      </c>
      <c r="G27" s="53">
        <f>G26*G$6</f>
        <v>62701.96873684646</v>
      </c>
      <c r="H27" s="53">
        <f>H26*H$6</f>
        <v>53045.11404844895</v>
      </c>
      <c r="I27" s="53">
        <f>I26*I$6</f>
        <v>44007.69648939897</v>
      </c>
      <c r="J27" s="53">
        <f>J26*J$6</f>
        <v>48997.77218527021</v>
      </c>
      <c r="K27" s="53">
        <f>K26*K$6</f>
        <v>38743.56713625381</v>
      </c>
      <c r="L27" s="53">
        <f>L26*L$6</f>
        <v>38013.63610190224</v>
      </c>
      <c r="M27" s="53">
        <f>M26*M$6</f>
        <v>33498.76094404102</v>
      </c>
      <c r="N27" s="53">
        <f>N26*N$6</f>
        <v>28754.34559309483</v>
      </c>
    </row>
    <row r="28">
      <c r="B28" s="22" t="inlineStr">
        <is>
          <t>Кумул. дисконт. поток</t>
        </is>
      </c>
      <c r="C28" s="24" t="inlineStr">
        <is>
          <t>тыс.руб</t>
        </is>
      </c>
      <c r="D28" s="53">
        <f>SUM($D27:D27)</f>
        <v>152000.0</v>
      </c>
      <c r="E28" s="53">
        <f>SUM($D27:E27)</f>
        <v>217764.0638692145</v>
      </c>
      <c r="F28" s="53">
        <f>SUM($D27:F27)</f>
        <v>283108.06411526236</v>
      </c>
      <c r="G28" s="53">
        <f>SUM($D27:G27)</f>
        <v>345810.0328521088</v>
      </c>
      <c r="H28" s="53">
        <f>SUM($D27:H27)</f>
        <v>398855.1469005578</v>
      </c>
      <c r="I28" s="53">
        <f>SUM($D27:I27)</f>
        <v>442862.84338995675</v>
      </c>
      <c r="J28" s="53">
        <f>SUM($D27:J27)</f>
        <v>491860.61557522696</v>
      </c>
      <c r="K28" s="53">
        <f>SUM($D27:K27)</f>
        <v>530604.1827114808</v>
      </c>
      <c r="L28" s="53">
        <f>SUM($D27:L27)</f>
        <v>568617.818813383</v>
      </c>
      <c r="M28" s="53">
        <f>SUM($D27:M27)</f>
        <v>602116.5797574241</v>
      </c>
      <c r="N28" s="53">
        <f>SUM($D27:N27)</f>
        <v>630870.9253505189</v>
      </c>
    </row>
    <row r="29">
      <c r="B29" s="39" t="inlineStr">
        <is>
          <t>Аннуитет по году</t>
        </is>
      </c>
      <c r="C29" s="24" t="inlineStr">
        <is>
          <t>руб/пог.м</t>
        </is>
      </c>
      <c r="D29" s="65" t="n"/>
      <c r="E29" s="65">
        <f>SUM($D27:E27)/SUM($E$6:E$6)/(SUM($E11:E11)/E$4)</f>
        <v>2268.6049164998935</v>
      </c>
      <c r="F29" s="65">
        <f>SUM($D27:F27)/SUM($E$6:F$6)/(SUM($E11:F11)/F$4)</f>
        <v>1569.7448733480855</v>
      </c>
      <c r="G29" s="65">
        <f>SUM($D27:G27)/SUM($E$6:G$6)/(SUM($E11:G11)/G$4)</f>
        <v>1345.8451083605723</v>
      </c>
      <c r="H29" s="65">
        <f>SUM($D27:H27)/SUM($E$6:H$6)/(SUM($E11:H11)/H$4)</f>
        <v>1230.5438762010206</v>
      </c>
      <c r="I29" s="65">
        <f>SUM($D27:I27)/SUM($E$6:I$6)/(SUM($E11:I11)/I$4)</f>
        <v>1160.6681788243204</v>
      </c>
      <c r="J29" s="65">
        <f>SUM($D27:J27)/SUM($E$6:J$6)/(SUM($E11:J11)/J$4)</f>
        <v>1130.1071050529524</v>
      </c>
      <c r="K29" s="65">
        <f>SUM($D27:K27)/SUM($E$6:K$6)/(SUM($E11:K11)/K$4)</f>
        <v>1109.7149655033463</v>
      </c>
      <c r="L29" s="65">
        <f>SUM($D27:L27)/SUM($E$6:L$6)/(SUM($E11:L11)/L$4)</f>
        <v>1090.6340995008966</v>
      </c>
      <c r="M29" s="65">
        <f>SUM($D27:M27)/SUM($E$6:M$6)/(SUM($E11:M11)/M$4)</f>
        <v>1074.1667797280104</v>
      </c>
      <c r="N29" s="65">
        <f>SUM($D27:N27)/SUM($E$6:N$6)/(SUM($E11:N11)/N$4)</f>
        <v>1068.0971597600274</v>
      </c>
    </row>
    <row r="31">
      <c r="B31" s="5" t="str">
        <f>"Вариант 2:  "&amp;'Ввод данных'!E7</f>
        <v>Вариант 2:  Sunward
SWDRT250SM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</t>
        </is>
      </c>
      <c r="C32" s="24" t="inlineStr">
        <is>
          <t>коэф.</t>
        </is>
      </c>
      <c r="D32" s="57" t="n"/>
      <c r="E32" s="57">
        <f>'Данные по годам'!E11</f>
        <v>0.894794599822425</v>
      </c>
      <c r="F32" s="57">
        <f>'Данные по годам'!F11</f>
        <v>0.8653837677574835</v>
      </c>
      <c r="G32" s="57">
        <f>'Данные по годам'!G11</f>
        <v>0.8454065988077117</v>
      </c>
      <c r="H32" s="57">
        <f>'Данные по годам'!H11</f>
        <v>0.8748174308726534</v>
      </c>
      <c r="I32" s="57">
        <f>'Данные по годам'!I11</f>
        <v>0.8653837677574835</v>
      </c>
      <c r="J32" s="57">
        <f>'Данные по годам'!J11</f>
        <v>0.8431869133688482</v>
      </c>
      <c r="K32" s="57">
        <f>'Данные по годам'!K11</f>
        <v>0.8620542395991883</v>
      </c>
      <c r="L32" s="57">
        <f>'Данные по годам'!L11</f>
        <v>0.8653837677574835</v>
      </c>
      <c r="M32" s="57">
        <f>'Данные по годам'!M11</f>
        <v>0.8498459696854388</v>
      </c>
      <c r="N32" s="57">
        <f>'Данные по годам'!N11</f>
        <v>0.8542853405631659</v>
      </c>
    </row>
    <row r="33">
      <c r="B33" s="22" t="inlineStr">
        <is>
          <t>Эффективное время</t>
        </is>
      </c>
      <c r="C33" s="24" t="inlineStr">
        <is>
          <t>час/год</t>
        </is>
      </c>
      <c r="D33" s="53" t="n"/>
      <c r="E33" s="53">
        <f>'Параметры'!C27*E32*(1-137.92/(60*'Параметры'!C28))</f>
        <v>6336.911494753086</v>
      </c>
      <c r="F33" s="53">
        <f>'Параметры'!C27*F32*(1-137.92/(60*'Параметры'!C28))</f>
        <v>6128.624766358024</v>
      </c>
      <c r="G33" s="53">
        <f>'Параметры'!C27*G32*(1-137.92/(60*'Параметры'!C28))</f>
        <v>5987.146988580247</v>
      </c>
      <c r="H33" s="53">
        <f>'Параметры'!C27*H32*(1-137.92/(60*'Параметры'!C28))</f>
        <v>6195.433716975309</v>
      </c>
      <c r="I33" s="53">
        <f>'Параметры'!C27*I32*(1-137.92/(60*'Параметры'!C28))</f>
        <v>6128.624766358024</v>
      </c>
      <c r="J33" s="53">
        <f>'Параметры'!C27*J32*(1-137.92/(60*'Параметры'!C28))</f>
        <v>5971.4272354938275</v>
      </c>
      <c r="K33" s="53">
        <f>'Параметры'!C27*K32*(1-137.92/(60*'Параметры'!C28))</f>
        <v>6105.045136728396</v>
      </c>
      <c r="L33" s="53">
        <f>'Параметры'!C27*L32*(1-137.92/(60*'Параметры'!C28))</f>
        <v>6128.624766358024</v>
      </c>
      <c r="M33" s="53">
        <f>'Параметры'!C27*M32*(1-137.92/(60*'Параметры'!C28))</f>
        <v>6018.586494753086</v>
      </c>
      <c r="N33" s="53">
        <f>'Параметры'!C27*N32*(1-137.92/(60*'Параметры'!C28))</f>
        <v>6050.026000925926</v>
      </c>
    </row>
    <row r="34">
      <c r="B34" s="22" t="inlineStr">
        <is>
          <t>Объём бурения</t>
        </is>
      </c>
      <c r="C34" s="24" t="inlineStr">
        <is>
          <t>тыс.пог.м</t>
        </is>
      </c>
      <c r="D34" s="63" t="n"/>
      <c r="E34" s="63">
        <f>'Производительность'!E12*E33/1000</f>
        <v>111.45670208890172</v>
      </c>
      <c r="F34" s="63">
        <f>'Производительность'!E12*F33/1000</f>
        <v>107.79325312720765</v>
      </c>
      <c r="G34" s="63">
        <f>'Производительность'!E12*G33/1000</f>
        <v>105.30487270039659</v>
      </c>
      <c r="H34" s="63">
        <f>'Производительность'!E12*H33/1000</f>
        <v>108.96832166209066</v>
      </c>
      <c r="I34" s="63">
        <f>'Производительность'!E12*I33/1000</f>
        <v>107.79325312720765</v>
      </c>
      <c r="J34" s="63">
        <f>'Производительность'!E12*J33/1000</f>
        <v>105.02838598630647</v>
      </c>
      <c r="K34" s="63">
        <f>'Производительность'!E12*K33/1000</f>
        <v>107.3785230560725</v>
      </c>
      <c r="L34" s="63">
        <f>'Производительность'!E12*L33/1000</f>
        <v>107.79325312720765</v>
      </c>
      <c r="M34" s="63">
        <f>'Производительность'!E12*M33/1000</f>
        <v>105.85784612857682</v>
      </c>
      <c r="N34" s="63">
        <f>'Производительность'!E12*N33/1000</f>
        <v>106.41081955675706</v>
      </c>
    </row>
    <row r="35">
      <c r="B35" s="22" t="inlineStr">
        <is>
          <t>Объём взрывания</t>
        </is>
      </c>
      <c r="C35" s="24" t="inlineStr">
        <is>
          <t>тыс.м³</t>
        </is>
      </c>
      <c r="D35" s="53" t="n"/>
      <c r="E35" s="53">
        <f>E34*'Параметры'!C35</f>
        <v>5513.2057688275245</v>
      </c>
      <c r="F35" s="53">
        <f>F34*'Параметры'!C35</f>
        <v>5331.993265937327</v>
      </c>
      <c r="G35" s="53">
        <f>G34*'Параметры'!C35</f>
        <v>5208.905528125118</v>
      </c>
      <c r="H35" s="53">
        <f>H34*'Параметры'!C35</f>
        <v>5390.118031015315</v>
      </c>
      <c r="I35" s="53">
        <f>I34*'Параметры'!C35</f>
        <v>5331.993265937327</v>
      </c>
      <c r="J35" s="53">
        <f>J34*'Параметры'!C35</f>
        <v>5195.22911281265</v>
      </c>
      <c r="K35" s="53">
        <f>K34*'Параметры'!C35</f>
        <v>5311.478642968626</v>
      </c>
      <c r="L35" s="53">
        <f>L34*'Параметры'!C35</f>
        <v>5331.993265937327</v>
      </c>
      <c r="M35" s="53">
        <f>M34*'Параметры'!C35</f>
        <v>5236.258358750053</v>
      </c>
      <c r="N35" s="53">
        <f>N34*'Параметры'!C35</f>
        <v>5263.6111893749885</v>
      </c>
    </row>
    <row r="36">
      <c r="B36" s="22" t="inlineStr">
        <is>
          <t>Топливо/энергия</t>
        </is>
      </c>
      <c r="C36" s="24" t="inlineStr">
        <is>
          <t>тыс.руб</t>
        </is>
      </c>
      <c r="D36" s="53" t="n"/>
      <c r="E36" s="53">
        <f>E33*'Данные по годам'!E13/1000*'Параметры'!C10*(1+'Параметры'!C15)^(E$4-1)</f>
        <v>16190.398870920428</v>
      </c>
      <c r="F36" s="53">
        <f>F33*'Данные по годам'!F13/1000*'Параметры'!C10*(1+'Параметры'!C15)^(F$4-1)</f>
        <v>15658.23975602237</v>
      </c>
      <c r="G36" s="53">
        <f>G33*'Данные по годам'!G13/1000*'Параметры'!C10*(1+'Параметры'!C15)^(G$4-1)</f>
        <v>15296.773187412373</v>
      </c>
      <c r="H36" s="53">
        <f>H33*'Данные по годам'!H13/1000*'Параметры'!C10*(1+'Параметры'!C15)^(H$4-1)</f>
        <v>15828.93230231043</v>
      </c>
      <c r="I36" s="53">
        <f>I33*'Данные по годам'!I13/1000*'Параметры'!C10*(1+'Параметры'!C15)^(I$4-1)</f>
        <v>15658.23975602237</v>
      </c>
      <c r="J36" s="53">
        <f>J33*'Данные по годам'!J13/1000*'Параметры'!C10*(1+'Параметры'!C15)^(J$4-1)</f>
        <v>15256.610235344595</v>
      </c>
      <c r="K36" s="53">
        <f>K33*'Данные по годам'!K13/1000*'Параметры'!C10*(1+'Параметры'!C15)^(K$4-1)</f>
        <v>15597.995327920707</v>
      </c>
      <c r="L36" s="53">
        <f>L33*'Данные по годам'!L13/1000*'Параметры'!C10*(1+'Параметры'!C15)^(L$4-1)</f>
        <v>15658.23975602237</v>
      </c>
      <c r="M36" s="53">
        <f>M33*'Данные по годам'!M13/1000*'Параметры'!C10*(1+'Параметры'!C15)^(M$4-1)</f>
        <v>15377.099091547927</v>
      </c>
      <c r="N36" s="53">
        <f>N33*'Данные по годам'!N13/1000*'Параметры'!C10*(1+'Параметры'!C15)^(N$4-1)</f>
        <v>15457.424995683485</v>
      </c>
    </row>
    <row r="37">
      <c r="B37" s="22" t="inlineStr">
        <is>
          <t>ТОиР и сервис (по годам)</t>
        </is>
      </c>
      <c r="C37" s="24" t="inlineStr">
        <is>
          <t>тыс.руб</t>
        </is>
      </c>
      <c r="D37" s="53" t="n"/>
      <c r="E37" s="53">
        <f>'Данные по годам'!E12*IF('Данные по годам'!$D$12="CNY",'Параметры'!C21,IF('Данные по годам'!$D$12="USD",'Параметры'!C22,IF('Данные по годам'!$D$12="EUR",'Параметры'!C23,1)))</f>
        <v>33670.312</v>
      </c>
      <c r="F37" s="53">
        <f>'Данные по годам'!F12*IF('Данные по годам'!$D$12="CNY",'Параметры'!C21,IF('Данные по годам'!$D$12="USD",'Параметры'!C22,IF('Данные по годам'!$D$12="EUR",'Параметры'!C23,1)))</f>
        <v>57233.504</v>
      </c>
      <c r="G37" s="53">
        <f>'Данные по годам'!G12*IF('Данные по годам'!$D$12="CNY",'Параметры'!C21,IF('Данные по годам'!$D$12="USD",'Параметры'!C22,IF('Данные по годам'!$D$12="EUR",'Параметры'!C23,1)))</f>
        <v>59521.07199999999</v>
      </c>
      <c r="H37" s="53">
        <f>'Данные по годам'!H12*IF('Данные по годам'!$D$12="CNY",'Параметры'!C21,IF('Данные по годам'!$D$12="USD",'Параметры'!C22,IF('Данные по годам'!$D$12="EUR",'Параметры'!C23,1)))</f>
        <v>42885.896</v>
      </c>
      <c r="I37" s="53">
        <f>'Данные по годам'!I12*IF('Данные по годам'!$D$12="CNY",'Параметры'!C21,IF('Данные по годам'!$D$12="USD",'Параметры'!C22,IF('Данные по годам'!$D$12="EUR",'Параметры'!C23,1)))</f>
        <v>53953.744</v>
      </c>
      <c r="J37" s="53">
        <f>'Данные по годам'!J12*IF('Данные по годам'!$D$12="CNY",'Параметры'!C21,IF('Данные по годам'!$D$12="USD",'Параметры'!C22,IF('Данные по годам'!$D$12="EUR",'Параметры'!C23,1)))</f>
        <v>62800.832</v>
      </c>
      <c r="K37" s="53">
        <f>'Данные по годам'!K12*IF('Данные по годам'!$D$12="CNY",'Параметры'!C21,IF('Данные по годам'!$D$12="USD",'Параметры'!C22,IF('Данные по годам'!$D$12="EUR",'Параметры'!C23,1)))</f>
        <v>39947.736000000004</v>
      </c>
      <c r="L37" s="53">
        <f>'Данные по годам'!L12*IF('Данные по годам'!$D$12="CNY",'Параметры'!C21,IF('Данные по годам'!$D$12="USD",'Параметры'!C22,IF('Данные по годам'!$D$12="EUR",'Параметры'!C23,1)))</f>
        <v>57557.35199999999</v>
      </c>
      <c r="M37" s="53">
        <f>'Данные по годам'!M12*IF('Данные по годам'!$D$12="CNY",'Параметры'!C21,IF('Данные по годам'!$D$12="USD",'Параметры'!C22,IF('Данные по годам'!$D$12="EUR",'Параметры'!C23,1)))</f>
        <v>54549.34399999999</v>
      </c>
      <c r="N37" s="53">
        <f>'Данные по годам'!N12*IF('Данные по годам'!$D$12="CNY",'Параметры'!C21,IF('Данные по годам'!$D$12="USD",'Параметры'!C22,IF('Данные по годам'!$D$12="EUR",'Параметры'!C23,1)))</f>
        <v>42885.896</v>
      </c>
    </row>
    <row r="38">
      <c r="B38" s="22" t="inlineStr">
        <is>
          <t>Долота</t>
        </is>
      </c>
      <c r="C38" s="24" t="inlineStr">
        <is>
          <t>тыс.руб</t>
        </is>
      </c>
      <c r="D38" s="53" t="n"/>
      <c r="E38" s="53">
        <f>E34*'Поставщик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годам'!$D$12="EUR",'Параметры'!C23,1)))*(1+'Параметры'!C16)^(E$4-1)</f>
        <v>0.0</v>
      </c>
      <c r="F38" s="53">
        <f>F34*'Поставщик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годам'!$D$12="EUR",'Параметры'!C23,1)))*(1+'Параметры'!C16)^(F$4-1)</f>
        <v>0.0</v>
      </c>
      <c r="G38" s="53">
        <f>G34*'Поставщик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годам'!$D$12="EUR",'Параметры'!C23,1)))*(1+'Параметры'!C16)^(G$4-1)</f>
        <v>0.0</v>
      </c>
      <c r="H38" s="53">
        <f>H34*'Поставщик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годам'!$D$12="EUR",'Параметры'!C23,1)))*(1+'Параметры'!C16)^(H$4-1)</f>
        <v>0.0</v>
      </c>
      <c r="I38" s="53">
        <f>I34*'Поставщик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годам'!$D$12="EUR",'Параметры'!C23,1)))*(1+'Параметры'!C16)^(I$4-1)</f>
        <v>0.0</v>
      </c>
      <c r="J38" s="53">
        <f>J34*'Поставщик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годам'!$D$12="EUR",'Параметры'!C23,1)))*(1+'Параметры'!C16)^(J$4-1)</f>
        <v>0.0</v>
      </c>
      <c r="K38" s="53">
        <f>K34*'Поставщик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годам'!$D$12="EUR",'Параметры'!C23,1)))*(1+'Параметры'!C16)^(K$4-1)</f>
        <v>0.0</v>
      </c>
      <c r="L38" s="53">
        <f>L34*'Поставщик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годам'!$D$12="EUR",'Параметры'!C23,1)))*(1+'Параметры'!C16)^(L$4-1)</f>
        <v>0.0</v>
      </c>
      <c r="M38" s="53">
        <f>M34*'Поставщик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годам'!$D$12="EUR",'Параметры'!C23,1)))*(1+'Параметры'!C16)^(M$4-1)</f>
        <v>0.0</v>
      </c>
      <c r="N38" s="53">
        <f>N34*'Поставщик 2'!$D$30*'Поставщик 2'!$E$30*IF('Данные по годам'!$D$12="CNY",'Параметры'!C21,IF('Данные по годам'!$D$12="USD",'Параметры'!C22,IF('Данные по годам'!$D$12="EUR",'Параметры'!C23,1)))*(1+'Параметры'!C16)^(N$4-1)</f>
        <v>0.0</v>
      </c>
    </row>
    <row r="39">
      <c r="B39" s="22" t="inlineStr">
        <is>
          <t>Штанги/адаптеры</t>
        </is>
      </c>
      <c r="C39" s="24" t="inlineStr">
        <is>
          <t>тыс.руб</t>
        </is>
      </c>
      <c r="D39" s="53" t="n"/>
      <c r="E39" s="53">
        <f>E34*'Поставщик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годам'!$D$12="EUR",'Параметры'!C23,1)))*(1+'Параметры'!C16)^(E$4-1)</f>
        <v>0.0</v>
      </c>
      <c r="F39" s="53">
        <f>F34*'Поставщик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годам'!$D$12="EUR",'Параметры'!C23,1)))*(1+'Параметры'!C16)^(F$4-1)</f>
        <v>0.0</v>
      </c>
      <c r="G39" s="53">
        <f>G34*'Поставщик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годам'!$D$12="EUR",'Параметры'!C23,1)))*(1+'Параметры'!C16)^(G$4-1)</f>
        <v>0.0</v>
      </c>
      <c r="H39" s="53">
        <f>H34*'Поставщик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годам'!$D$12="EUR",'Параметры'!C23,1)))*(1+'Параметры'!C16)^(H$4-1)</f>
        <v>0.0</v>
      </c>
      <c r="I39" s="53">
        <f>I34*'Поставщик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годам'!$D$12="EUR",'Параметры'!C23,1)))*(1+'Параметры'!C16)^(I$4-1)</f>
        <v>0.0</v>
      </c>
      <c r="J39" s="53">
        <f>J34*'Поставщик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годам'!$D$12="EUR",'Параметры'!C23,1)))*(1+'Параметры'!C16)^(J$4-1)</f>
        <v>0.0</v>
      </c>
      <c r="K39" s="53">
        <f>K34*'Поставщик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годам'!$D$12="EUR",'Параметры'!C23,1)))*(1+'Параметры'!C16)^(K$4-1)</f>
        <v>0.0</v>
      </c>
      <c r="L39" s="53">
        <f>L34*'Поставщик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годам'!$D$12="EUR",'Параметры'!C23,1)))*(1+'Параметры'!C16)^(L$4-1)</f>
        <v>0.0</v>
      </c>
      <c r="M39" s="53">
        <f>M34*'Поставщик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годам'!$D$12="EUR",'Параметры'!C23,1)))*(1+'Параметры'!C16)^(M$4-1)</f>
        <v>0.0</v>
      </c>
      <c r="N39" s="53">
        <f>N34*'Поставщик 2'!$D$31*'Поставщик 2'!$E$31*IF('Данные по годам'!$D$12="CNY",'Параметры'!C21,IF('Данные по годам'!$D$12="USD",'Параметры'!C22,IF('Данные по годам'!$D$12="EUR",'Параметры'!C23,1)))*(1+'Параметры'!C16)^(N$4-1)</f>
        <v>0.0</v>
      </c>
    </row>
    <row r="40">
      <c r="B40" s="22" t="inlineStr">
        <is>
          <t>Расходники</t>
        </is>
      </c>
      <c r="C40" s="24" t="inlineStr">
        <is>
          <t>тыс.руб</t>
        </is>
      </c>
      <c r="D40" s="53" t="n"/>
      <c r="E40" s="53">
        <f>E34*'Поставщик 2'!$D$32*(1+'Параметры'!C16)^(E$4-1)</f>
        <v>0.0</v>
      </c>
      <c r="F40" s="53">
        <f>F34*'Поставщик 2'!$D$32*(1+'Параметры'!C16)^(F$4-1)</f>
        <v>0.0</v>
      </c>
      <c r="G40" s="53">
        <f>G34*'Поставщик 2'!$D$32*(1+'Параметры'!C16)^(G$4-1)</f>
        <v>0.0</v>
      </c>
      <c r="H40" s="53">
        <f>H34*'Поставщик 2'!$D$32*(1+'Параметры'!C16)^(H$4-1)</f>
        <v>0.0</v>
      </c>
      <c r="I40" s="53">
        <f>I34*'Поставщик 2'!$D$32*(1+'Параметры'!C16)^(I$4-1)</f>
        <v>0.0</v>
      </c>
      <c r="J40" s="53">
        <f>J34*'Поставщик 2'!$D$32*(1+'Параметры'!C16)^(J$4-1)</f>
        <v>0.0</v>
      </c>
      <c r="K40" s="53">
        <f>K34*'Поставщик 2'!$D$32*(1+'Параметры'!C16)^(K$4-1)</f>
        <v>0.0</v>
      </c>
      <c r="L40" s="53">
        <f>L34*'Поставщик 2'!$D$32*(1+'Параметры'!C16)^(L$4-1)</f>
        <v>0.0</v>
      </c>
      <c r="M40" s="53">
        <f>M34*'Поставщик 2'!$D$32*(1+'Параметры'!C16)^(M$4-1)</f>
        <v>0.0</v>
      </c>
      <c r="N40" s="53">
        <f>N34*'Поставщик 2'!$D$32*(1+'Параметры'!C16)^(N$4-1)</f>
        <v>0.0</v>
      </c>
    </row>
    <row r="41">
      <c r="B41" s="22" t="inlineStr">
        <is>
          <t>Персонал</t>
        </is>
      </c>
      <c r="C41" s="24" t="inlineStr">
        <is>
          <t>тыс.руб</t>
        </is>
      </c>
      <c r="D41" s="53" t="n"/>
      <c r="E41" s="53">
        <f>'Ввод данных'!E22*(1+'Параметры'!C17)^(E$4-1)</f>
        <v>15710.0</v>
      </c>
      <c r="F41" s="53">
        <f>'Ввод данных'!E22*(1+'Параметры'!C17)^(F$4-1)</f>
        <v>15710.0</v>
      </c>
      <c r="G41" s="53">
        <f>'Ввод данных'!E22*(1+'Параметры'!C17)^(G$4-1)</f>
        <v>15710.0</v>
      </c>
      <c r="H41" s="53">
        <f>'Ввод данных'!E22*(1+'Параметры'!C17)^(H$4-1)</f>
        <v>15710.0</v>
      </c>
      <c r="I41" s="53">
        <f>'Ввод данных'!E22*(1+'Параметры'!C17)^(I$4-1)</f>
        <v>15710.0</v>
      </c>
      <c r="J41" s="53">
        <f>'Ввод данных'!E22*(1+'Параметры'!C17)^(J$4-1)</f>
        <v>15710.0</v>
      </c>
      <c r="K41" s="53">
        <f>'Ввод данных'!E22*(1+'Параметры'!C17)^(K$4-1)</f>
        <v>15710.0</v>
      </c>
      <c r="L41" s="53">
        <f>'Ввод данных'!E22*(1+'Параметры'!C17)^(L$4-1)</f>
        <v>15710.0</v>
      </c>
      <c r="M41" s="53">
        <f>'Ввод данных'!E22*(1+'Параметры'!C17)^(M$4-1)</f>
        <v>15710.0</v>
      </c>
      <c r="N41" s="53">
        <f>'Ввод данных'!E22*(1+'Параметры'!C17)^(N$4-1)</f>
        <v>15710.0</v>
      </c>
    </row>
    <row r="42">
      <c r="B42" s="22" t="inlineStr">
        <is>
          <t>Транспортный налог</t>
        </is>
      </c>
      <c r="C42" s="24" t="inlineStr">
        <is>
          <t>тыс.руб</t>
        </is>
      </c>
      <c r="D42" s="53" t="n"/>
      <c r="E42" s="53">
        <f>'Ввод данных'!E23*15/1000</f>
        <v>12.0</v>
      </c>
      <c r="F42" s="53">
        <f>'Ввод данных'!E23*15/1000</f>
        <v>12.0</v>
      </c>
      <c r="G42" s="53">
        <f>'Ввод данных'!E23*15/1000</f>
        <v>12.0</v>
      </c>
      <c r="H42" s="53">
        <f>'Ввод данных'!E23*15/1000</f>
        <v>12.0</v>
      </c>
      <c r="I42" s="53">
        <f>'Ввод данных'!E23*15/1000</f>
        <v>12.0</v>
      </c>
      <c r="J42" s="53">
        <f>'Ввод данных'!E23*15/1000</f>
        <v>12.0</v>
      </c>
      <c r="K42" s="53">
        <f>'Ввод данных'!E23*15/1000</f>
        <v>12.0</v>
      </c>
      <c r="L42" s="53">
        <f>'Ввод данных'!E23*15/1000</f>
        <v>12.0</v>
      </c>
      <c r="M42" s="53">
        <f>'Ввод данных'!E23*15/1000</f>
        <v>12.0</v>
      </c>
      <c r="N42" s="53">
        <f>'Ввод данных'!E23*15/1000</f>
        <v>12.0</v>
      </c>
    </row>
    <row r="43">
      <c r="B43" s="22" t="inlineStr">
        <is>
          <t>Итого денежные затраты</t>
        </is>
      </c>
      <c r="C43" s="24" t="inlineStr">
        <is>
          <t>тыс.руб</t>
        </is>
      </c>
      <c r="D43" s="53" t="n"/>
      <c r="E43" s="64">
        <f>E36+E37+E38+E39+E40+E41+E42</f>
        <v>65582.71087092042</v>
      </c>
      <c r="F43" s="64">
        <f>F36+F37+F38+F39+F40+F41+F42</f>
        <v>88613.74375602238</v>
      </c>
      <c r="G43" s="64">
        <f>G36+G37+G38+G39+G40+G41+G42</f>
        <v>90539.84518741237</v>
      </c>
      <c r="H43" s="64">
        <f>H36+H37+H38+H39+H40+H41+H42</f>
        <v>74436.82830231043</v>
      </c>
      <c r="I43" s="64">
        <f>I36+I37+I38+I39+I40+I41+I42</f>
        <v>85333.98375602237</v>
      </c>
      <c r="J43" s="64">
        <f>J36+J37+J38+J39+J40+J41+J42</f>
        <v>93779.4422353446</v>
      </c>
      <c r="K43" s="64">
        <f>K36+K37+K38+K39+K40+K41+K42</f>
        <v>71267.73132792072</v>
      </c>
      <c r="L43" s="64">
        <f>L36+L37+L38+L39+L40+L41+L42</f>
        <v>88937.59175602236</v>
      </c>
      <c r="M43" s="64">
        <f>M36+M37+M38+M39+M40+M41+M42</f>
        <v>85648.44309154792</v>
      </c>
      <c r="N43" s="64">
        <f>N36+N37+N38+N39+N40+N41+N42</f>
        <v>74065.32099568349</v>
      </c>
    </row>
    <row r="44">
      <c r="B44" s="22" t="inlineStr">
        <is>
          <t>Амортизация (НУ)</t>
        </is>
      </c>
      <c r="C44" s="24" t="inlineStr">
        <is>
          <t>тыс.руб</t>
        </is>
      </c>
      <c r="D44" s="53" t="n"/>
      <c r="E44" s="53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>22034.23175290183</v>
      </c>
      <c r="F44" s="53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>22034.23175290183</v>
      </c>
      <c r="G44" s="53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>22034.23175290183</v>
      </c>
      <c r="H44" s="53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>22034.23175290183</v>
      </c>
      <c r="I44" s="53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>22034.23175290183</v>
      </c>
      <c r="J44" s="53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>1828.8412354908558</v>
      </c>
      <c r="K44" s="53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>0.0</v>
      </c>
      <c r="L44" s="53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>0.0</v>
      </c>
      <c r="M44" s="53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>0.0</v>
      </c>
      <c r="N44" s="53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>0.0</v>
      </c>
    </row>
    <row r="45">
      <c r="B45" s="22" t="inlineStr">
        <is>
          <t>Налогооблагаемая база</t>
        </is>
      </c>
      <c r="C45" s="24" t="inlineStr">
        <is>
          <t>тыс.руб</t>
        </is>
      </c>
      <c r="D45" s="53" t="n"/>
      <c r="E45" s="53">
        <f>E43+E44</f>
        <v>87616.94262382225</v>
      </c>
      <c r="F45" s="53">
        <f>F43+F44</f>
        <v>110647.97550892421</v>
      </c>
      <c r="G45" s="53">
        <f>G43+G44</f>
        <v>112574.0769403142</v>
      </c>
      <c r="H45" s="53">
        <f>H43+H44</f>
        <v>96471.06005521226</v>
      </c>
      <c r="I45" s="53">
        <f>I43+I44</f>
        <v>107368.2155089242</v>
      </c>
      <c r="J45" s="53">
        <f>J43+J44</f>
        <v>95608.28347083545</v>
      </c>
      <c r="K45" s="53">
        <f>K43+K44</f>
        <v>71267.73132792072</v>
      </c>
      <c r="L45" s="53">
        <f>L43+L44</f>
        <v>88937.59175602236</v>
      </c>
      <c r="M45" s="53">
        <f>M43+M44</f>
        <v>85648.44309154792</v>
      </c>
      <c r="N45" s="53">
        <f>N43+N44</f>
        <v>74065.32099568349</v>
      </c>
    </row>
    <row r="46">
      <c r="B46" s="22" t="inlineStr">
        <is>
          <t>Налог на прибыль (щит)</t>
        </is>
      </c>
      <c r="C46" s="24" t="inlineStr">
        <is>
          <t>тыс.руб</t>
        </is>
      </c>
      <c r="D46" s="53" t="n"/>
      <c r="E46" s="53">
        <f>-E45*'Параметры'!C7</f>
        <v>-21904.235655955563</v>
      </c>
      <c r="F46" s="53">
        <f>-F45*'Параметры'!C7</f>
        <v>-27661.993877231052</v>
      </c>
      <c r="G46" s="53">
        <f>-G45*'Параметры'!C7</f>
        <v>-28143.51923507855</v>
      </c>
      <c r="H46" s="53">
        <f>-H45*'Параметры'!C7</f>
        <v>-24117.765013803066</v>
      </c>
      <c r="I46" s="53">
        <f>-I45*'Параметры'!C7</f>
        <v>-26842.05387723105</v>
      </c>
      <c r="J46" s="53">
        <f>-J45*'Параметры'!C7</f>
        <v>-23902.070867708862</v>
      </c>
      <c r="K46" s="53">
        <f>-K45*'Параметры'!C7</f>
        <v>-17816.93283198018</v>
      </c>
      <c r="L46" s="53">
        <f>-L45*'Параметры'!C7</f>
        <v>-22234.39793900559</v>
      </c>
      <c r="M46" s="53">
        <f>-M45*'Параметры'!C7</f>
        <v>-21412.11077288698</v>
      </c>
      <c r="N46" s="53">
        <f>-N45*'Параметры'!C7</f>
        <v>-18516.330248920873</v>
      </c>
    </row>
    <row r="47">
      <c r="B47" s="22" t="inlineStr">
        <is>
          <t>Операц. денежный поток</t>
        </is>
      </c>
      <c r="C47" s="24" t="inlineStr">
        <is>
          <t>тыс.руб</t>
        </is>
      </c>
      <c r="D47" s="53" t="n"/>
      <c r="E47" s="64">
        <f>E45+E46-E44</f>
        <v>43678.475214964856</v>
      </c>
      <c r="F47" s="64">
        <f>F45+F46-F44</f>
        <v>60951.74987879132</v>
      </c>
      <c r="G47" s="64">
        <f>G45+G46-G44</f>
        <v>62396.32595233382</v>
      </c>
      <c r="H47" s="64">
        <f>H45+H46-H44</f>
        <v>50319.06328850737</v>
      </c>
      <c r="I47" s="64">
        <f>I45+I46-I44</f>
        <v>58491.929878791314</v>
      </c>
      <c r="J47" s="64">
        <f>J45+J46-J44</f>
        <v>69877.37136763574</v>
      </c>
      <c r="K47" s="64">
        <f>K45+K46-K44</f>
        <v>53450.79849594054</v>
      </c>
      <c r="L47" s="64">
        <f>L45+L46-L44</f>
        <v>66703.19381701677</v>
      </c>
      <c r="M47" s="64">
        <f>M45+M46-M44</f>
        <v>64236.332318660934</v>
      </c>
      <c r="N47" s="64">
        <f>N45+N46-N44</f>
        <v>55548.99074676262</v>
      </c>
    </row>
    <row r="48">
      <c r="B48" s="22" t="inlineStr">
        <is>
          <t>Инвестиции / остаточная ст-ть</t>
        </is>
      </c>
      <c r="C48" s="24" t="inlineStr">
        <is>
          <t>тыс.руб</t>
        </is>
      </c>
      <c r="D48" s="53">
        <f>IF(D$4=0,'Производительность'!E5,IF(D$4='Параметры'!C8,-'Ввод данных'!E14*'Производительность'!E5,0))</f>
        <v>112000.0</v>
      </c>
      <c r="E48" s="53">
        <f>IF(E$4=0,'Производительность'!E5,IF(E$4='Параметры'!C8,-'Ввод данных'!E14*'Производительность'!E5,0))</f>
        <v>0.0</v>
      </c>
      <c r="F48" s="53">
        <f>IF(F$4=0,'Производительность'!E5,IF(F$4='Параметры'!C8,-'Ввод данных'!E14*'Производительность'!E5,0))</f>
        <v>0.0</v>
      </c>
      <c r="G48" s="53">
        <f>IF(G$4=0,'Производительность'!E5,IF(G$4='Параметры'!C8,-'Ввод данных'!E14*'Производительность'!E5,0))</f>
        <v>0.0</v>
      </c>
      <c r="H48" s="53">
        <f>IF(H$4=0,'Производительность'!E5,IF(H$4='Параметры'!C8,-'Ввод данных'!E14*'Производительность'!E5,0))</f>
        <v>0.0</v>
      </c>
      <c r="I48" s="53">
        <f>IF(I$4=0,'Производительность'!E5,IF(I$4='Параметры'!C8,-'Ввод данных'!E14*'Производительность'!E5,0))</f>
        <v>0.0</v>
      </c>
      <c r="J48" s="53">
        <f>IF(J$4=0,'Производительность'!E5,IF(J$4='Параметры'!C8,-'Ввод данных'!E14*'Производительность'!E5,0))</f>
        <v>0.0</v>
      </c>
      <c r="K48" s="53">
        <f>IF(K$4=0,'Производительность'!E5,IF(K$4='Параметры'!C8,-'Ввод данных'!E14*'Производительность'!E5,0))</f>
        <v>0.0</v>
      </c>
      <c r="L48" s="53">
        <f>IF(L$4=0,'Производительность'!E5,IF(L$4='Параметры'!C8,-'Ввод данных'!E14*'Производительность'!E5,0))</f>
        <v>0.0</v>
      </c>
      <c r="M48" s="53">
        <f>IF(M$4=0,'Производительность'!E5,IF(M$4='Параметры'!C8,-'Ввод данных'!E14*'Производительность'!E5,0))</f>
        <v>0.0</v>
      </c>
      <c r="N48" s="53">
        <f>IF(N$4=0,'Производительность'!E5,IF(N$4='Параметры'!C8,-'Ввод данных'!E14*'Производительность'!E5,0))</f>
        <v>-0.0</v>
      </c>
    </row>
    <row r="49">
      <c r="B49" s="22" t="inlineStr">
        <is>
          <t>Чистый денежный поток</t>
        </is>
      </c>
      <c r="C49" s="24" t="inlineStr">
        <is>
          <t>тыс.руб</t>
        </is>
      </c>
      <c r="D49" s="64">
        <f>0+D48</f>
        <v>112000.0</v>
      </c>
      <c r="E49" s="64">
        <f>E47+E48</f>
        <v>43678.475214964856</v>
      </c>
      <c r="F49" s="64">
        <f>F47+F48</f>
        <v>60951.74987879132</v>
      </c>
      <c r="G49" s="64">
        <f>G47+G48</f>
        <v>62396.32595233382</v>
      </c>
      <c r="H49" s="64">
        <f>H47+H48</f>
        <v>50319.06328850737</v>
      </c>
      <c r="I49" s="64">
        <f>I47+I48</f>
        <v>58491.929878791314</v>
      </c>
      <c r="J49" s="64">
        <f>J47+J48</f>
        <v>69877.37136763574</v>
      </c>
      <c r="K49" s="64">
        <f>K47+K48</f>
        <v>53450.79849594054</v>
      </c>
      <c r="L49" s="64">
        <f>L47+L48</f>
        <v>66703.19381701677</v>
      </c>
      <c r="M49" s="64">
        <f>M47+M48</f>
        <v>64236.332318660934</v>
      </c>
      <c r="N49" s="64">
        <f>N47+N48</f>
        <v>55548.99074676262</v>
      </c>
    </row>
    <row r="50">
      <c r="B50" s="22" t="inlineStr">
        <is>
          <t>Дисконтированный поток</t>
        </is>
      </c>
      <c r="C50" s="24" t="inlineStr">
        <is>
          <t>тыс.руб</t>
        </is>
      </c>
      <c r="D50" s="53">
        <f>D49*D$6</f>
        <v>112000.0</v>
      </c>
      <c r="E50" s="53">
        <f>E49*E$6</f>
        <v>38998.638584790046</v>
      </c>
      <c r="F50" s="53">
        <f>F49*F$6</f>
        <v>48590.36182939359</v>
      </c>
      <c r="G50" s="53">
        <f>G49*G$6</f>
        <v>44412.472348998526</v>
      </c>
      <c r="H50" s="53">
        <f>H49*H$6</f>
        <v>31978.674408243285</v>
      </c>
      <c r="I50" s="53">
        <f>I49*I$6</f>
        <v>33189.89185603534</v>
      </c>
      <c r="J50" s="53">
        <f>J49*J$6</f>
        <v>35402.0510009093</v>
      </c>
      <c r="K50" s="53">
        <f>K49*K$6</f>
        <v>24178.426758769103</v>
      </c>
      <c r="L50" s="53">
        <f>L49*L$6</f>
        <v>26940.301235350224</v>
      </c>
      <c r="M50" s="53">
        <f>M49*M$6</f>
        <v>23164.265402157358</v>
      </c>
      <c r="N50" s="53">
        <f>N49*N$6</f>
        <v>17885.28834008178</v>
      </c>
    </row>
    <row r="51">
      <c r="B51" s="22" t="inlineStr">
        <is>
          <t>Кумул. дисконт. поток</t>
        </is>
      </c>
      <c r="C51" s="24" t="inlineStr">
        <is>
          <t>тыс.руб</t>
        </is>
      </c>
      <c r="D51" s="53">
        <f>SUM($D50:D50)</f>
        <v>112000.0</v>
      </c>
      <c r="E51" s="53">
        <f>SUM($D50:E50)</f>
        <v>150998.63858479005</v>
      </c>
      <c r="F51" s="53">
        <f>SUM($D50:F50)</f>
        <v>199589.00041418365</v>
      </c>
      <c r="G51" s="53">
        <f>SUM($D50:G50)</f>
        <v>244001.4727631822</v>
      </c>
      <c r="H51" s="53">
        <f>SUM($D50:H50)</f>
        <v>275980.14717142546</v>
      </c>
      <c r="I51" s="53">
        <f>SUM($D50:I50)</f>
        <v>309170.0390274608</v>
      </c>
      <c r="J51" s="53">
        <f>SUM($D50:J50)</f>
        <v>344572.0900283701</v>
      </c>
      <c r="K51" s="53">
        <f>SUM($D50:K50)</f>
        <v>368750.5167871392</v>
      </c>
      <c r="L51" s="53">
        <f>SUM($D50:L50)</f>
        <v>395690.8180224894</v>
      </c>
      <c r="M51" s="53">
        <f>SUM($D50:M50)</f>
        <v>418855.08342464676</v>
      </c>
      <c r="N51" s="53">
        <f>SUM($D50:N50)</f>
        <v>436740.37176472857</v>
      </c>
    </row>
    <row r="52">
      <c r="B52" s="39" t="inlineStr">
        <is>
          <t>Аннуитет по году</t>
        </is>
      </c>
      <c r="C52" s="24" t="inlineStr">
        <is>
          <t>руб/пог.м</t>
        </is>
      </c>
      <c r="D52" s="65" t="n"/>
      <c r="E52" s="65">
        <f>SUM($D50:E50)/SUM($E$6:E$6)/(SUM($E34:E34)/E$4)</f>
        <v>1517.3468445178842</v>
      </c>
      <c r="F52" s="65">
        <f>SUM($D50:F50)/SUM($E$6:F$6)/(SUM($E34:F34)/F$4)</f>
        <v>1077.2767077251901</v>
      </c>
      <c r="G52" s="65">
        <f>SUM($D50:G50)/SUM($E$6:G$6)/(SUM($E34:G34)/G$4)</f>
        <v>939.0379285878678</v>
      </c>
      <c r="H52" s="65">
        <f>SUM($D50:H50)/SUM($E$6:H$6)/(SUM($E34:H34)/H$4)</f>
        <v>838.3604730115806</v>
      </c>
      <c r="I52" s="65">
        <f>SUM($D50:I50)/SUM($E$6:I$6)/(SUM($E34:I34)/I$4)</f>
        <v>792.2056049114796</v>
      </c>
      <c r="J52" s="65">
        <f>SUM($D50:J50)/SUM($E$6:J$6)/(SUM($E34:J34)/J$4)</f>
        <v>777.9946147549039</v>
      </c>
      <c r="K52" s="65">
        <f>SUM($D50:K50)/SUM($E$6:K$6)/(SUM($E34:K34)/K$4)</f>
        <v>750.4059376168339</v>
      </c>
      <c r="L52" s="65">
        <f>SUM($D50:L50)/SUM($E$6:L$6)/(SUM($E34:L34)/L$4)</f>
        <v>739.6601687962153</v>
      </c>
      <c r="M52" s="65">
        <f>SUM($D50:M50)/SUM($E$6:M$6)/(SUM($E34:M34)/M$4)</f>
        <v>731.353136339824</v>
      </c>
      <c r="N52" s="65">
        <f>SUM($D50:N50)/SUM($E$6:N$6)/(SUM($E34:N34)/N$4)</f>
        <v>719.8472045594858</v>
      </c>
    </row>
    <row r="54">
      <c r="B54" s="5" t="str">
        <f>"Вариант 3:  "&amp;'Ввод данных'!F7</f>
        <v>Вариант 3:  Sunward
SWDRT270SM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B55" s="22" t="inlineStr">
        <is>
          <t>КТГ</t>
        </is>
      </c>
      <c r="C55" s="24" t="inlineStr">
        <is>
          <t>коэф.</t>
        </is>
      </c>
      <c r="D55" s="57" t="n"/>
      <c r="E55" s="57">
        <f>'Данные по годам'!E15</f>
        <v>0.894794599822425</v>
      </c>
      <c r="F55" s="57">
        <f>'Данные по годам'!F15</f>
        <v>0.8653837677574835</v>
      </c>
      <c r="G55" s="57">
        <f>'Данные по годам'!G15</f>
        <v>0.8454065988077117</v>
      </c>
      <c r="H55" s="57">
        <f>'Данные по годам'!H15</f>
        <v>0.8748174308726534</v>
      </c>
      <c r="I55" s="57">
        <f>'Данные по годам'!I15</f>
        <v>0.8653837677574835</v>
      </c>
      <c r="J55" s="57">
        <f>'Данные по годам'!J15</f>
        <v>0.8431869133688482</v>
      </c>
      <c r="K55" s="57">
        <f>'Данные по годам'!K15</f>
        <v>0.8620542395991883</v>
      </c>
      <c r="L55" s="57">
        <f>'Данные по годам'!L15</f>
        <v>0.8653837677574835</v>
      </c>
      <c r="M55" s="57">
        <f>'Данные по годам'!M15</f>
        <v>0.8498459696854388</v>
      </c>
      <c r="N55" s="57">
        <f>'Данные по годам'!N15</f>
        <v>0.8542853405631659</v>
      </c>
    </row>
    <row r="56">
      <c r="B56" s="22" t="inlineStr">
        <is>
          <t>Эффективное время</t>
        </is>
      </c>
      <c r="C56" s="24" t="inlineStr">
        <is>
          <t>час/год</t>
        </is>
      </c>
      <c r="D56" s="53" t="n"/>
      <c r="E56" s="53">
        <f>'Параметры'!C27*E55*(1-137.92/(60*'Параметры'!C28))</f>
        <v>6336.911494753086</v>
      </c>
      <c r="F56" s="53">
        <f>'Параметры'!C27*F55*(1-137.92/(60*'Параметры'!C28))</f>
        <v>6128.624766358024</v>
      </c>
      <c r="G56" s="53">
        <f>'Параметры'!C27*G55*(1-137.92/(60*'Параметры'!C28))</f>
        <v>5987.146988580247</v>
      </c>
      <c r="H56" s="53">
        <f>'Параметры'!C27*H55*(1-137.92/(60*'Параметры'!C28))</f>
        <v>6195.433716975309</v>
      </c>
      <c r="I56" s="53">
        <f>'Параметры'!C27*I55*(1-137.92/(60*'Параметры'!C28))</f>
        <v>6128.624766358024</v>
      </c>
      <c r="J56" s="53">
        <f>'Параметры'!C27*J55*(1-137.92/(60*'Параметры'!C28))</f>
        <v>5971.4272354938275</v>
      </c>
      <c r="K56" s="53">
        <f>'Параметры'!C27*K55*(1-137.92/(60*'Параметры'!C28))</f>
        <v>6105.045136728396</v>
      </c>
      <c r="L56" s="53">
        <f>'Параметры'!C27*L55*(1-137.92/(60*'Параметры'!C28))</f>
        <v>6128.624766358024</v>
      </c>
      <c r="M56" s="53">
        <f>'Параметры'!C27*M55*(1-137.92/(60*'Параметры'!C28))</f>
        <v>6018.586494753086</v>
      </c>
      <c r="N56" s="53">
        <f>'Параметры'!C27*N55*(1-137.92/(60*'Параметры'!C28))</f>
        <v>6050.026000925926</v>
      </c>
    </row>
    <row r="57">
      <c r="B57" s="22" t="inlineStr">
        <is>
          <t>Объём бурения</t>
        </is>
      </c>
      <c r="C57" s="24" t="inlineStr">
        <is>
          <t>тыс.пог.м</t>
        </is>
      </c>
      <c r="D57" s="63" t="n"/>
      <c r="E57" s="63">
        <f>'Производительность'!F12*E56/1000</f>
        <v>126.96392987368696</v>
      </c>
      <c r="F57" s="63">
        <f>'Производительность'!F12*F56/1000</f>
        <v>122.79077681648134</v>
      </c>
      <c r="G57" s="63">
        <f>'Производительность'!F12*G56/1000</f>
        <v>119.95618228705868</v>
      </c>
      <c r="H57" s="63">
        <f>'Производительность'!F12*H56/1000</f>
        <v>124.1293353442643</v>
      </c>
      <c r="I57" s="63">
        <f>'Производительность'!F12*I56/1000</f>
        <v>122.79077681648134</v>
      </c>
      <c r="J57" s="63">
        <f>'Производительность'!F12*J56/1000</f>
        <v>119.64122733934505</v>
      </c>
      <c r="K57" s="63">
        <f>'Производительность'!F12*K56/1000</f>
        <v>122.31834439491092</v>
      </c>
      <c r="L57" s="63">
        <f>'Производительность'!F12*L56/1000</f>
        <v>122.79077681648134</v>
      </c>
      <c r="M57" s="63">
        <f>'Производительность'!F12*M56/1000</f>
        <v>120.58609218248593</v>
      </c>
      <c r="N57" s="63">
        <f>'Производительность'!F12*N56/1000</f>
        <v>121.2160020779132</v>
      </c>
    </row>
    <row r="58">
      <c r="B58" s="22" t="inlineStr">
        <is>
          <t>Объём взрывания</t>
        </is>
      </c>
      <c r="C58" s="24" t="inlineStr">
        <is>
          <t>тыс.м³</t>
        </is>
      </c>
      <c r="D58" s="53" t="n"/>
      <c r="E58" s="53">
        <f>E57*'Параметры'!C35</f>
        <v>6280.270791201926</v>
      </c>
      <c r="F58" s="53">
        <f>F57*'Параметры'!C35</f>
        <v>6073.84577522725</v>
      </c>
      <c r="G58" s="53">
        <f>G57*'Параметры'!C35</f>
        <v>5933.632556829358</v>
      </c>
      <c r="H58" s="53">
        <f>H57*'Параметры'!C35</f>
        <v>6140.057572804034</v>
      </c>
      <c r="I58" s="53">
        <f>I57*'Параметры'!C35</f>
        <v>6073.84577522725</v>
      </c>
      <c r="J58" s="53">
        <f>J57*'Параметры'!C35</f>
        <v>5918.053310340703</v>
      </c>
      <c r="K58" s="53">
        <f>K57*'Параметры'!C35</f>
        <v>6050.476905494269</v>
      </c>
      <c r="L58" s="53">
        <f>L57*'Параметры'!C35</f>
        <v>6073.84577522725</v>
      </c>
      <c r="M58" s="53">
        <f>M57*'Параметры'!C35</f>
        <v>5964.791049806667</v>
      </c>
      <c r="N58" s="53">
        <f>N57*'Параметры'!C35</f>
        <v>5995.9495427839765</v>
      </c>
    </row>
    <row r="59">
      <c r="B59" s="22" t="inlineStr">
        <is>
          <t>Топливо/энергия</t>
        </is>
      </c>
      <c r="C59" s="24" t="inlineStr">
        <is>
          <t>тыс.руб</t>
        </is>
      </c>
      <c r="D59" s="53" t="n"/>
      <c r="E59" s="53">
        <f>E56*'Данные по годам'!E17/1000*'Параметры'!C10*(1+'Параметры'!C15)^(E$4-1)</f>
        <v>20959.663654602413</v>
      </c>
      <c r="F59" s="53">
        <f>F56*'Данные по годам'!F17/1000*'Параметры'!C10*(1+'Параметры'!C15)^(F$4-1)</f>
        <v>20270.74449035454</v>
      </c>
      <c r="G59" s="53">
        <f>G56*'Данные по годам'!G17/1000*'Параметры'!C10*(1+'Параметры'!C15)^(G$4-1)</f>
        <v>19802.799397657876</v>
      </c>
      <c r="H59" s="53">
        <f>H56*'Данные по годам'!H17/1000*'Параметры'!C10*(1+'Параметры'!C15)^(H$4-1)</f>
        <v>20491.718561905745</v>
      </c>
      <c r="I59" s="53">
        <f>I56*'Данные по годам'!I17/1000*'Параметры'!C10*(1+'Параметры'!C15)^(I$4-1)</f>
        <v>20270.74449035454</v>
      </c>
      <c r="J59" s="53">
        <f>J56*'Данные по годам'!J17/1000*'Параметры'!C10*(1+'Параметры'!C15)^(J$4-1)</f>
        <v>19750.80549846936</v>
      </c>
      <c r="K59" s="53">
        <f>K56*'Данные по годам'!K17/1000*'Параметры'!C10*(1+'Параметры'!C15)^(K$4-1)</f>
        <v>20192.753641571766</v>
      </c>
      <c r="L59" s="53">
        <f>L56*'Данные по годам'!L17/1000*'Параметры'!C10*(1+'Параметры'!C15)^(L$4-1)</f>
        <v>20270.74449035454</v>
      </c>
      <c r="M59" s="53">
        <f>M56*'Данные по годам'!M17/1000*'Параметры'!C10*(1+'Параметры'!C15)^(M$4-1)</f>
        <v>19906.78719603491</v>
      </c>
      <c r="N59" s="53">
        <f>N56*'Данные по годам'!N17/1000*'Параметры'!C10*(1+'Параметры'!C15)^(N$4-1)</f>
        <v>20010.774994411953</v>
      </c>
    </row>
    <row r="60">
      <c r="B60" s="22" t="inlineStr">
        <is>
          <t>ТОиР и сервис (по годам)</t>
        </is>
      </c>
      <c r="C60" s="24" t="inlineStr">
        <is>
          <t>тыс.руб</t>
        </is>
      </c>
      <c r="D60" s="53" t="n"/>
      <c r="E60" s="53">
        <f>'Данные по годам'!E16*IF('Данные по годам'!$D$16="CNY",'Параметры'!C21,IF('Данные по годам'!$D$16="USD",'Параметры'!C22,IF('Данные по годам'!$D$16="EUR",'Параметры'!C23,1)))</f>
        <v>33670.312</v>
      </c>
      <c r="F60" s="53">
        <f>'Данные по годам'!F16*IF('Данные по годам'!$D$16="CNY",'Параметры'!C21,IF('Данные по годам'!$D$16="USD",'Параметры'!C22,IF('Данные по годам'!$D$16="EUR",'Параметры'!C23,1)))</f>
        <v>57233.504</v>
      </c>
      <c r="G60" s="53">
        <f>'Данные по годам'!G16*IF('Данные по годам'!$D$16="CNY",'Параметры'!C21,IF('Данные по годам'!$D$16="USD",'Параметры'!C22,IF('Данные по годам'!$D$16="EUR",'Параметры'!C23,1)))</f>
        <v>59521.07199999999</v>
      </c>
      <c r="H60" s="53">
        <f>'Данные по годам'!H16*IF('Данные по годам'!$D$16="CNY",'Параметры'!C21,IF('Данные по годам'!$D$16="USD",'Параметры'!C22,IF('Данные по годам'!$D$16="EUR",'Параметры'!C23,1)))</f>
        <v>42885.896</v>
      </c>
      <c r="I60" s="53">
        <f>'Данные по годам'!I16*IF('Данные по годам'!$D$16="CNY",'Параметры'!C21,IF('Данные по годам'!$D$16="USD",'Параметры'!C22,IF('Данные по годам'!$D$16="EUR",'Параметры'!C23,1)))</f>
        <v>53953.744</v>
      </c>
      <c r="J60" s="53">
        <f>'Данные по годам'!J16*IF('Данные по годам'!$D$16="CNY",'Параметры'!C21,IF('Данные по годам'!$D$16="USD",'Параметры'!C22,IF('Данные по годам'!$D$16="EUR",'Параметры'!C23,1)))</f>
        <v>62800.832</v>
      </c>
      <c r="K60" s="53">
        <f>'Данные по годам'!K16*IF('Данные по годам'!$D$16="CNY",'Параметры'!C21,IF('Данные по годам'!$D$16="USD",'Параметры'!C22,IF('Данные по годам'!$D$16="EUR",'Параметры'!C23,1)))</f>
        <v>39947.736000000004</v>
      </c>
      <c r="L60" s="53">
        <f>'Данные по годам'!L16*IF('Данные по годам'!$D$16="CNY",'Параметры'!C21,IF('Данные по годам'!$D$16="USD",'Параметры'!C22,IF('Данные по годам'!$D$16="EUR",'Параметры'!C23,1)))</f>
        <v>57557.35199999999</v>
      </c>
      <c r="M60" s="53">
        <f>'Данные по годам'!M16*IF('Данные по годам'!$D$16="CNY",'Параметры'!C21,IF('Данные по годам'!$D$16="USD",'Параметры'!C22,IF('Данные по годам'!$D$16="EUR",'Параметры'!C23,1)))</f>
        <v>54549.34399999999</v>
      </c>
      <c r="N60" s="53">
        <f>'Данные по годам'!N16*IF('Данные по годам'!$D$16="CNY",'Параметры'!C21,IF('Данные по годам'!$D$16="USD",'Параметры'!C22,IF('Данные по годам'!$D$16="EUR",'Параметры'!C23,1)))</f>
        <v>42885.896</v>
      </c>
    </row>
    <row r="61">
      <c r="B61" s="22" t="inlineStr">
        <is>
          <t>Долота</t>
        </is>
      </c>
      <c r="C61" s="24" t="inlineStr">
        <is>
          <t>тыс.руб</t>
        </is>
      </c>
      <c r="D61" s="53" t="n"/>
      <c r="E61" s="53">
        <f>E57*'Поставщик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годам'!$D$16="EUR",'Параметры'!C23,1)))*(1+'Параметры'!C16)^(E$4-1)</f>
        <v>0.0</v>
      </c>
      <c r="F61" s="53">
        <f>F57*'Поставщик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годам'!$D$16="EUR",'Параметры'!C23,1)))*(1+'Параметры'!C16)^(F$4-1)</f>
        <v>0.0</v>
      </c>
      <c r="G61" s="53">
        <f>G57*'Поставщик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годам'!$D$16="EUR",'Параметры'!C23,1)))*(1+'Параметры'!C16)^(G$4-1)</f>
        <v>0.0</v>
      </c>
      <c r="H61" s="53">
        <f>H57*'Поставщик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годам'!$D$16="EUR",'Параметры'!C23,1)))*(1+'Параметры'!C16)^(H$4-1)</f>
        <v>0.0</v>
      </c>
      <c r="I61" s="53">
        <f>I57*'Поставщик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годам'!$D$16="EUR",'Параметры'!C23,1)))*(1+'Параметры'!C16)^(I$4-1)</f>
        <v>0.0</v>
      </c>
      <c r="J61" s="53">
        <f>J57*'Поставщик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годам'!$D$16="EUR",'Параметры'!C23,1)))*(1+'Параметры'!C16)^(J$4-1)</f>
        <v>0.0</v>
      </c>
      <c r="K61" s="53">
        <f>K57*'Поставщик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годам'!$D$16="EUR",'Параметры'!C23,1)))*(1+'Параметры'!C16)^(K$4-1)</f>
        <v>0.0</v>
      </c>
      <c r="L61" s="53">
        <f>L57*'Поставщик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годам'!$D$16="EUR",'Параметры'!C23,1)))*(1+'Параметры'!C16)^(L$4-1)</f>
        <v>0.0</v>
      </c>
      <c r="M61" s="53">
        <f>M57*'Поставщик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годам'!$D$16="EUR",'Параметры'!C23,1)))*(1+'Параметры'!C16)^(M$4-1)</f>
        <v>0.0</v>
      </c>
      <c r="N61" s="53">
        <f>N57*'Поставщик 3'!$D$30*'Поставщик 3'!$E$30*IF('Данные по годам'!$D$16="CNY",'Параметры'!C21,IF('Данные по годам'!$D$16="USD",'Параметры'!C22,IF('Данные по годам'!$D$16="EUR",'Параметры'!C23,1)))*(1+'Параметры'!C16)^(N$4-1)</f>
        <v>0.0</v>
      </c>
    </row>
    <row r="62">
      <c r="B62" s="22" t="inlineStr">
        <is>
          <t>Штанги/адаптеры</t>
        </is>
      </c>
      <c r="C62" s="24" t="inlineStr">
        <is>
          <t>тыс.руб</t>
        </is>
      </c>
      <c r="D62" s="53" t="n"/>
      <c r="E62" s="53">
        <f>E57*'Поставщик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годам'!$D$16="EUR",'Параметры'!C23,1)))*(1+'Параметры'!C16)^(E$4-1)</f>
        <v>0.0</v>
      </c>
      <c r="F62" s="53">
        <f>F57*'Поставщик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годам'!$D$16="EUR",'Параметры'!C23,1)))*(1+'Параметры'!C16)^(F$4-1)</f>
        <v>0.0</v>
      </c>
      <c r="G62" s="53">
        <f>G57*'Поставщик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годам'!$D$16="EUR",'Параметры'!C23,1)))*(1+'Параметры'!C16)^(G$4-1)</f>
        <v>0.0</v>
      </c>
      <c r="H62" s="53">
        <f>H57*'Поставщик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годам'!$D$16="EUR",'Параметры'!C23,1)))*(1+'Параметры'!C16)^(H$4-1)</f>
        <v>0.0</v>
      </c>
      <c r="I62" s="53">
        <f>I57*'Поставщик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годам'!$D$16="EUR",'Параметры'!C23,1)))*(1+'Параметры'!C16)^(I$4-1)</f>
        <v>0.0</v>
      </c>
      <c r="J62" s="53">
        <f>J57*'Поставщик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годам'!$D$16="EUR",'Параметры'!C23,1)))*(1+'Параметры'!C16)^(J$4-1)</f>
        <v>0.0</v>
      </c>
      <c r="K62" s="53">
        <f>K57*'Поставщик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годам'!$D$16="EUR",'Параметры'!C23,1)))*(1+'Параметры'!C16)^(K$4-1)</f>
        <v>0.0</v>
      </c>
      <c r="L62" s="53">
        <f>L57*'Поставщик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годам'!$D$16="EUR",'Параметры'!C23,1)))*(1+'Параметры'!C16)^(L$4-1)</f>
        <v>0.0</v>
      </c>
      <c r="M62" s="53">
        <f>M57*'Поставщик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годам'!$D$16="EUR",'Параметры'!C23,1)))*(1+'Параметры'!C16)^(M$4-1)</f>
        <v>0.0</v>
      </c>
      <c r="N62" s="53">
        <f>N57*'Поставщик 3'!$D$31*'Поставщик 3'!$E$31*IF('Данные по годам'!$D$16="CNY",'Параметры'!C21,IF('Данные по годам'!$D$16="USD",'Параметры'!C22,IF('Данные по годам'!$D$16="EUR",'Параметры'!C23,1)))*(1+'Параметры'!C16)^(N$4-1)</f>
        <v>0.0</v>
      </c>
    </row>
    <row r="63">
      <c r="B63" s="22" t="inlineStr">
        <is>
          <t>Расходники</t>
        </is>
      </c>
      <c r="C63" s="24" t="inlineStr">
        <is>
          <t>тыс.руб</t>
        </is>
      </c>
      <c r="D63" s="53" t="n"/>
      <c r="E63" s="53">
        <f>E57*'Поставщик 3'!$D$32*(1+'Параметры'!C16)^(E$4-1)</f>
        <v>0.0</v>
      </c>
      <c r="F63" s="53">
        <f>F57*'Поставщик 3'!$D$32*(1+'Параметры'!C16)^(F$4-1)</f>
        <v>0.0</v>
      </c>
      <c r="G63" s="53">
        <f>G57*'Поставщик 3'!$D$32*(1+'Параметры'!C16)^(G$4-1)</f>
        <v>0.0</v>
      </c>
      <c r="H63" s="53">
        <f>H57*'Поставщик 3'!$D$32*(1+'Параметры'!C16)^(H$4-1)</f>
        <v>0.0</v>
      </c>
      <c r="I63" s="53">
        <f>I57*'Поставщик 3'!$D$32*(1+'Параметры'!C16)^(I$4-1)</f>
        <v>0.0</v>
      </c>
      <c r="J63" s="53">
        <f>J57*'Поставщик 3'!$D$32*(1+'Параметры'!C16)^(J$4-1)</f>
        <v>0.0</v>
      </c>
      <c r="K63" s="53">
        <f>K57*'Поставщик 3'!$D$32*(1+'Параметры'!C16)^(K$4-1)</f>
        <v>0.0</v>
      </c>
      <c r="L63" s="53">
        <f>L57*'Поставщик 3'!$D$32*(1+'Параметры'!C16)^(L$4-1)</f>
        <v>0.0</v>
      </c>
      <c r="M63" s="53">
        <f>M57*'Поставщик 3'!$D$32*(1+'Параметры'!C16)^(M$4-1)</f>
        <v>0.0</v>
      </c>
      <c r="N63" s="53">
        <f>N57*'Поставщик 3'!$D$32*(1+'Параметры'!C16)^(N$4-1)</f>
        <v>0.0</v>
      </c>
    </row>
    <row r="64">
      <c r="B64" s="22" t="inlineStr">
        <is>
          <t>Персонал</t>
        </is>
      </c>
      <c r="C64" s="24" t="inlineStr">
        <is>
          <t>тыс.руб</t>
        </is>
      </c>
      <c r="D64" s="53" t="n"/>
      <c r="E64" s="53">
        <f>'Ввод данных'!F22*(1+'Параметры'!C17)^(E$4-1)</f>
        <v>15710.0</v>
      </c>
      <c r="F64" s="53">
        <f>'Ввод данных'!F22*(1+'Параметры'!C17)^(F$4-1)</f>
        <v>15710.0</v>
      </c>
      <c r="G64" s="53">
        <f>'Ввод данных'!F22*(1+'Параметры'!C17)^(G$4-1)</f>
        <v>15710.0</v>
      </c>
      <c r="H64" s="53">
        <f>'Ввод данных'!F22*(1+'Параметры'!C17)^(H$4-1)</f>
        <v>15710.0</v>
      </c>
      <c r="I64" s="53">
        <f>'Ввод данных'!F22*(1+'Параметры'!C17)^(I$4-1)</f>
        <v>15710.0</v>
      </c>
      <c r="J64" s="53">
        <f>'Ввод данных'!F22*(1+'Параметры'!C17)^(J$4-1)</f>
        <v>15710.0</v>
      </c>
      <c r="K64" s="53">
        <f>'Ввод данных'!F22*(1+'Параметры'!C17)^(K$4-1)</f>
        <v>15710.0</v>
      </c>
      <c r="L64" s="53">
        <f>'Ввод данных'!F22*(1+'Параметры'!C17)^(L$4-1)</f>
        <v>15710.0</v>
      </c>
      <c r="M64" s="53">
        <f>'Ввод данных'!F22*(1+'Параметры'!C17)^(M$4-1)</f>
        <v>15710.0</v>
      </c>
      <c r="N64" s="53">
        <f>'Ввод данных'!F22*(1+'Параметры'!C17)^(N$4-1)</f>
        <v>15710.0</v>
      </c>
    </row>
    <row r="65">
      <c r="B65" s="22" t="inlineStr">
        <is>
          <t>Транспортный налог</t>
        </is>
      </c>
      <c r="C65" s="24" t="inlineStr">
        <is>
          <t>тыс.руб</t>
        </is>
      </c>
      <c r="D65" s="53" t="n"/>
      <c r="E65" s="53">
        <f>'Ввод данных'!F23*15/1000</f>
        <v>12.0</v>
      </c>
      <c r="F65" s="53">
        <f>'Ввод данных'!F23*15/1000</f>
        <v>12.0</v>
      </c>
      <c r="G65" s="53">
        <f>'Ввод данных'!F23*15/1000</f>
        <v>12.0</v>
      </c>
      <c r="H65" s="53">
        <f>'Ввод данных'!F23*15/1000</f>
        <v>12.0</v>
      </c>
      <c r="I65" s="53">
        <f>'Ввод данных'!F23*15/1000</f>
        <v>12.0</v>
      </c>
      <c r="J65" s="53">
        <f>'Ввод данных'!F23*15/1000</f>
        <v>12.0</v>
      </c>
      <c r="K65" s="53">
        <f>'Ввод данных'!F23*15/1000</f>
        <v>12.0</v>
      </c>
      <c r="L65" s="53">
        <f>'Ввод данных'!F23*15/1000</f>
        <v>12.0</v>
      </c>
      <c r="M65" s="53">
        <f>'Ввод данных'!F23*15/1000</f>
        <v>12.0</v>
      </c>
      <c r="N65" s="53">
        <f>'Ввод данных'!F23*15/1000</f>
        <v>12.0</v>
      </c>
    </row>
    <row r="66">
      <c r="B66" s="22" t="inlineStr">
        <is>
          <t>Итого денежные затраты</t>
        </is>
      </c>
      <c r="C66" s="24" t="inlineStr">
        <is>
          <t>тыс.руб</t>
        </is>
      </c>
      <c r="D66" s="53" t="n"/>
      <c r="E66" s="64">
        <f>E59+E60+E61+E62+E63+E64+E65</f>
        <v>70351.97565460241</v>
      </c>
      <c r="F66" s="64">
        <f>F59+F60+F61+F62+F63+F64+F65</f>
        <v>93226.24849035454</v>
      </c>
      <c r="G66" s="64">
        <f>G59+G60+G61+G62+G63+G64+G65</f>
        <v>95045.87139765787</v>
      </c>
      <c r="H66" s="64">
        <f>H59+H60+H61+H62+H63+H64+H65</f>
        <v>79099.61456190575</v>
      </c>
      <c r="I66" s="64">
        <f>I59+I60+I61+I62+I63+I64+I65</f>
        <v>89946.48849035453</v>
      </c>
      <c r="J66" s="64">
        <f>J59+J60+J61+J62+J63+J64+J65</f>
        <v>98273.63749846935</v>
      </c>
      <c r="K66" s="64">
        <f>K59+K60+K61+K62+K63+K64+K65</f>
        <v>75862.48964157177</v>
      </c>
      <c r="L66" s="64">
        <f>L59+L60+L61+L62+L63+L64+L65</f>
        <v>93550.09649035454</v>
      </c>
      <c r="M66" s="64">
        <f>M59+M60+M61+M62+M63+M64+M65</f>
        <v>90178.1311960349</v>
      </c>
      <c r="N66" s="64">
        <f>N59+N60+N61+N62+N63+N64+N65</f>
        <v>78618.67099441195</v>
      </c>
    </row>
    <row r="67">
      <c r="B67" s="22" t="inlineStr">
        <is>
          <t>Амортизация (НУ)</t>
        </is>
      </c>
      <c r="C67" s="24" t="inlineStr">
        <is>
          <t>тыс.руб</t>
        </is>
      </c>
      <c r="D67" s="53" t="n"/>
      <c r="E67" s="53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>26755.852842809363</v>
      </c>
      <c r="F67" s="53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>26755.852842809363</v>
      </c>
      <c r="G67" s="53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>26755.852842809363</v>
      </c>
      <c r="H67" s="53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>26755.852842809363</v>
      </c>
      <c r="I67" s="53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>26755.852842809363</v>
      </c>
      <c r="J67" s="53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>2220.735785953182</v>
      </c>
      <c r="K67" s="53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>0.0</v>
      </c>
      <c r="L67" s="53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>0.0</v>
      </c>
      <c r="M67" s="53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>0.0</v>
      </c>
      <c r="N67" s="53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>0.0</v>
      </c>
    </row>
    <row r="68">
      <c r="B68" s="22" t="inlineStr">
        <is>
          <t>Налогооблагаемая база</t>
        </is>
      </c>
      <c r="C68" s="24" t="inlineStr">
        <is>
          <t>тыс.руб</t>
        </is>
      </c>
      <c r="D68" s="53" t="n"/>
      <c r="E68" s="53">
        <f>E66+E67</f>
        <v>97107.82849741177</v>
      </c>
      <c r="F68" s="53">
        <f>F66+F67</f>
        <v>119982.10133316391</v>
      </c>
      <c r="G68" s="53">
        <f>G66+G67</f>
        <v>121801.72424046724</v>
      </c>
      <c r="H68" s="53">
        <f>H66+H67</f>
        <v>105855.4674047151</v>
      </c>
      <c r="I68" s="53">
        <f>I66+I67</f>
        <v>116702.3413331639</v>
      </c>
      <c r="J68" s="53">
        <f>J66+J67</f>
        <v>100494.37328442253</v>
      </c>
      <c r="K68" s="53">
        <f>K66+K67</f>
        <v>75862.48964157177</v>
      </c>
      <c r="L68" s="53">
        <f>L66+L67</f>
        <v>93550.09649035454</v>
      </c>
      <c r="M68" s="53">
        <f>M66+M67</f>
        <v>90178.1311960349</v>
      </c>
      <c r="N68" s="53">
        <f>N66+N67</f>
        <v>78618.67099441195</v>
      </c>
    </row>
    <row r="69">
      <c r="B69" s="22" t="inlineStr">
        <is>
          <t>Налог на прибыль (щит)</t>
        </is>
      </c>
      <c r="C69" s="24" t="inlineStr">
        <is>
          <t>тыс.руб</t>
        </is>
      </c>
      <c r="D69" s="53" t="n"/>
      <c r="E69" s="53">
        <f>-E68*'Параметры'!C7</f>
        <v>-24276.957124352943</v>
      </c>
      <c r="F69" s="53">
        <f>-F68*'Параметры'!C7</f>
        <v>-29995.525333290978</v>
      </c>
      <c r="G69" s="53">
        <f>-G68*'Параметры'!C7</f>
        <v>-30450.43106011681</v>
      </c>
      <c r="H69" s="53">
        <f>-H68*'Параметры'!C7</f>
        <v>-26463.866851178776</v>
      </c>
      <c r="I69" s="53">
        <f>-I68*'Параметры'!C7</f>
        <v>-29175.585333290976</v>
      </c>
      <c r="J69" s="53">
        <f>-J68*'Параметры'!C7</f>
        <v>-25123.593321105633</v>
      </c>
      <c r="K69" s="53">
        <f>-K68*'Параметры'!C7</f>
        <v>-18965.62241039294</v>
      </c>
      <c r="L69" s="53">
        <f>-L68*'Параметры'!C7</f>
        <v>-23387.524122588635</v>
      </c>
      <c r="M69" s="53">
        <f>-M68*'Параметры'!C7</f>
        <v>-22544.532799008724</v>
      </c>
      <c r="N69" s="53">
        <f>-N68*'Параметры'!C7</f>
        <v>-19654.667748602988</v>
      </c>
    </row>
    <row r="70">
      <c r="B70" s="22" t="inlineStr">
        <is>
          <t>Операц. денежный поток</t>
        </is>
      </c>
      <c r="C70" s="24" t="inlineStr">
        <is>
          <t>тыс.руб</t>
        </is>
      </c>
      <c r="D70" s="53" t="n"/>
      <c r="E70" s="64">
        <f>E68+E69-E67</f>
        <v>46075.01853024946</v>
      </c>
      <c r="F70" s="64">
        <f>F68+F69-F67</f>
        <v>63230.72315706357</v>
      </c>
      <c r="G70" s="64">
        <f>G68+G69-G67</f>
        <v>64595.44033754107</v>
      </c>
      <c r="H70" s="64">
        <f>H68+H69-H67</f>
        <v>52635.74771072696</v>
      </c>
      <c r="I70" s="64">
        <f>I68+I69-I67</f>
        <v>60770.90315706356</v>
      </c>
      <c r="J70" s="64">
        <f>J68+J69-J67</f>
        <v>73150.04417736371</v>
      </c>
      <c r="K70" s="64">
        <f>K68+K69-K67</f>
        <v>56896.867231178825</v>
      </c>
      <c r="L70" s="64">
        <f>L68+L69-L67</f>
        <v>70162.57236776591</v>
      </c>
      <c r="M70" s="64">
        <f>M68+M69-M67</f>
        <v>67633.59839702617</v>
      </c>
      <c r="N70" s="64">
        <f>N68+N69-N67</f>
        <v>58964.00324580896</v>
      </c>
    </row>
    <row r="71">
      <c r="B71" s="22" t="inlineStr">
        <is>
          <t>Инвестиции / остаточная ст-ть</t>
        </is>
      </c>
      <c r="C71" s="24" t="inlineStr">
        <is>
          <t>тыс.руб</t>
        </is>
      </c>
      <c r="D71" s="53">
        <f>IF(D$4=0,'Производительность'!F5,IF(D$4='Параметры'!C8,-'Ввод данных'!F14*'Производительность'!F5,0))</f>
        <v>136000.0</v>
      </c>
      <c r="E71" s="53">
        <f>IF(E$4=0,'Производительность'!F5,IF(E$4='Параметры'!C8,-'Ввод данных'!F14*'Производительность'!F5,0))</f>
        <v>0.0</v>
      </c>
      <c r="F71" s="53">
        <f>IF(F$4=0,'Производительность'!F5,IF(F$4='Параметры'!C8,-'Ввод данных'!F14*'Производительность'!F5,0))</f>
        <v>0.0</v>
      </c>
      <c r="G71" s="53">
        <f>IF(G$4=0,'Производительность'!F5,IF(G$4='Параметры'!C8,-'Ввод данных'!F14*'Производительность'!F5,0))</f>
        <v>0.0</v>
      </c>
      <c r="H71" s="53">
        <f>IF(H$4=0,'Производительность'!F5,IF(H$4='Параметры'!C8,-'Ввод данных'!F14*'Производительность'!F5,0))</f>
        <v>0.0</v>
      </c>
      <c r="I71" s="53">
        <f>IF(I$4=0,'Производительность'!F5,IF(I$4='Параметры'!C8,-'Ввод данных'!F14*'Производительность'!F5,0))</f>
        <v>0.0</v>
      </c>
      <c r="J71" s="53">
        <f>IF(J$4=0,'Производительность'!F5,IF(J$4='Параметры'!C8,-'Ввод данных'!F14*'Производительность'!F5,0))</f>
        <v>0.0</v>
      </c>
      <c r="K71" s="53">
        <f>IF(K$4=0,'Производительность'!F5,IF(K$4='Параметры'!C8,-'Ввод данных'!F14*'Производительность'!F5,0))</f>
        <v>0.0</v>
      </c>
      <c r="L71" s="53">
        <f>IF(L$4=0,'Производительность'!F5,IF(L$4='Параметры'!C8,-'Ввод данных'!F14*'Производительность'!F5,0))</f>
        <v>0.0</v>
      </c>
      <c r="M71" s="53">
        <f>IF(M$4=0,'Производительность'!F5,IF(M$4='Параметры'!C8,-'Ввод данных'!F14*'Производительность'!F5,0))</f>
        <v>0.0</v>
      </c>
      <c r="N71" s="53">
        <f>IF(N$4=0,'Производительность'!F5,IF(N$4='Параметры'!C8,-'Ввод данных'!F14*'Производительность'!F5,0))</f>
        <v>-0.0</v>
      </c>
    </row>
    <row r="72">
      <c r="B72" s="22" t="inlineStr">
        <is>
          <t>Чистый денежный поток</t>
        </is>
      </c>
      <c r="C72" s="24" t="inlineStr">
        <is>
          <t>тыс.руб</t>
        </is>
      </c>
      <c r="D72" s="64">
        <f>0+D71</f>
        <v>136000.0</v>
      </c>
      <c r="E72" s="64">
        <f>E70+E71</f>
        <v>46075.01853024946</v>
      </c>
      <c r="F72" s="64">
        <f>F70+F71</f>
        <v>63230.72315706357</v>
      </c>
      <c r="G72" s="64">
        <f>G70+G71</f>
        <v>64595.44033754107</v>
      </c>
      <c r="H72" s="64">
        <f>H70+H71</f>
        <v>52635.74771072696</v>
      </c>
      <c r="I72" s="64">
        <f>I70+I71</f>
        <v>60770.90315706356</v>
      </c>
      <c r="J72" s="64">
        <f>J70+J71</f>
        <v>73150.04417736371</v>
      </c>
      <c r="K72" s="64">
        <f>K70+K71</f>
        <v>56896.867231178825</v>
      </c>
      <c r="L72" s="64">
        <f>L70+L71</f>
        <v>70162.57236776591</v>
      </c>
      <c r="M72" s="64">
        <f>M70+M71</f>
        <v>67633.59839702617</v>
      </c>
      <c r="N72" s="64">
        <f>N70+N71</f>
        <v>58964.00324580896</v>
      </c>
    </row>
    <row r="73">
      <c r="B73" s="22" t="inlineStr">
        <is>
          <t>Дисконтированный поток</t>
        </is>
      </c>
      <c r="C73" s="24" t="inlineStr">
        <is>
          <t>тыс.руб</t>
        </is>
      </c>
      <c r="D73" s="53">
        <f>D72*D$6</f>
        <v>136000.0</v>
      </c>
      <c r="E73" s="53">
        <f>E72*E$6</f>
        <v>41138.40940200844</v>
      </c>
      <c r="F73" s="53">
        <f>F72*F$6</f>
        <v>50407.1453739346</v>
      </c>
      <c r="G73" s="53">
        <f>G72*G$6</f>
        <v>45977.75853107138</v>
      </c>
      <c r="H73" s="53">
        <f>H72*H$6</f>
        <v>33450.96924052268</v>
      </c>
      <c r="I73" s="53">
        <f>I72*I$6</f>
        <v>34483.04249759207</v>
      </c>
      <c r="J73" s="53">
        <f>J72*J$6</f>
        <v>37060.08889574831</v>
      </c>
      <c r="K73" s="53">
        <f>K72*K$6</f>
        <v>25737.253247151144</v>
      </c>
      <c r="L73" s="53">
        <f>L72*L$6</f>
        <v>28337.486211229378</v>
      </c>
      <c r="M73" s="53">
        <f>M72*M$6</f>
        <v>24389.35360754572</v>
      </c>
      <c r="N73" s="53">
        <f>N72*N$6</f>
        <v>18984.83096739741</v>
      </c>
    </row>
    <row r="74">
      <c r="B74" s="22" t="inlineStr">
        <is>
          <t>Кумул. дисконт. поток</t>
        </is>
      </c>
      <c r="C74" s="24" t="inlineStr">
        <is>
          <t>тыс.руб</t>
        </is>
      </c>
      <c r="D74" s="53">
        <f>SUM($D73:D73)</f>
        <v>136000.0</v>
      </c>
      <c r="E74" s="53">
        <f>SUM($D73:E73)</f>
        <v>177138.40940200843</v>
      </c>
      <c r="F74" s="53">
        <f>SUM($D73:F73)</f>
        <v>227545.55477594305</v>
      </c>
      <c r="G74" s="53">
        <f>SUM($D73:G73)</f>
        <v>273523.3133070144</v>
      </c>
      <c r="H74" s="53">
        <f>SUM($D73:H73)</f>
        <v>306974.2825475371</v>
      </c>
      <c r="I74" s="53">
        <f>SUM($D73:I73)</f>
        <v>341457.32504512917</v>
      </c>
      <c r="J74" s="53">
        <f>SUM($D73:J73)</f>
        <v>378517.4139408775</v>
      </c>
      <c r="K74" s="53">
        <f>SUM($D73:K73)</f>
        <v>404254.66718802863</v>
      </c>
      <c r="L74" s="53">
        <f>SUM($D73:L73)</f>
        <v>432592.15339925804</v>
      </c>
      <c r="M74" s="53">
        <f>SUM($D73:M73)</f>
        <v>456981.50700680376</v>
      </c>
      <c r="N74" s="53">
        <f>SUM($D73:N73)</f>
        <v>475966.3379742012</v>
      </c>
    </row>
    <row r="75">
      <c r="B75" s="39" t="inlineStr">
        <is>
          <t>Аннуитет по году</t>
        </is>
      </c>
      <c r="C75" s="24" t="inlineStr">
        <is>
          <t>руб/пог.м</t>
        </is>
      </c>
      <c r="D75" s="65" t="n"/>
      <c r="E75" s="65">
        <f>SUM($D73:E73)/SUM($E$6:E$6)/(SUM($E57:E57)/E$4)</f>
        <v>1562.609307443676</v>
      </c>
      <c r="F75" s="65">
        <f>SUM($D73:F73)/SUM($E$6:F$6)/(SUM($E57:F57)/F$4)</f>
        <v>1078.1640691697937</v>
      </c>
      <c r="G75" s="65">
        <f>SUM($D73:G73)/SUM($E$6:G$6)/(SUM($E57:G57)/G$4)</f>
        <v>924.0827580410983</v>
      </c>
      <c r="H75" s="65">
        <f>SUM($D73:H73)/SUM($E$6:H$6)/(SUM($E57:H57)/H$4)</f>
        <v>818.6170335860485</v>
      </c>
      <c r="I75" s="65">
        <f>SUM($D73:I73)/SUM($E$6:I$6)/(SUM($E57:I57)/I$4)</f>
        <v>768.0734899418582</v>
      </c>
      <c r="J75" s="65">
        <f>SUM($D73:J73)/SUM($E$6:J$6)/(SUM($E57:J57)/J$4)</f>
        <v>750.2537760991131</v>
      </c>
      <c r="K75" s="65">
        <f>SUM($D73:K73)/SUM($E$6:K$6)/(SUM($E57:K57)/K$4)</f>
        <v>722.1784065697537</v>
      </c>
      <c r="L75" s="65">
        <f>SUM($D73:L73)/SUM($E$6:L$6)/(SUM($E57:L57)/L$4)</f>
        <v>709.8731164117993</v>
      </c>
      <c r="M75" s="65">
        <f>SUM($D73:M73)/SUM($E$6:M$6)/(SUM($E57:M57)/M$4)</f>
        <v>700.4671857517375</v>
      </c>
      <c r="N75" s="65">
        <f>SUM($D73:N73)/SUM($E$6:N$6)/(SUM($E57:N57)/N$4)</f>
        <v>688.6825104713456</v>
      </c>
    </row>
    <row r="77">
      <c r="B77" s="5" t="str">
        <f>"Вариант 4:  "&amp;'Ввод данных'!G7</f>
        <v>Вариант 4:  Sunward
SWDRT270B</v>
      </c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B78" s="22" t="inlineStr">
        <is>
          <t>КТГ</t>
        </is>
      </c>
      <c r="C78" s="24" t="inlineStr">
        <is>
          <t>коэф.</t>
        </is>
      </c>
      <c r="D78" s="57" t="n"/>
      <c r="E78" s="57">
        <f>'Данные по годам'!E19</f>
        <v>0.9371878170979199</v>
      </c>
      <c r="F78" s="57">
        <f>'Данные по годам'!F19</f>
        <v>0.9336363203957382</v>
      </c>
      <c r="G78" s="57">
        <f>'Данные по годам'!G19</f>
        <v>0.9362999429223744</v>
      </c>
      <c r="H78" s="57">
        <f>'Данные по годам'!H19</f>
        <v>0.9336363203957382</v>
      </c>
      <c r="I78" s="57">
        <f>'Данные по годам'!I19</f>
        <v>0.9371878170979199</v>
      </c>
      <c r="J78" s="57">
        <f>'Данные по годам'!J19</f>
        <v>0.9314166349568747</v>
      </c>
      <c r="K78" s="57">
        <f>'Данные по годам'!K19</f>
        <v>0.9345241945712837</v>
      </c>
      <c r="L78" s="57">
        <f>'Данные по годам'!L19</f>
        <v>0.9362999429223744</v>
      </c>
      <c r="M78" s="57">
        <f>'Данные по годам'!M19</f>
        <v>0.9336363203957382</v>
      </c>
      <c r="N78" s="57">
        <f>'Данные по годам'!N19</f>
        <v>0.9362999429223744</v>
      </c>
    </row>
    <row r="79">
      <c r="B79" s="22" t="inlineStr">
        <is>
          <t>Эффективное время</t>
        </is>
      </c>
      <c r="C79" s="24" t="inlineStr">
        <is>
          <t>час/год</t>
        </is>
      </c>
      <c r="D79" s="53" t="n"/>
      <c r="E79" s="53">
        <f>'Параметры'!C27*E78*(1-137.92/(60*'Параметры'!C28))</f>
        <v>6637.1391290123465</v>
      </c>
      <c r="F79" s="53">
        <f>'Параметры'!C27*F78*(1-137.92/(60*'Параметры'!C28))</f>
        <v>6611.987524074074</v>
      </c>
      <c r="G79" s="53">
        <f>'Параметры'!C27*G78*(1-137.92/(60*'Параметры'!C28))</f>
        <v>6630.851227777778</v>
      </c>
      <c r="H79" s="53">
        <f>'Параметры'!C27*H78*(1-137.92/(60*'Параметры'!C28))</f>
        <v>6611.987524074074</v>
      </c>
      <c r="I79" s="53">
        <f>'Параметры'!C27*I78*(1-137.92/(60*'Параметры'!C28))</f>
        <v>6637.1391290123465</v>
      </c>
      <c r="J79" s="53">
        <f>'Параметры'!C27*J78*(1-137.92/(60*'Параметры'!C28))</f>
        <v>6596.267770987654</v>
      </c>
      <c r="K79" s="53">
        <f>'Параметры'!C27*K78*(1-137.92/(60*'Параметры'!C28))</f>
        <v>6618.275425308642</v>
      </c>
      <c r="L79" s="53">
        <f>'Параметры'!C27*L78*(1-137.92/(60*'Параметры'!C28))</f>
        <v>6630.851227777778</v>
      </c>
      <c r="M79" s="53">
        <f>'Параметры'!C27*M78*(1-137.92/(60*'Параметры'!C28))</f>
        <v>6611.987524074074</v>
      </c>
      <c r="N79" s="53">
        <f>'Параметры'!C27*N78*(1-137.92/(60*'Параметры'!C28))</f>
        <v>6630.851227777778</v>
      </c>
    </row>
    <row r="80">
      <c r="B80" s="22" t="inlineStr">
        <is>
          <t>Объём бурения</t>
        </is>
      </c>
      <c r="C80" s="24" t="inlineStr">
        <is>
          <t>тыс.пог.м</t>
        </is>
      </c>
      <c r="D80" s="63" t="n"/>
      <c r="E80" s="63">
        <f>'Производительность'!G12*E79/1000</f>
        <v>132.97917568133275</v>
      </c>
      <c r="F80" s="63">
        <f>'Производительность'!G12*F79/1000</f>
        <v>132.4752477649909</v>
      </c>
      <c r="G80" s="63">
        <f>'Производительность'!G12*G79/1000</f>
        <v>132.85319370224727</v>
      </c>
      <c r="H80" s="63">
        <f>'Производительность'!G12*H79/1000</f>
        <v>132.4752477649909</v>
      </c>
      <c r="I80" s="63">
        <f>'Производительность'!G12*I79/1000</f>
        <v>132.97917568133275</v>
      </c>
      <c r="J80" s="63">
        <f>'Производительность'!G12*J79/1000</f>
        <v>132.16029281727728</v>
      </c>
      <c r="K80" s="63">
        <f>'Производительность'!G12*K79/1000</f>
        <v>132.60122974407636</v>
      </c>
      <c r="L80" s="63">
        <f>'Производительность'!G12*L79/1000</f>
        <v>132.85319370224727</v>
      </c>
      <c r="M80" s="63">
        <f>'Производительность'!G12*M79/1000</f>
        <v>132.4752477649909</v>
      </c>
      <c r="N80" s="63">
        <f>'Производительность'!G12*N79/1000</f>
        <v>132.85319370224727</v>
      </c>
    </row>
    <row r="81">
      <c r="B81" s="22" t="inlineStr">
        <is>
          <t>Объём взрывания</t>
        </is>
      </c>
      <c r="C81" s="24" t="inlineStr">
        <is>
          <t>тыс.м³</t>
        </is>
      </c>
      <c r="D81" s="53" t="n"/>
      <c r="E81" s="53">
        <f>E80*'Параметры'!C35</f>
        <v>6577.814925077125</v>
      </c>
      <c r="F81" s="53">
        <f>F80*'Параметры'!C35</f>
        <v>6552.888130695276</v>
      </c>
      <c r="G81" s="53">
        <f>G80*'Параметры'!C35</f>
        <v>6571.583226481662</v>
      </c>
      <c r="H81" s="53">
        <f>H80*'Параметры'!C35</f>
        <v>6552.888130695276</v>
      </c>
      <c r="I81" s="53">
        <f>I80*'Параметры'!C35</f>
        <v>6577.814925077125</v>
      </c>
      <c r="J81" s="53">
        <f>J80*'Параметры'!C35</f>
        <v>6537.308884206621</v>
      </c>
      <c r="K81" s="53">
        <f>K80*'Параметры'!C35</f>
        <v>6559.1198292907375</v>
      </c>
      <c r="L81" s="53">
        <f>L80*'Параметры'!C35</f>
        <v>6571.583226481662</v>
      </c>
      <c r="M81" s="53">
        <f>M80*'Параметры'!C35</f>
        <v>6552.888130695276</v>
      </c>
      <c r="N81" s="53">
        <f>N80*'Параметры'!C35</f>
        <v>6571.583226481662</v>
      </c>
    </row>
    <row r="82">
      <c r="B82" s="22" t="inlineStr">
        <is>
          <t>Топливо/энергия</t>
        </is>
      </c>
      <c r="C82" s="24" t="inlineStr">
        <is>
          <t>тыс.руб</t>
        </is>
      </c>
      <c r="D82" s="53" t="n"/>
      <c r="E82" s="53">
        <f>E79*'Данные по годам'!E21/1000*'Параметры'!C10*(1+'Параметры'!C15)^(E$4-1)</f>
        <v>32775.66115423831</v>
      </c>
      <c r="F82" s="53">
        <f>F79*'Данные по годам'!F21/1000*'Параметры'!C10*(1+'Параметры'!C15)^(F$4-1)</f>
        <v>32651.456965518104</v>
      </c>
      <c r="G82" s="53">
        <f>G79*'Данные по годам'!G21/1000*'Параметры'!C10*(1+'Параметры'!C15)^(G$4-1)</f>
        <v>32744.610107058255</v>
      </c>
      <c r="H82" s="53">
        <f>H79*'Данные по годам'!H21/1000*'Параметры'!C10*(1+'Параметры'!C15)^(H$4-1)</f>
        <v>32651.456965518104</v>
      </c>
      <c r="I82" s="53">
        <f>I79*'Данные по годам'!I21/1000*'Параметры'!C10*(1+'Параметры'!C15)^(I$4-1)</f>
        <v>32775.66115423831</v>
      </c>
      <c r="J82" s="53">
        <f>J79*'Данные по годам'!J21/1000*'Параметры'!C10*(1+'Параметры'!C15)^(J$4-1)</f>
        <v>32573.82934756798</v>
      </c>
      <c r="K82" s="53">
        <f>K79*'Данные по годам'!K21/1000*'Параметры'!C10*(1+'Параметры'!C15)^(K$4-1)</f>
        <v>32682.50801269816</v>
      </c>
      <c r="L82" s="53">
        <f>L79*'Данные по годам'!L21/1000*'Параметры'!C10*(1+'Параметры'!C15)^(L$4-1)</f>
        <v>32744.610107058255</v>
      </c>
      <c r="M82" s="53">
        <f>M79*'Данные по годам'!M21/1000*'Параметры'!C10*(1+'Параметры'!C15)^(M$4-1)</f>
        <v>32651.456965518104</v>
      </c>
      <c r="N82" s="53">
        <f>N79*'Данные по годам'!N21/1000*'Параметры'!C10*(1+'Параметры'!C15)^(N$4-1)</f>
        <v>32744.610107058255</v>
      </c>
    </row>
    <row r="83">
      <c r="B83" s="22" t="inlineStr">
        <is>
          <t>ТОиР и сервис (по годам)</t>
        </is>
      </c>
      <c r="C83" s="24" t="inlineStr">
        <is>
          <t>тыс.руб</t>
        </is>
      </c>
      <c r="D83" s="53" t="n"/>
      <c r="E83" s="53">
        <f>'Данные по годам'!E20*IF('Данные по годам'!$D$20="CNY",'Параметры'!C21,IF('Данные по годам'!$D$20="USD",'Параметры'!C22,IF('Данные по годам'!$D$20="EUR",'Параметры'!C23,1)))</f>
        <v>27716.463999999996</v>
      </c>
      <c r="F83" s="53">
        <f>'Данные по годам'!F20*IF('Данные по годам'!$D$20="CNY",'Параметры'!C21,IF('Данные по годам'!$D$20="USD",'Параметры'!C22,IF('Данные по годам'!$D$20="EUR",'Параметры'!C23,1)))</f>
        <v>79821.77599999998</v>
      </c>
      <c r="G83" s="53">
        <f>'Данные по годам'!G20*IF('Данные по годам'!$D$20="CNY",'Параметры'!C21,IF('Данные по годам'!$D$20="USD",'Параметры'!C22,IF('Данные по годам'!$D$20="EUR",'Параметры'!C23,1)))</f>
        <v>71074.24</v>
      </c>
      <c r="H83" s="53">
        <f>'Данные по годам'!H20*IF('Данные по годам'!$D$20="CNY",'Параметры'!C21,IF('Данные по годам'!$D$20="USD",'Параметры'!C22,IF('Данные по годам'!$D$20="EUR",'Параметры'!C23,1)))</f>
        <v>65064.17599999999</v>
      </c>
      <c r="I83" s="53">
        <f>'Данные по годам'!I20*IF('Данные по годам'!$D$20="CNY",'Параметры'!C21,IF('Данные по годам'!$D$20="USD",'Параметры'!C22,IF('Данные по годам'!$D$20="EUR",'Параметры'!C23,1)))</f>
        <v>63007.664000000004</v>
      </c>
      <c r="J83" s="53">
        <f>'Данные по годам'!J20*IF('Данные по годам'!$D$20="CNY",'Параметры'!C21,IF('Данные по годам'!$D$20="USD",'Параметры'!C22,IF('Данные по годам'!$D$20="EUR",'Параметры'!C23,1)))</f>
        <v>88418.992</v>
      </c>
      <c r="K83" s="53">
        <f>'Данные по годам'!K20*IF('Данные по годам'!$D$20="CNY",'Параметры'!C21,IF('Данные по годам'!$D$20="USD",'Параметры'!C22,IF('Данные по годам'!$D$20="EUR",'Параметры'!C23,1)))</f>
        <v>64357.92</v>
      </c>
      <c r="L83" s="53">
        <f>'Данные по годам'!L20*IF('Данные по годам'!$D$20="CNY",'Параметры'!C21,IF('Данные по годам'!$D$20="USD",'Параметры'!C22,IF('Данные по годам'!$D$20="EUR",'Параметры'!C23,1)))</f>
        <v>64241.92000000001</v>
      </c>
      <c r="M83" s="53">
        <f>'Данные по годам'!M20*IF('Данные по годам'!$D$20="CNY",'Параметры'!C21,IF('Данные по годам'!$D$20="USD",'Параметры'!C22,IF('Данные по годам'!$D$20="EUR",'Параметры'!C23,1)))</f>
        <v>62392.488</v>
      </c>
      <c r="N83" s="53">
        <f>'Данные по годам'!N20*IF('Данные по годам'!$D$20="CNY",'Параметры'!C21,IF('Данные по годам'!$D$20="USD",'Параметры'!C22,IF('Данные по годам'!$D$20="EUR",'Параметры'!C23,1)))</f>
        <v>63911.92000000001</v>
      </c>
    </row>
    <row r="84">
      <c r="B84" s="22" t="inlineStr">
        <is>
          <t>Долота</t>
        </is>
      </c>
      <c r="C84" s="24" t="inlineStr">
        <is>
          <t>тыс.руб</t>
        </is>
      </c>
      <c r="D84" s="53" t="n"/>
      <c r="E84" s="53">
        <f>E80*'Поставщик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годам'!$D$20="EUR",'Параметры'!C23,1)))*(1+'Параметры'!C16)^(E$4-1)</f>
        <v>0.0</v>
      </c>
      <c r="F84" s="53">
        <f>F80*'Поставщик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годам'!$D$20="EUR",'Параметры'!C23,1)))*(1+'Параметры'!C16)^(F$4-1)</f>
        <v>0.0</v>
      </c>
      <c r="G84" s="53">
        <f>G80*'Поставщик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годам'!$D$20="EUR",'Параметры'!C23,1)))*(1+'Параметры'!C16)^(G$4-1)</f>
        <v>0.0</v>
      </c>
      <c r="H84" s="53">
        <f>H80*'Поставщик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годам'!$D$20="EUR",'Параметры'!C23,1)))*(1+'Параметры'!C16)^(H$4-1)</f>
        <v>0.0</v>
      </c>
      <c r="I84" s="53">
        <f>I80*'Поставщик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годам'!$D$20="EUR",'Параметры'!C23,1)))*(1+'Параметры'!C16)^(I$4-1)</f>
        <v>0.0</v>
      </c>
      <c r="J84" s="53">
        <f>J80*'Поставщик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годам'!$D$20="EUR",'Параметры'!C23,1)))*(1+'Параметры'!C16)^(J$4-1)</f>
        <v>0.0</v>
      </c>
      <c r="K84" s="53">
        <f>K80*'Поставщик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годам'!$D$20="EUR",'Параметры'!C23,1)))*(1+'Параметры'!C16)^(K$4-1)</f>
        <v>0.0</v>
      </c>
      <c r="L84" s="53">
        <f>L80*'Поставщик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годам'!$D$20="EUR",'Параметры'!C23,1)))*(1+'Параметры'!C16)^(L$4-1)</f>
        <v>0.0</v>
      </c>
      <c r="M84" s="53">
        <f>M80*'Поставщик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годам'!$D$20="EUR",'Параметры'!C23,1)))*(1+'Параметры'!C16)^(M$4-1)</f>
        <v>0.0</v>
      </c>
      <c r="N84" s="53">
        <f>N80*'Поставщик 4'!$D$30*'Поставщик 4'!$E$30*IF('Данные по годам'!$D$20="CNY",'Параметры'!C21,IF('Данные по годам'!$D$20="USD",'Параметры'!C22,IF('Данные по годам'!$D$20="EUR",'Параметры'!C23,1)))*(1+'Параметры'!C16)^(N$4-1)</f>
        <v>0.0</v>
      </c>
    </row>
    <row r="85">
      <c r="B85" s="22" t="inlineStr">
        <is>
          <t>Штанги/адаптеры</t>
        </is>
      </c>
      <c r="C85" s="24" t="inlineStr">
        <is>
          <t>тыс.руб</t>
        </is>
      </c>
      <c r="D85" s="53" t="n"/>
      <c r="E85" s="53">
        <f>E80*'Поставщик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годам'!$D$20="EUR",'Параметры'!C23,1)))*(1+'Параметры'!C16)^(E$4-1)</f>
        <v>0.0</v>
      </c>
      <c r="F85" s="53">
        <f>F80*'Поставщик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годам'!$D$20="EUR",'Параметры'!C23,1)))*(1+'Параметры'!C16)^(F$4-1)</f>
        <v>0.0</v>
      </c>
      <c r="G85" s="53">
        <f>G80*'Поставщик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годам'!$D$20="EUR",'Параметры'!C23,1)))*(1+'Параметры'!C16)^(G$4-1)</f>
        <v>0.0</v>
      </c>
      <c r="H85" s="53">
        <f>H80*'Поставщик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годам'!$D$20="EUR",'Параметры'!C23,1)))*(1+'Параметры'!C16)^(H$4-1)</f>
        <v>0.0</v>
      </c>
      <c r="I85" s="53">
        <f>I80*'Поставщик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годам'!$D$20="EUR",'Параметры'!C23,1)))*(1+'Параметры'!C16)^(I$4-1)</f>
        <v>0.0</v>
      </c>
      <c r="J85" s="53">
        <f>J80*'Поставщик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годам'!$D$20="EUR",'Параметры'!C23,1)))*(1+'Параметры'!C16)^(J$4-1)</f>
        <v>0.0</v>
      </c>
      <c r="K85" s="53">
        <f>K80*'Поставщик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годам'!$D$20="EUR",'Параметры'!C23,1)))*(1+'Параметры'!C16)^(K$4-1)</f>
        <v>0.0</v>
      </c>
      <c r="L85" s="53">
        <f>L80*'Поставщик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годам'!$D$20="EUR",'Параметры'!C23,1)))*(1+'Параметры'!C16)^(L$4-1)</f>
        <v>0.0</v>
      </c>
      <c r="M85" s="53">
        <f>M80*'Поставщик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годам'!$D$20="EUR",'Параметры'!C23,1)))*(1+'Параметры'!C16)^(M$4-1)</f>
        <v>0.0</v>
      </c>
      <c r="N85" s="53">
        <f>N80*'Поставщик 4'!$D$31*'Поставщик 4'!$E$31*IF('Данные по годам'!$D$20="CNY",'Параметры'!C21,IF('Данные по годам'!$D$20="USD",'Параметры'!C22,IF('Данные по годам'!$D$20="EUR",'Параметры'!C23,1)))*(1+'Параметры'!C16)^(N$4-1)</f>
        <v>0.0</v>
      </c>
    </row>
    <row r="86">
      <c r="B86" s="22" t="inlineStr">
        <is>
          <t>Расходники</t>
        </is>
      </c>
      <c r="C86" s="24" t="inlineStr">
        <is>
          <t>тыс.руб</t>
        </is>
      </c>
      <c r="D86" s="53" t="n"/>
      <c r="E86" s="53">
        <f>E80*'Поставщик 4'!$D$32*(1+'Параметры'!C16)^(E$4-1)</f>
        <v>0.0</v>
      </c>
      <c r="F86" s="53">
        <f>F80*'Поставщик 4'!$D$32*(1+'Параметры'!C16)^(F$4-1)</f>
        <v>0.0</v>
      </c>
      <c r="G86" s="53">
        <f>G80*'Поставщик 4'!$D$32*(1+'Параметры'!C16)^(G$4-1)</f>
        <v>0.0</v>
      </c>
      <c r="H86" s="53">
        <f>H80*'Поставщик 4'!$D$32*(1+'Параметры'!C16)^(H$4-1)</f>
        <v>0.0</v>
      </c>
      <c r="I86" s="53">
        <f>I80*'Поставщик 4'!$D$32*(1+'Параметры'!C16)^(I$4-1)</f>
        <v>0.0</v>
      </c>
      <c r="J86" s="53">
        <f>J80*'Поставщик 4'!$D$32*(1+'Параметры'!C16)^(J$4-1)</f>
        <v>0.0</v>
      </c>
      <c r="K86" s="53">
        <f>K80*'Поставщик 4'!$D$32*(1+'Параметры'!C16)^(K$4-1)</f>
        <v>0.0</v>
      </c>
      <c r="L86" s="53">
        <f>L80*'Поставщик 4'!$D$32*(1+'Параметры'!C16)^(L$4-1)</f>
        <v>0.0</v>
      </c>
      <c r="M86" s="53">
        <f>M80*'Поставщик 4'!$D$32*(1+'Параметры'!C16)^(M$4-1)</f>
        <v>0.0</v>
      </c>
      <c r="N86" s="53">
        <f>N80*'Поставщик 4'!$D$32*(1+'Параметры'!C16)^(N$4-1)</f>
        <v>0.0</v>
      </c>
    </row>
    <row r="87">
      <c r="B87" s="22" t="inlineStr">
        <is>
          <t>Персонал</t>
        </is>
      </c>
      <c r="C87" s="24" t="inlineStr">
        <is>
          <t>тыс.руб</t>
        </is>
      </c>
      <c r="D87" s="53" t="n"/>
      <c r="E87" s="53">
        <f>'Ввод данных'!G22*(1+'Параметры'!C17)^(E$4-1)</f>
        <v>15710.0</v>
      </c>
      <c r="F87" s="53">
        <f>'Ввод данных'!G22*(1+'Параметры'!C17)^(F$4-1)</f>
        <v>15710.0</v>
      </c>
      <c r="G87" s="53">
        <f>'Ввод данных'!G22*(1+'Параметры'!C17)^(G$4-1)</f>
        <v>15710.0</v>
      </c>
      <c r="H87" s="53">
        <f>'Ввод данных'!G22*(1+'Параметры'!C17)^(H$4-1)</f>
        <v>15710.0</v>
      </c>
      <c r="I87" s="53">
        <f>'Ввод данных'!G22*(1+'Параметры'!C17)^(I$4-1)</f>
        <v>15710.0</v>
      </c>
      <c r="J87" s="53">
        <f>'Ввод данных'!G22*(1+'Параметры'!C17)^(J$4-1)</f>
        <v>15710.0</v>
      </c>
      <c r="K87" s="53">
        <f>'Ввод данных'!G22*(1+'Параметры'!C17)^(K$4-1)</f>
        <v>15710.0</v>
      </c>
      <c r="L87" s="53">
        <f>'Ввод данных'!G22*(1+'Параметры'!C17)^(L$4-1)</f>
        <v>15710.0</v>
      </c>
      <c r="M87" s="53">
        <f>'Ввод данных'!G22*(1+'Параметры'!C17)^(M$4-1)</f>
        <v>15710.0</v>
      </c>
      <c r="N87" s="53">
        <f>'Ввод данных'!G22*(1+'Параметры'!C17)^(N$4-1)</f>
        <v>15710.0</v>
      </c>
    </row>
    <row r="88">
      <c r="B88" s="22" t="inlineStr">
        <is>
          <t>Транспортный налог</t>
        </is>
      </c>
      <c r="C88" s="24" t="inlineStr">
        <is>
          <t>тыс.руб</t>
        </is>
      </c>
      <c r="D88" s="53" t="n"/>
      <c r="E88" s="53">
        <f>'Ввод данных'!G23*15/1000</f>
        <v>12.0</v>
      </c>
      <c r="F88" s="53">
        <f>'Ввод данных'!G23*15/1000</f>
        <v>12.0</v>
      </c>
      <c r="G88" s="53">
        <f>'Ввод данных'!G23*15/1000</f>
        <v>12.0</v>
      </c>
      <c r="H88" s="53">
        <f>'Ввод данных'!G23*15/1000</f>
        <v>12.0</v>
      </c>
      <c r="I88" s="53">
        <f>'Ввод данных'!G23*15/1000</f>
        <v>12.0</v>
      </c>
      <c r="J88" s="53">
        <f>'Ввод данных'!G23*15/1000</f>
        <v>12.0</v>
      </c>
      <c r="K88" s="53">
        <f>'Ввод данных'!G23*15/1000</f>
        <v>12.0</v>
      </c>
      <c r="L88" s="53">
        <f>'Ввод данных'!G23*15/1000</f>
        <v>12.0</v>
      </c>
      <c r="M88" s="53">
        <f>'Ввод данных'!G23*15/1000</f>
        <v>12.0</v>
      </c>
      <c r="N88" s="53">
        <f>'Ввод данных'!G23*15/1000</f>
        <v>12.0</v>
      </c>
    </row>
    <row r="89">
      <c r="B89" s="22" t="inlineStr">
        <is>
          <t>Итого денежные затраты</t>
        </is>
      </c>
      <c r="C89" s="24" t="inlineStr">
        <is>
          <t>тыс.руб</t>
        </is>
      </c>
      <c r="D89" s="53" t="n"/>
      <c r="E89" s="64">
        <f>E82+E83+E84+E85+E86+E87+E88</f>
        <v>76214.12515423831</v>
      </c>
      <c r="F89" s="64">
        <f>F82+F83+F84+F85+F86+F87+F88</f>
        <v>128195.23296551808</v>
      </c>
      <c r="G89" s="64">
        <f>G82+G83+G84+G85+G86+G87+G88</f>
        <v>119540.85010705826</v>
      </c>
      <c r="H89" s="64">
        <f>H82+H83+H84+H85+H86+H87+H88</f>
        <v>113437.6329655181</v>
      </c>
      <c r="I89" s="64">
        <f>I82+I83+I84+I85+I86+I87+I88</f>
        <v>111505.32515423832</v>
      </c>
      <c r="J89" s="64">
        <f>J82+J83+J84+J85+J86+J87+J88</f>
        <v>136714.82134756798</v>
      </c>
      <c r="K89" s="64">
        <f>K82+K83+K84+K85+K86+K87+K88</f>
        <v>112762.42801269816</v>
      </c>
      <c r="L89" s="64">
        <f>L82+L83+L84+L85+L86+L87+L88</f>
        <v>112708.53010705826</v>
      </c>
      <c r="M89" s="64">
        <f>M82+M83+M84+M85+M86+M87+M88</f>
        <v>110765.94496551811</v>
      </c>
      <c r="N89" s="64">
        <f>N82+N83+N84+N85+N86+N87+N88</f>
        <v>112378.53010705826</v>
      </c>
    </row>
    <row r="90">
      <c r="B90" s="22" t="inlineStr">
        <is>
          <t>Амортизация (НУ)</t>
        </is>
      </c>
      <c r="C90" s="24" t="inlineStr">
        <is>
          <t>тыс.руб</t>
        </is>
      </c>
      <c r="D90" s="53" t="n"/>
      <c r="E90" s="53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>26755.852842809363</v>
      </c>
      <c r="F90" s="53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>26755.852842809363</v>
      </c>
      <c r="G90" s="53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>26755.852842809363</v>
      </c>
      <c r="H90" s="53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>26755.852842809363</v>
      </c>
      <c r="I90" s="53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>26755.852842809363</v>
      </c>
      <c r="J90" s="53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>2220.735785953182</v>
      </c>
      <c r="K90" s="53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>0.0</v>
      </c>
      <c r="L90" s="53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>0.0</v>
      </c>
      <c r="M90" s="53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>0.0</v>
      </c>
      <c r="N90" s="53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>0.0</v>
      </c>
    </row>
    <row r="91">
      <c r="B91" s="22" t="inlineStr">
        <is>
          <t>Налогооблагаемая база</t>
        </is>
      </c>
      <c r="C91" s="24" t="inlineStr">
        <is>
          <t>тыс.руб</t>
        </is>
      </c>
      <c r="D91" s="53" t="n"/>
      <c r="E91" s="53">
        <f>E89+E90</f>
        <v>102969.97799704768</v>
      </c>
      <c r="F91" s="53">
        <f>F89+F90</f>
        <v>154951.08580832745</v>
      </c>
      <c r="G91" s="53">
        <f>G89+G90</f>
        <v>146296.7029498676</v>
      </c>
      <c r="H91" s="53">
        <f>H89+H90</f>
        <v>140193.48580832747</v>
      </c>
      <c r="I91" s="53">
        <f>I89+I90</f>
        <v>138261.1779970477</v>
      </c>
      <c r="J91" s="53">
        <f>J89+J90</f>
        <v>138935.55713352116</v>
      </c>
      <c r="K91" s="53">
        <f>K89+K90</f>
        <v>112762.42801269816</v>
      </c>
      <c r="L91" s="53">
        <f>L89+L90</f>
        <v>112708.53010705826</v>
      </c>
      <c r="M91" s="53">
        <f>M89+M90</f>
        <v>110765.94496551811</v>
      </c>
      <c r="N91" s="53">
        <f>N89+N90</f>
        <v>112378.53010705826</v>
      </c>
    </row>
    <row r="92">
      <c r="B92" s="22" t="inlineStr">
        <is>
          <t>Налог на прибыль (щит)</t>
        </is>
      </c>
      <c r="C92" s="24" t="inlineStr">
        <is>
          <t>тыс.руб</t>
        </is>
      </c>
      <c r="D92" s="53" t="n"/>
      <c r="E92" s="53">
        <f>-E91*'Параметры'!C7</f>
        <v>-25742.49449926192</v>
      </c>
      <c r="F92" s="53">
        <f>-F91*'Параметры'!C7</f>
        <v>-38737.77145208186</v>
      </c>
      <c r="G92" s="53">
        <f>-G91*'Параметры'!C7</f>
        <v>-36574.1757374669</v>
      </c>
      <c r="H92" s="53">
        <f>-H91*'Параметры'!C7</f>
        <v>-35048.37145208187</v>
      </c>
      <c r="I92" s="53">
        <f>-I91*'Параметры'!C7</f>
        <v>-34565.29449926192</v>
      </c>
      <c r="J92" s="53">
        <f>-J91*'Параметры'!C7</f>
        <v>-34733.88928338029</v>
      </c>
      <c r="K92" s="53">
        <f>-K91*'Параметры'!C7</f>
        <v>-28190.60700317454</v>
      </c>
      <c r="L92" s="53">
        <f>-L91*'Параметры'!C7</f>
        <v>-28177.132526764566</v>
      </c>
      <c r="M92" s="53">
        <f>-M91*'Параметры'!C7</f>
        <v>-27691.486241379527</v>
      </c>
      <c r="N92" s="53">
        <f>-N91*'Параметры'!C7</f>
        <v>-28094.632526764566</v>
      </c>
    </row>
    <row r="93">
      <c r="B93" s="22" t="inlineStr">
        <is>
          <t>Операц. денежный поток</t>
        </is>
      </c>
      <c r="C93" s="24" t="inlineStr">
        <is>
          <t>тыс.руб</t>
        </is>
      </c>
      <c r="D93" s="53" t="n"/>
      <c r="E93" s="64">
        <f>E91+E92-E90</f>
        <v>50471.63065497639</v>
      </c>
      <c r="F93" s="64">
        <f>F91+F92-F90</f>
        <v>89457.46151343622</v>
      </c>
      <c r="G93" s="64">
        <f>G91+G92-G90</f>
        <v>82966.67436959135</v>
      </c>
      <c r="H93" s="64">
        <f>H91+H92-H90</f>
        <v>78389.26151343624</v>
      </c>
      <c r="I93" s="64">
        <f>I91+I92-I90</f>
        <v>76940.0306549764</v>
      </c>
      <c r="J93" s="64">
        <f>J91+J92-J90</f>
        <v>101980.93206418768</v>
      </c>
      <c r="K93" s="64">
        <f>K91+K92-K90</f>
        <v>84571.82100952361</v>
      </c>
      <c r="L93" s="64">
        <f>L91+L92-L90</f>
        <v>84531.3975802937</v>
      </c>
      <c r="M93" s="64">
        <f>M91+M92-M90</f>
        <v>83074.45872413859</v>
      </c>
      <c r="N93" s="64">
        <f>N91+N92-N90</f>
        <v>84283.8975802937</v>
      </c>
    </row>
    <row r="94">
      <c r="B94" s="22" t="inlineStr">
        <is>
          <t>Инвестиции / остаточная ст-ть</t>
        </is>
      </c>
      <c r="C94" s="24" t="inlineStr">
        <is>
          <t>тыс.руб</t>
        </is>
      </c>
      <c r="D94" s="53">
        <f>IF(D$4=0,'Производительность'!G5,IF(D$4='Параметры'!C8,-'Ввод данных'!G14*'Производительность'!G5,0))</f>
        <v>136000.0</v>
      </c>
      <c r="E94" s="53">
        <f>IF(E$4=0,'Производительность'!G5,IF(E$4='Параметры'!C8,-'Ввод данных'!G14*'Производительность'!G5,0))</f>
        <v>0.0</v>
      </c>
      <c r="F94" s="53">
        <f>IF(F$4=0,'Производительность'!G5,IF(F$4='Параметры'!C8,-'Ввод данных'!G14*'Производительность'!G5,0))</f>
        <v>0.0</v>
      </c>
      <c r="G94" s="53">
        <f>IF(G$4=0,'Производительность'!G5,IF(G$4='Параметры'!C8,-'Ввод данных'!G14*'Производительность'!G5,0))</f>
        <v>0.0</v>
      </c>
      <c r="H94" s="53">
        <f>IF(H$4=0,'Производительность'!G5,IF(H$4='Параметры'!C8,-'Ввод данных'!G14*'Производительность'!G5,0))</f>
        <v>0.0</v>
      </c>
      <c r="I94" s="53">
        <f>IF(I$4=0,'Производительность'!G5,IF(I$4='Параметры'!C8,-'Ввод данных'!G14*'Производительность'!G5,0))</f>
        <v>0.0</v>
      </c>
      <c r="J94" s="53">
        <f>IF(J$4=0,'Производительность'!G5,IF(J$4='Параметры'!C8,-'Ввод данных'!G14*'Производительность'!G5,0))</f>
        <v>0.0</v>
      </c>
      <c r="K94" s="53">
        <f>IF(K$4=0,'Производительность'!G5,IF(K$4='Параметры'!C8,-'Ввод данных'!G14*'Производительность'!G5,0))</f>
        <v>0.0</v>
      </c>
      <c r="L94" s="53">
        <f>IF(L$4=0,'Производительность'!G5,IF(L$4='Параметры'!C8,-'Ввод данных'!G14*'Производительность'!G5,0))</f>
        <v>0.0</v>
      </c>
      <c r="M94" s="53">
        <f>IF(M$4=0,'Производительность'!G5,IF(M$4='Параметры'!C8,-'Ввод данных'!G14*'Производительность'!G5,0))</f>
        <v>0.0</v>
      </c>
      <c r="N94" s="53">
        <f>IF(N$4=0,'Производительность'!G5,IF(N$4='Параметры'!C8,-'Ввод данных'!G14*'Производительность'!G5,0))</f>
        <v>-0.0</v>
      </c>
    </row>
    <row r="95">
      <c r="B95" s="22" t="inlineStr">
        <is>
          <t>Чистый денежный поток</t>
        </is>
      </c>
      <c r="C95" s="24" t="inlineStr">
        <is>
          <t>тыс.руб</t>
        </is>
      </c>
      <c r="D95" s="64">
        <f>0+D94</f>
        <v>136000.0</v>
      </c>
      <c r="E95" s="64">
        <f>E93+E94</f>
        <v>50471.63065497639</v>
      </c>
      <c r="F95" s="64">
        <f>F93+F94</f>
        <v>89457.46151343622</v>
      </c>
      <c r="G95" s="64">
        <f>G93+G94</f>
        <v>82966.67436959135</v>
      </c>
      <c r="H95" s="64">
        <f>H93+H94</f>
        <v>78389.26151343624</v>
      </c>
      <c r="I95" s="64">
        <f>I93+I94</f>
        <v>76940.0306549764</v>
      </c>
      <c r="J95" s="64">
        <f>J93+J94</f>
        <v>101980.93206418768</v>
      </c>
      <c r="K95" s="64">
        <f>K93+K94</f>
        <v>84571.82100952361</v>
      </c>
      <c r="L95" s="64">
        <f>L93+L94</f>
        <v>84531.3975802937</v>
      </c>
      <c r="M95" s="64">
        <f>M93+M94</f>
        <v>83074.45872413859</v>
      </c>
      <c r="N95" s="64">
        <f>N93+N94</f>
        <v>84283.8975802937</v>
      </c>
    </row>
    <row r="96">
      <c r="B96" s="22" t="inlineStr">
        <is>
          <t>Дисконтированный поток</t>
        </is>
      </c>
      <c r="C96" s="24" t="inlineStr">
        <is>
          <t>тыс.руб</t>
        </is>
      </c>
      <c r="D96" s="53">
        <f>D95*D$6</f>
        <v>136000.0</v>
      </c>
      <c r="E96" s="53">
        <f>E95*E$6</f>
        <v>45063.955941943204</v>
      </c>
      <c r="F96" s="53">
        <f>F95*F$6</f>
        <v>71314.9406197674</v>
      </c>
      <c r="G96" s="53">
        <f>G95*G$6</f>
        <v>59054.040043042296</v>
      </c>
      <c r="H96" s="53">
        <f>H95*H$6</f>
        <v>49817.79284459278</v>
      </c>
      <c r="I96" s="53">
        <f>I95*I$6</f>
        <v>43657.839673445895</v>
      </c>
      <c r="J96" s="53">
        <f>J95*J$6</f>
        <v>51666.713950387566</v>
      </c>
      <c r="K96" s="53">
        <f>K95*K$6</f>
        <v>38255.996873270204</v>
      </c>
      <c r="L96" s="53">
        <f>L95*L$6</f>
        <v>34140.813720336446</v>
      </c>
      <c r="M96" s="53">
        <f>M95*M$6</f>
        <v>29957.482635842807</v>
      </c>
      <c r="N96" s="53">
        <f>N95*N$6</f>
        <v>27137.15929640589</v>
      </c>
    </row>
    <row r="97">
      <c r="B97" s="22" t="inlineStr">
        <is>
          <t>Кумул. дисконт. поток</t>
        </is>
      </c>
      <c r="C97" s="24" t="inlineStr">
        <is>
          <t>тыс.руб</t>
        </is>
      </c>
      <c r="D97" s="53">
        <f>SUM($D96:D96)</f>
        <v>136000.0</v>
      </c>
      <c r="E97" s="53">
        <f>SUM($D96:E96)</f>
        <v>181063.95594194322</v>
      </c>
      <c r="F97" s="53">
        <f>SUM($D96:F96)</f>
        <v>252378.89656171063</v>
      </c>
      <c r="G97" s="53">
        <f>SUM($D96:G96)</f>
        <v>311432.9366047529</v>
      </c>
      <c r="H97" s="53">
        <f>SUM($D96:H96)</f>
        <v>361250.7294493457</v>
      </c>
      <c r="I97" s="53">
        <f>SUM($D96:I96)</f>
        <v>404908.5691227916</v>
      </c>
      <c r="J97" s="53">
        <f>SUM($D96:J96)</f>
        <v>456575.28307317913</v>
      </c>
      <c r="K97" s="53">
        <f>SUM($D96:K96)</f>
        <v>494831.27994644933</v>
      </c>
      <c r="L97" s="53">
        <f>SUM($D96:L96)</f>
        <v>528972.0936667857</v>
      </c>
      <c r="M97" s="53">
        <f>SUM($D96:M96)</f>
        <v>558929.5763026285</v>
      </c>
      <c r="N97" s="53">
        <f>SUM($D96:N96)</f>
        <v>586066.7355990343</v>
      </c>
    </row>
    <row r="98">
      <c r="B98" s="39" t="inlineStr">
        <is>
          <t>Аннуитет по году</t>
        </is>
      </c>
      <c r="C98" s="24" t="inlineStr">
        <is>
          <t>руб/пог.м</t>
        </is>
      </c>
      <c r="D98" s="65" t="n"/>
      <c r="E98" s="65">
        <f>SUM($D96:E96)/SUM($E$6:E$6)/(SUM($E80:E80)/E$4)</f>
        <v>1524.9878758531345</v>
      </c>
      <c r="F98" s="65">
        <f>SUM($D96:F96)/SUM($E$6:F$6)/(SUM($E80:F80)/F$4)</f>
        <v>1125.1055075310335</v>
      </c>
      <c r="G98" s="65">
        <f>SUM($D96:G96)/SUM($E$6:G$6)/(SUM($E80:G80)/G$4)</f>
        <v>976.6179210653415</v>
      </c>
      <c r="H98" s="65">
        <f>SUM($D96:H96)/SUM($E$6:H$6)/(SUM($E80:H80)/H$4)</f>
        <v>896.3076100404518</v>
      </c>
      <c r="I98" s="65">
        <f>SUM($D96:I96)/SUM($E$6:I$6)/(SUM($E80:I80)/I$4)</f>
        <v>846.1283619074983</v>
      </c>
      <c r="J98" s="65">
        <f>SUM($D96:J96)/SUM($E$6:J$6)/(SUM($E80:J80)/J$4)</f>
        <v>837.1483993744979</v>
      </c>
      <c r="K98" s="65">
        <f>SUM($D96:K96)/SUM($E$6:K$6)/(SUM($E80:K80)/K$4)</f>
        <v>817.4097008646991</v>
      </c>
      <c r="L98" s="65">
        <f>SUM($D96:L96)/SUM($E$6:L$6)/(SUM($E80:L80)/L$4)</f>
        <v>802.6072534637178</v>
      </c>
      <c r="M98" s="65">
        <f>SUM($D96:M96)/SUM($E$6:M$6)/(SUM($E80:M80)/M$4)</f>
        <v>790.7961224317964</v>
      </c>
      <c r="N98" s="65">
        <f>SUM($D96:N96)/SUM($E$6:N$6)/(SUM($E80:N80)/N$4)</f>
        <v>781.8204939030996</v>
      </c>
    </row>
    <row r="100">
      <c r="B100" s="5" t="str">
        <f>"Вариант 5:  "&amp;'Ввод данных'!H7</f>
        <v>Вариант 5:  HIFO 75D
(аналог DM75)</v>
      </c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B101" s="22" t="inlineStr">
        <is>
          <t>КТГ</t>
        </is>
      </c>
      <c r="C101" s="24" t="inlineStr">
        <is>
          <t>коэф.</t>
        </is>
      </c>
      <c r="D101" s="57" t="n"/>
      <c r="E101" s="57">
        <f>'Данные по годам'!E23</f>
        <v>0.8932236174530694</v>
      </c>
      <c r="F101" s="57">
        <f>'Данные по годам'!F23</f>
        <v>0.8669947044647387</v>
      </c>
      <c r="G101" s="57">
        <f>'Данные по годам'!G23</f>
        <v>0.8535833650431254</v>
      </c>
      <c r="H101" s="57">
        <f>'Данные по годам'!H23</f>
        <v>0.8650635781329274</v>
      </c>
      <c r="I101" s="57">
        <f>'Данные по годам'!I23</f>
        <v>0.8702487633181126</v>
      </c>
      <c r="J101" s="57">
        <f>'Данные по годам'!J23</f>
        <v>0.844269564941654</v>
      </c>
      <c r="K101" s="57">
        <f>'Данные по годам'!K23</f>
        <v>0.8584400367833587</v>
      </c>
      <c r="L101" s="57">
        <f>'Данные по годам'!L23</f>
        <v>0.8705794964485034</v>
      </c>
      <c r="M101" s="57">
        <f>'Данные по годам'!M23</f>
        <v>0.852906360984272</v>
      </c>
      <c r="N101" s="57">
        <f>'Данные по годам'!N23</f>
        <v>0.8526777333840689</v>
      </c>
    </row>
    <row r="102">
      <c r="B102" s="22" t="inlineStr">
        <is>
          <t>Эффективное время</t>
        </is>
      </c>
      <c r="C102" s="24" t="inlineStr">
        <is>
          <t>час/год</t>
        </is>
      </c>
      <c r="D102" s="53" t="n"/>
      <c r="E102" s="53">
        <f>'Параметры'!C27*E101*(1-137.92/(60*'Параметры'!C28))</f>
        <v>6325.785839506173</v>
      </c>
      <c r="F102" s="53">
        <f>'Параметры'!C27*F101*(1-137.92/(60*'Параметры'!C28))</f>
        <v>6140.033377160495</v>
      </c>
      <c r="G102" s="53">
        <f>'Параметры'!C27*G101*(1-137.92/(60*'Параметры'!C28))</f>
        <v>6045.054629012347</v>
      </c>
      <c r="H102" s="53">
        <f>'Параметры'!C27*H101*(1-137.92/(60*'Параметры'!C28))</f>
        <v>6126.357191975309</v>
      </c>
      <c r="I102" s="53">
        <f>'Параметры'!C27*I101*(1-137.92/(60*'Параметры'!C28))</f>
        <v>6163.0785351851855</v>
      </c>
      <c r="J102" s="53">
        <f>'Параметры'!C27*J101*(1-137.92/(60*'Параметры'!C28))</f>
        <v>5979.094545061729</v>
      </c>
      <c r="K102" s="53">
        <f>'Параметры'!C27*K101*(1-137.92/(60*'Параметры'!C28))</f>
        <v>6079.449448765433</v>
      </c>
      <c r="L102" s="53">
        <f>'Параметры'!C27*L101*(1-137.92/(60*'Параметры'!C28))</f>
        <v>6165.420778395062</v>
      </c>
      <c r="M102" s="53">
        <f>'Параметры'!C27*M101*(1-137.92/(60*'Параметры'!C28))</f>
        <v>6040.260104320989</v>
      </c>
      <c r="N102" s="53">
        <f>'Параметры'!C27*N101*(1-137.92/(60*'Параметры'!C28))</f>
        <v>6038.640969753087</v>
      </c>
    </row>
    <row r="103">
      <c r="B103" s="22" t="inlineStr">
        <is>
          <t>Объём бурения</t>
        </is>
      </c>
      <c r="C103" s="24" t="inlineStr">
        <is>
          <t>тыс.пог.м</t>
        </is>
      </c>
      <c r="D103" s="63" t="n"/>
      <c r="E103" s="63">
        <f>'Производительность'!H12*E102/1000</f>
        <v>103.15391247465158</v>
      </c>
      <c r="F103" s="63">
        <f>'Производительность'!H12*F102/1000</f>
        <v>100.12486695700362</v>
      </c>
      <c r="G103" s="63">
        <f>'Производительность'!H12*G102/1000</f>
        <v>98.57605867894928</v>
      </c>
      <c r="H103" s="63">
        <f>'Производительность'!H12*H102/1000</f>
        <v>99.90185086929966</v>
      </c>
      <c r="I103" s="63">
        <f>'Производительность'!H12*I102/1000</f>
        <v>100.50066188180129</v>
      </c>
      <c r="J103" s="63">
        <f>'Производительность'!H12*J102/1000</f>
        <v>97.50045465135642</v>
      </c>
      <c r="K103" s="63">
        <f>'Производительность'!H12*K102/1000</f>
        <v>99.13693132250819</v>
      </c>
      <c r="L103" s="63">
        <f>'Производительность'!H12*L102/1000</f>
        <v>100.53885659107475</v>
      </c>
      <c r="M103" s="63">
        <f>'Производительность'!H12*M102/1000</f>
        <v>98.49787487808756</v>
      </c>
      <c r="N103" s="63">
        <f>'Производительность'!H12*N102/1000</f>
        <v>98.47147182402604</v>
      </c>
    </row>
    <row r="104">
      <c r="B104" s="22" t="inlineStr">
        <is>
          <t>Объём взрывания</t>
        </is>
      </c>
      <c r="C104" s="24" t="inlineStr">
        <is>
          <t>тыс.м³</t>
        </is>
      </c>
      <c r="D104" s="53" t="n"/>
      <c r="E104" s="53">
        <f>E103*'Параметры'!C35</f>
        <v>5102.508280558641</v>
      </c>
      <c r="F104" s="53">
        <f>F103*'Параметры'!C35</f>
        <v>4952.676544028184</v>
      </c>
      <c r="G104" s="53">
        <f>G103*'Параметры'!C35</f>
        <v>4876.0647425542265</v>
      </c>
      <c r="H104" s="53">
        <f>H103*'Параметры'!C35</f>
        <v>4941.645053249908</v>
      </c>
      <c r="I104" s="53">
        <f>I103*'Параметры'!C35</f>
        <v>4971.265239983301</v>
      </c>
      <c r="J104" s="53">
        <f>J103*'Параметры'!C35</f>
        <v>4822.859989329346</v>
      </c>
      <c r="K104" s="53">
        <f>K103*'Параметры'!C35</f>
        <v>4903.808307867868</v>
      </c>
      <c r="L104" s="53">
        <f>L103*'Параметры'!C35</f>
        <v>4973.154541277513</v>
      </c>
      <c r="M104" s="53">
        <f>M103*'Параметры'!C35</f>
        <v>4872.197380844601</v>
      </c>
      <c r="N104" s="53">
        <f>N103*'Параметры'!C35</f>
        <v>4870.891353775449</v>
      </c>
    </row>
    <row r="105">
      <c r="B105" s="22" t="inlineStr">
        <is>
          <t>Топливо/энергия</t>
        </is>
      </c>
      <c r="C105" s="24" t="inlineStr">
        <is>
          <t>тыс.руб</t>
        </is>
      </c>
      <c r="D105" s="53" t="n"/>
      <c r="E105" s="53">
        <f>E102*'Данные по годам'!E25/1000*'Параметры'!C10*(1+'Параметры'!C15)^(E$4-1)</f>
        <v>39047.66217413648</v>
      </c>
      <c r="F105" s="53">
        <f>F102*'Данные по годам'!F25/1000*'Параметры'!C10*(1+'Параметры'!C15)^(F$4-1)</f>
        <v>37901.053739751944</v>
      </c>
      <c r="G105" s="53">
        <f>G102*'Данные по годам'!G25/1000*'Параметры'!C10*(1+'Параметры'!C15)^(G$4-1)</f>
        <v>37314.77115518364</v>
      </c>
      <c r="H105" s="53">
        <f>H102*'Данные по годам'!H25/1000*'Параметры'!C10*(1+'Параметры'!C15)^(H$4-1)</f>
        <v>37816.63370523119</v>
      </c>
      <c r="I105" s="53">
        <f>I102*'Данные по годам'!I25/1000*'Параметры'!C10*(1+'Параметры'!C15)^(I$4-1)</f>
        <v>38043.306349645536</v>
      </c>
      <c r="J105" s="53">
        <f>J102*'Данные по годам'!J25/1000*'Параметры'!C10*(1+'Параметры'!C15)^(J$4-1)</f>
        <v>36907.61429903524</v>
      </c>
      <c r="K105" s="53">
        <f>K102*'Данные по годам'!K25/1000*'Параметры'!C10*(1+'Параметры'!C15)^(K$4-1)</f>
        <v>37527.08269027722</v>
      </c>
      <c r="L105" s="53">
        <f>L102*'Данные по годам'!L25/1000*'Параметры'!C10*(1+'Параметры'!C15)^(L$4-1)</f>
        <v>38057.76449348875</v>
      </c>
      <c r="M105" s="53">
        <f>M102*'Данные по годам'!M25/1000*'Параметры'!C10*(1+'Параметры'!C15)^(M$4-1)</f>
        <v>37285.17562584015</v>
      </c>
      <c r="N105" s="53">
        <f>N102*'Данные по годам'!N25/1000*'Параметры'!C10*(1+'Параметры'!C15)^(N$4-1)</f>
        <v>37275.18107002907</v>
      </c>
    </row>
    <row r="106">
      <c r="B106" s="22" t="inlineStr">
        <is>
          <t>ТОиР и сервис (по годам)</t>
        </is>
      </c>
      <c r="C106" s="24" t="inlineStr">
        <is>
          <t>тыс.руб</t>
        </is>
      </c>
      <c r="D106" s="53" t="n"/>
      <c r="E106" s="53">
        <f>'Данные по годам'!E24*IF('Данные по годам'!$D$24="CNY",'Параметры'!C21,IF('Данные по годам'!$D$24="USD",'Параметры'!C22,IF('Данные по годам'!$D$24="EUR",'Параметры'!C23,1)))</f>
        <v>11524.788</v>
      </c>
      <c r="F106" s="53">
        <f>'Данные по годам'!F24*IF('Данные по годам'!$D$24="CNY",'Параметры'!C21,IF('Данные по годам'!$D$24="USD",'Параметры'!C22,IF('Данные по годам'!$D$24="EUR",'Параметры'!C23,1)))</f>
        <v>35397.288</v>
      </c>
      <c r="G106" s="53">
        <f>'Данные по годам'!G24*IF('Данные по годам'!$D$24="CNY",'Параметры'!C21,IF('Данные по годам'!$D$24="USD",'Параметры'!C22,IF('Данные по годам'!$D$24="EUR",'Параметры'!C23,1)))</f>
        <v>64410.030000000006</v>
      </c>
      <c r="H106" s="53">
        <f>'Данные по годам'!H24*IF('Данные по годам'!$D$24="CNY",'Параметры'!C21,IF('Данные по годам'!$D$24="USD",'Параметры'!C22,IF('Данные по годам'!$D$24="EUR",'Параметры'!C23,1)))</f>
        <v>52459.758</v>
      </c>
      <c r="I106" s="53">
        <f>'Данные по годам'!I24*IF('Данные по годам'!$D$24="CNY",'Параметры'!C21,IF('Данные по годам'!$D$24="USD",'Параметры'!C22,IF('Данные по годам'!$D$24="EUR",'Параметры'!C23,1)))</f>
        <v>68436.252</v>
      </c>
      <c r="J106" s="53">
        <f>'Данные по годам'!J24*IF('Данные по годам'!$D$24="CNY",'Параметры'!C21,IF('Данные по годам'!$D$24="USD",'Параметры'!C22,IF('Данные по годам'!$D$24="EUR",'Параметры'!C23,1)))</f>
        <v>50134.49999999999</v>
      </c>
      <c r="K106" s="53">
        <f>'Данные по годам'!K24*IF('Данные по годам'!$D$24="CNY",'Параметры'!C21,IF('Данные по годам'!$D$24="USD",'Параметры'!C22,IF('Данные по годам'!$D$24="EUR",'Параметры'!C23,1)))</f>
        <v>56100.52799999999</v>
      </c>
      <c r="L106" s="53">
        <f>'Данные по годам'!L24*IF('Данные по годам'!$D$24="CNY",'Параметры'!C21,IF('Данные по годам'!$D$24="USD",'Параметры'!C22,IF('Данные по годам'!$D$24="EUR",'Параметры'!C23,1)))</f>
        <v>55898.667</v>
      </c>
      <c r="M106" s="53">
        <f>'Данные по годам'!M24*IF('Данные по годам'!$D$24="CNY",'Параметры'!C21,IF('Данные по годам'!$D$24="USD",'Параметры'!C22,IF('Данные по годам'!$D$24="EUR",'Параметры'!C23,1)))</f>
        <v>80759.75399999999</v>
      </c>
      <c r="N106" s="53">
        <f>'Данные по годам'!N24*IF('Данные по годам'!$D$24="CNY",'Параметры'!C21,IF('Данные по годам'!$D$24="USD",'Параметры'!C22,IF('Данные по годам'!$D$24="EUR",'Параметры'!C23,1)))</f>
        <v>26275.076999999997</v>
      </c>
    </row>
    <row r="107">
      <c r="B107" s="22" t="inlineStr">
        <is>
          <t>Долота</t>
        </is>
      </c>
      <c r="C107" s="24" t="inlineStr">
        <is>
          <t>тыс.руб</t>
        </is>
      </c>
      <c r="D107" s="53" t="n"/>
      <c r="E107" s="53">
        <f>E103*'Поставщик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годам'!$D$24="EUR",'Параметры'!C23,1)))*(1+'Параметры'!C16)^(E$4-1)</f>
        <v>0.0</v>
      </c>
      <c r="F107" s="53">
        <f>F103*'Поставщик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годам'!$D$24="EUR",'Параметры'!C23,1)))*(1+'Параметры'!C16)^(F$4-1)</f>
        <v>0.0</v>
      </c>
      <c r="G107" s="53">
        <f>G103*'Поставщик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годам'!$D$24="EUR",'Параметры'!C23,1)))*(1+'Параметры'!C16)^(G$4-1)</f>
        <v>0.0</v>
      </c>
      <c r="H107" s="53">
        <f>H103*'Поставщик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годам'!$D$24="EUR",'Параметры'!C23,1)))*(1+'Параметры'!C16)^(H$4-1)</f>
        <v>0.0</v>
      </c>
      <c r="I107" s="53">
        <f>I103*'Поставщик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годам'!$D$24="EUR",'Параметры'!C23,1)))*(1+'Параметры'!C16)^(I$4-1)</f>
        <v>0.0</v>
      </c>
      <c r="J107" s="53">
        <f>J103*'Поставщик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годам'!$D$24="EUR",'Параметры'!C23,1)))*(1+'Параметры'!C16)^(J$4-1)</f>
        <v>0.0</v>
      </c>
      <c r="K107" s="53">
        <f>K103*'Поставщик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годам'!$D$24="EUR",'Параметры'!C23,1)))*(1+'Параметры'!C16)^(K$4-1)</f>
        <v>0.0</v>
      </c>
      <c r="L107" s="53">
        <f>L103*'Поставщик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годам'!$D$24="EUR",'Параметры'!C23,1)))*(1+'Параметры'!C16)^(L$4-1)</f>
        <v>0.0</v>
      </c>
      <c r="M107" s="53">
        <f>M103*'Поставщик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годам'!$D$24="EUR",'Параметры'!C23,1)))*(1+'Параметры'!C16)^(M$4-1)</f>
        <v>0.0</v>
      </c>
      <c r="N107" s="53">
        <f>N103*'Поставщик 5'!$D$30*'Поставщик 5'!$E$30*IF('Данные по годам'!$D$24="CNY",'Параметры'!C21,IF('Данные по годам'!$D$24="USD",'Параметры'!C22,IF('Данные по годам'!$D$24="EUR",'Параметры'!C23,1)))*(1+'Параметры'!C16)^(N$4-1)</f>
        <v>0.0</v>
      </c>
    </row>
    <row r="108">
      <c r="B108" s="22" t="inlineStr">
        <is>
          <t>Штанги/адаптеры</t>
        </is>
      </c>
      <c r="C108" s="24" t="inlineStr">
        <is>
          <t>тыс.руб</t>
        </is>
      </c>
      <c r="D108" s="53" t="n"/>
      <c r="E108" s="53">
        <f>E103*'Поставщик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годам'!$D$24="EUR",'Параметры'!C23,1)))*(1+'Параметры'!C16)^(E$4-1)</f>
        <v>0.0</v>
      </c>
      <c r="F108" s="53">
        <f>F103*'Поставщик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годам'!$D$24="EUR",'Параметры'!C23,1)))*(1+'Параметры'!C16)^(F$4-1)</f>
        <v>0.0</v>
      </c>
      <c r="G108" s="53">
        <f>G103*'Поставщик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годам'!$D$24="EUR",'Параметры'!C23,1)))*(1+'Параметры'!C16)^(G$4-1)</f>
        <v>0.0</v>
      </c>
      <c r="H108" s="53">
        <f>H103*'Поставщик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годам'!$D$24="EUR",'Параметры'!C23,1)))*(1+'Параметры'!C16)^(H$4-1)</f>
        <v>0.0</v>
      </c>
      <c r="I108" s="53">
        <f>I103*'Поставщик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годам'!$D$24="EUR",'Параметры'!C23,1)))*(1+'Параметры'!C16)^(I$4-1)</f>
        <v>0.0</v>
      </c>
      <c r="J108" s="53">
        <f>J103*'Поставщик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годам'!$D$24="EUR",'Параметры'!C23,1)))*(1+'Параметры'!C16)^(J$4-1)</f>
        <v>0.0</v>
      </c>
      <c r="K108" s="53">
        <f>K103*'Поставщик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годам'!$D$24="EUR",'Параметры'!C23,1)))*(1+'Параметры'!C16)^(K$4-1)</f>
        <v>0.0</v>
      </c>
      <c r="L108" s="53">
        <f>L103*'Поставщик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годам'!$D$24="EUR",'Параметры'!C23,1)))*(1+'Параметры'!C16)^(L$4-1)</f>
        <v>0.0</v>
      </c>
      <c r="M108" s="53">
        <f>M103*'Поставщик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годам'!$D$24="EUR",'Параметры'!C23,1)))*(1+'Параметры'!C16)^(M$4-1)</f>
        <v>0.0</v>
      </c>
      <c r="N108" s="53">
        <f>N103*'Поставщик 5'!$D$31*'Поставщик 5'!$E$31*IF('Данные по годам'!$D$24="CNY",'Параметры'!C21,IF('Данные по годам'!$D$24="USD",'Параметры'!C22,IF('Данные по годам'!$D$24="EUR",'Параметры'!C23,1)))*(1+'Параметры'!C16)^(N$4-1)</f>
        <v>0.0</v>
      </c>
    </row>
    <row r="109">
      <c r="B109" s="22" t="inlineStr">
        <is>
          <t>Расходники</t>
        </is>
      </c>
      <c r="C109" s="24" t="inlineStr">
        <is>
          <t>тыс.руб</t>
        </is>
      </c>
      <c r="D109" s="53" t="n"/>
      <c r="E109" s="53">
        <f>E103*'Поставщик 5'!$D$32*(1+'Параметры'!C16)^(E$4-1)</f>
        <v>0.0</v>
      </c>
      <c r="F109" s="53">
        <f>F103*'Поставщик 5'!$D$32*(1+'Параметры'!C16)^(F$4-1)</f>
        <v>0.0</v>
      </c>
      <c r="G109" s="53">
        <f>G103*'Поставщик 5'!$D$32*(1+'Параметры'!C16)^(G$4-1)</f>
        <v>0.0</v>
      </c>
      <c r="H109" s="53">
        <f>H103*'Поставщик 5'!$D$32*(1+'Параметры'!C16)^(H$4-1)</f>
        <v>0.0</v>
      </c>
      <c r="I109" s="53">
        <f>I103*'Поставщик 5'!$D$32*(1+'Параметры'!C16)^(I$4-1)</f>
        <v>0.0</v>
      </c>
      <c r="J109" s="53">
        <f>J103*'Поставщик 5'!$D$32*(1+'Параметры'!C16)^(J$4-1)</f>
        <v>0.0</v>
      </c>
      <c r="K109" s="53">
        <f>K103*'Поставщик 5'!$D$32*(1+'Параметры'!C16)^(K$4-1)</f>
        <v>0.0</v>
      </c>
      <c r="L109" s="53">
        <f>L103*'Поставщик 5'!$D$32*(1+'Параметры'!C16)^(L$4-1)</f>
        <v>0.0</v>
      </c>
      <c r="M109" s="53">
        <f>M103*'Поставщик 5'!$D$32*(1+'Параметры'!C16)^(M$4-1)</f>
        <v>0.0</v>
      </c>
      <c r="N109" s="53">
        <f>N103*'Поставщик 5'!$D$32*(1+'Параметры'!C16)^(N$4-1)</f>
        <v>0.0</v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3" t="n"/>
      <c r="E110" s="53">
        <f>'Ввод данных'!H22*(1+'Параметры'!C17)^(E$4-1)</f>
        <v>15710.0</v>
      </c>
      <c r="F110" s="53">
        <f>'Ввод данных'!H22*(1+'Параметры'!C17)^(F$4-1)</f>
        <v>15710.0</v>
      </c>
      <c r="G110" s="53">
        <f>'Ввод данных'!H22*(1+'Параметры'!C17)^(G$4-1)</f>
        <v>15710.0</v>
      </c>
      <c r="H110" s="53">
        <f>'Ввод данных'!H22*(1+'Параметры'!C17)^(H$4-1)</f>
        <v>15710.0</v>
      </c>
      <c r="I110" s="53">
        <f>'Ввод данных'!H22*(1+'Параметры'!C17)^(I$4-1)</f>
        <v>15710.0</v>
      </c>
      <c r="J110" s="53">
        <f>'Ввод данных'!H22*(1+'Параметры'!C17)^(J$4-1)</f>
        <v>15710.0</v>
      </c>
      <c r="K110" s="53">
        <f>'Ввод данных'!H22*(1+'Параметры'!C17)^(K$4-1)</f>
        <v>15710.0</v>
      </c>
      <c r="L110" s="53">
        <f>'Ввод данных'!H22*(1+'Параметры'!C17)^(L$4-1)</f>
        <v>15710.0</v>
      </c>
      <c r="M110" s="53">
        <f>'Ввод данных'!H22*(1+'Параметры'!C17)^(M$4-1)</f>
        <v>15710.0</v>
      </c>
      <c r="N110" s="53">
        <f>'Ввод данных'!H22*(1+'Параметры'!C17)^(N$4-1)</f>
        <v>15710.0</v>
      </c>
    </row>
    <row r="111">
      <c r="B111" s="22" t="inlineStr">
        <is>
          <t>Транспортный налог</t>
        </is>
      </c>
      <c r="C111" s="24" t="inlineStr">
        <is>
          <t>тыс.руб</t>
        </is>
      </c>
      <c r="D111" s="53" t="n"/>
      <c r="E111" s="53">
        <f>'Ввод данных'!H23*15/1000</f>
        <v>12.17535</v>
      </c>
      <c r="F111" s="53">
        <f>'Ввод данных'!H23*15/1000</f>
        <v>12.17535</v>
      </c>
      <c r="G111" s="53">
        <f>'Ввод данных'!H23*15/1000</f>
        <v>12.17535</v>
      </c>
      <c r="H111" s="53">
        <f>'Ввод данных'!H23*15/1000</f>
        <v>12.17535</v>
      </c>
      <c r="I111" s="53">
        <f>'Ввод данных'!H23*15/1000</f>
        <v>12.17535</v>
      </c>
      <c r="J111" s="53">
        <f>'Ввод данных'!H23*15/1000</f>
        <v>12.17535</v>
      </c>
      <c r="K111" s="53">
        <f>'Ввод данных'!H23*15/1000</f>
        <v>12.17535</v>
      </c>
      <c r="L111" s="53">
        <f>'Ввод данных'!H23*15/1000</f>
        <v>12.17535</v>
      </c>
      <c r="M111" s="53">
        <f>'Ввод данных'!H23*15/1000</f>
        <v>12.17535</v>
      </c>
      <c r="N111" s="53">
        <f>'Ввод данных'!H23*15/1000</f>
        <v>12.17535</v>
      </c>
    </row>
    <row r="112">
      <c r="B112" s="22" t="inlineStr">
        <is>
          <t>Итого денежные затраты</t>
        </is>
      </c>
      <c r="C112" s="24" t="inlineStr">
        <is>
          <t>тыс.руб</t>
        </is>
      </c>
      <c r="D112" s="53" t="n"/>
      <c r="E112" s="64">
        <f>E105+E106+E107+E108+E109+E110+E111</f>
        <v>66294.62552413649</v>
      </c>
      <c r="F112" s="64">
        <f>F105+F106+F107+F108+F109+F110+F111</f>
        <v>89020.51708975196</v>
      </c>
      <c r="G112" s="64">
        <f>G105+G106+G107+G108+G109+G110+G111</f>
        <v>117446.97650518364</v>
      </c>
      <c r="H112" s="64">
        <f>H105+H106+H107+H108+H109+H110+H111</f>
        <v>105998.5670552312</v>
      </c>
      <c r="I112" s="64">
        <f>I105+I106+I107+I108+I109+I110+I111</f>
        <v>122201.73369964553</v>
      </c>
      <c r="J112" s="64">
        <f>J105+J106+J107+J108+J109+J110+J111</f>
        <v>102764.28964903523</v>
      </c>
      <c r="K112" s="64">
        <f>K105+K106+K107+K108+K109+K110+K111</f>
        <v>109349.78604027722</v>
      </c>
      <c r="L112" s="64">
        <f>L105+L106+L107+L108+L109+L110+L111</f>
        <v>109678.60684348876</v>
      </c>
      <c r="M112" s="64">
        <f>M105+M106+M107+M108+M109+M110+M111</f>
        <v>133767.10497584014</v>
      </c>
      <c r="N112" s="64">
        <f>N105+N106+N107+N108+N109+N110+N111</f>
        <v>79272.43342002908</v>
      </c>
    </row>
    <row r="113">
      <c r="B113" s="22" t="inlineStr">
        <is>
          <t>Амортизация (НУ)</t>
        </is>
      </c>
      <c r="C113" s="24" t="inlineStr">
        <is>
          <t>тыс.руб</t>
        </is>
      </c>
      <c r="D113" s="53" t="n"/>
      <c r="E113" s="53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>25968.915994491443</v>
      </c>
      <c r="F113" s="53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>25968.915994491443</v>
      </c>
      <c r="G113" s="53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>25968.915994491443</v>
      </c>
      <c r="H113" s="53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>25968.915994491443</v>
      </c>
      <c r="I113" s="53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>25968.915994491443</v>
      </c>
      <c r="J113" s="53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>2155.4200275427943</v>
      </c>
      <c r="K113" s="53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>0.0</v>
      </c>
      <c r="L113" s="53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>0.0</v>
      </c>
      <c r="M113" s="53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>0.0</v>
      </c>
      <c r="N113" s="53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>0.0</v>
      </c>
    </row>
    <row r="114">
      <c r="B114" s="22" t="inlineStr">
        <is>
          <t>Налогооблагаемая база</t>
        </is>
      </c>
      <c r="C114" s="24" t="inlineStr">
        <is>
          <t>тыс.руб</t>
        </is>
      </c>
      <c r="D114" s="53" t="n"/>
      <c r="E114" s="53">
        <f>E112+E113</f>
        <v>92263.54151862793</v>
      </c>
      <c r="F114" s="53">
        <f>F112+F113</f>
        <v>114989.4330842434</v>
      </c>
      <c r="G114" s="53">
        <f>G112+G113</f>
        <v>143415.8924996751</v>
      </c>
      <c r="H114" s="53">
        <f>H112+H113</f>
        <v>131967.48304972262</v>
      </c>
      <c r="I114" s="53">
        <f>I112+I113</f>
        <v>148170.64969413698</v>
      </c>
      <c r="J114" s="53">
        <f>J112+J113</f>
        <v>104919.70967657803</v>
      </c>
      <c r="K114" s="53">
        <f>K112+K113</f>
        <v>109349.78604027722</v>
      </c>
      <c r="L114" s="53">
        <f>L112+L113</f>
        <v>109678.60684348876</v>
      </c>
      <c r="M114" s="53">
        <f>M112+M113</f>
        <v>133767.10497584014</v>
      </c>
      <c r="N114" s="53">
        <f>N112+N113</f>
        <v>79272.43342002908</v>
      </c>
    </row>
    <row r="115">
      <c r="B115" s="22" t="inlineStr">
        <is>
          <t>Налог на прибыль (щит)</t>
        </is>
      </c>
      <c r="C115" s="24" t="inlineStr">
        <is>
          <t>тыс.руб</t>
        </is>
      </c>
      <c r="D115" s="53" t="n"/>
      <c r="E115" s="53">
        <f>-E114*'Параметры'!C7</f>
        <v>-23065.885379656982</v>
      </c>
      <c r="F115" s="53">
        <f>-F114*'Параметры'!C7</f>
        <v>-28747.35827106085</v>
      </c>
      <c r="G115" s="53">
        <f>-G114*'Параметры'!C7</f>
        <v>-35853.973124918775</v>
      </c>
      <c r="H115" s="53">
        <f>-H114*'Параметры'!C7</f>
        <v>-32991.870762430655</v>
      </c>
      <c r="I115" s="53">
        <f>-I114*'Параметры'!C7</f>
        <v>-37042.662423534246</v>
      </c>
      <c r="J115" s="53">
        <f>-J114*'Параметры'!C7</f>
        <v>-26229.927419144507</v>
      </c>
      <c r="K115" s="53">
        <f>-K114*'Параметры'!C7</f>
        <v>-27337.446510069305</v>
      </c>
      <c r="L115" s="53">
        <f>-L114*'Параметры'!C7</f>
        <v>-27419.65171087219</v>
      </c>
      <c r="M115" s="53">
        <f>-M114*'Параметры'!C7</f>
        <v>-33441.776243960034</v>
      </c>
      <c r="N115" s="53">
        <f>-N114*'Параметры'!C7</f>
        <v>-19818.10835500727</v>
      </c>
    </row>
    <row r="116">
      <c r="B116" s="22" t="inlineStr">
        <is>
          <t>Операц. денежный поток</t>
        </is>
      </c>
      <c r="C116" s="24" t="inlineStr">
        <is>
          <t>тыс.руб</t>
        </is>
      </c>
      <c r="D116" s="53" t="n"/>
      <c r="E116" s="64">
        <f>E114+E115-E113</f>
        <v>43228.74014447951</v>
      </c>
      <c r="F116" s="64">
        <f>F114+F115-F113</f>
        <v>60273.15881869111</v>
      </c>
      <c r="G116" s="64">
        <f>G114+G115-G113</f>
        <v>81593.00338026488</v>
      </c>
      <c r="H116" s="64">
        <f>H114+H115-H113</f>
        <v>73006.69629280052</v>
      </c>
      <c r="I116" s="64">
        <f>I114+I115-I113</f>
        <v>85159.0712761113</v>
      </c>
      <c r="J116" s="64">
        <f>J114+J115-J113</f>
        <v>76534.36222989071</v>
      </c>
      <c r="K116" s="64">
        <f>K114+K115-K113</f>
        <v>82012.33953020792</v>
      </c>
      <c r="L116" s="64">
        <f>L114+L115-L113</f>
        <v>82258.95513261657</v>
      </c>
      <c r="M116" s="64">
        <f>M114+M115-M113</f>
        <v>100325.3287318801</v>
      </c>
      <c r="N116" s="64">
        <f>N114+N115-N113</f>
        <v>59454.32506502181</v>
      </c>
    </row>
    <row r="117">
      <c r="B117" s="22" t="inlineStr">
        <is>
          <t>Инвестиции / остаточная ст-ть</t>
        </is>
      </c>
      <c r="C117" s="24" t="inlineStr">
        <is>
          <t>тыс.руб</t>
        </is>
      </c>
      <c r="D117" s="53">
        <f>IF(D$4=0,'Производительность'!H5,IF(D$4='Параметры'!C8,-'Ввод данных'!H14*'Производительность'!H5,0))</f>
        <v>132000.0</v>
      </c>
      <c r="E117" s="53">
        <f>IF(E$4=0,'Производительность'!H5,IF(E$4='Параметры'!C8,-'Ввод данных'!H14*'Производительность'!H5,0))</f>
        <v>0.0</v>
      </c>
      <c r="F117" s="53">
        <f>IF(F$4=0,'Производительность'!H5,IF(F$4='Параметры'!C8,-'Ввод данных'!H14*'Производительность'!H5,0))</f>
        <v>0.0</v>
      </c>
      <c r="G117" s="53">
        <f>IF(G$4=0,'Производительность'!H5,IF(G$4='Параметры'!C8,-'Ввод данных'!H14*'Производительность'!H5,0))</f>
        <v>0.0</v>
      </c>
      <c r="H117" s="53">
        <f>IF(H$4=0,'Производительность'!H5,IF(H$4='Параметры'!C8,-'Ввод данных'!H14*'Производительность'!H5,0))</f>
        <v>0.0</v>
      </c>
      <c r="I117" s="53">
        <f>IF(I$4=0,'Производительность'!H5,IF(I$4='Параметры'!C8,-'Ввод данных'!H14*'Производительность'!H5,0))</f>
        <v>0.0</v>
      </c>
      <c r="J117" s="53">
        <f>IF(J$4=0,'Производительность'!H5,IF(J$4='Параметры'!C8,-'Ввод данных'!H14*'Производительность'!H5,0))</f>
        <v>0.0</v>
      </c>
      <c r="K117" s="53">
        <f>IF(K$4=0,'Производительность'!H5,IF(K$4='Параметры'!C8,-'Ввод данных'!H14*'Производительность'!H5,0))</f>
        <v>0.0</v>
      </c>
      <c r="L117" s="53">
        <f>IF(L$4=0,'Производительность'!H5,IF(L$4='Параметры'!C8,-'Ввод данных'!H14*'Производительность'!H5,0))</f>
        <v>0.0</v>
      </c>
      <c r="M117" s="53">
        <f>IF(M$4=0,'Производительность'!H5,IF(M$4='Параметры'!C8,-'Ввод данных'!H14*'Производительность'!H5,0))</f>
        <v>0.0</v>
      </c>
      <c r="N117" s="53">
        <f>IF(N$4=0,'Производительность'!H5,IF(N$4='Параметры'!C8,-'Ввод данных'!H14*'Производительность'!H5,0))</f>
        <v>-0.0</v>
      </c>
    </row>
    <row r="118">
      <c r="B118" s="22" t="inlineStr">
        <is>
          <t>Чистый денежный поток</t>
        </is>
      </c>
      <c r="C118" s="24" t="inlineStr">
        <is>
          <t>тыс.руб</t>
        </is>
      </c>
      <c r="D118" s="64">
        <f>0+D117</f>
        <v>132000.0</v>
      </c>
      <c r="E118" s="64">
        <f>E116+E117</f>
        <v>43228.74014447951</v>
      </c>
      <c r="F118" s="64">
        <f>F116+F117</f>
        <v>60273.15881869111</v>
      </c>
      <c r="G118" s="64">
        <f>G116+G117</f>
        <v>81593.00338026488</v>
      </c>
      <c r="H118" s="64">
        <f>H116+H117</f>
        <v>73006.69629280052</v>
      </c>
      <c r="I118" s="64">
        <f>I116+I117</f>
        <v>85159.0712761113</v>
      </c>
      <c r="J118" s="64">
        <f>J116+J117</f>
        <v>76534.36222989071</v>
      </c>
      <c r="K118" s="64">
        <f>K116+K117</f>
        <v>82012.33953020792</v>
      </c>
      <c r="L118" s="64">
        <f>L116+L117</f>
        <v>82258.95513261657</v>
      </c>
      <c r="M118" s="64">
        <f>M116+M117</f>
        <v>100325.3287318801</v>
      </c>
      <c r="N118" s="64">
        <f>N116+N117</f>
        <v>59454.32506502181</v>
      </c>
    </row>
    <row r="119">
      <c r="B119" s="22" t="inlineStr">
        <is>
          <t>Дисконтированный поток</t>
        </is>
      </c>
      <c r="C119" s="24" t="inlineStr">
        <is>
          <t>тыс.руб</t>
        </is>
      </c>
      <c r="D119" s="53">
        <f>D118*D$6</f>
        <v>132000.0</v>
      </c>
      <c r="E119" s="53">
        <f>E118*E$6</f>
        <v>38597.089414713846</v>
      </c>
      <c r="F119" s="53">
        <f>F118*F$6</f>
        <v>48049.39319092084</v>
      </c>
      <c r="G119" s="53">
        <f>G118*G$6</f>
        <v>58076.288165845406</v>
      </c>
      <c r="H119" s="53">
        <f>H118*H$6</f>
        <v>46397.075338685696</v>
      </c>
      <c r="I119" s="53">
        <f>I118*I$6</f>
        <v>48321.54405011991</v>
      </c>
      <c r="J119" s="53">
        <f>J118*J$6</f>
        <v>38774.68974512071</v>
      </c>
      <c r="K119" s="53">
        <f>K118*K$6</f>
        <v>37098.21743443243</v>
      </c>
      <c r="L119" s="53">
        <f>L118*L$6</f>
        <v>33223.012329171266</v>
      </c>
      <c r="M119" s="53">
        <f>M118*M$6</f>
        <v>36178.31930028846</v>
      </c>
      <c r="N119" s="53">
        <f>N118*N$6</f>
        <v>19142.70147050041</v>
      </c>
    </row>
    <row r="120">
      <c r="B120" s="22" t="inlineStr">
        <is>
          <t>Кумул. дисконт. поток</t>
        </is>
      </c>
      <c r="C120" s="24" t="inlineStr">
        <is>
          <t>тыс.руб</t>
        </is>
      </c>
      <c r="D120" s="53">
        <f>SUM($D119:D119)</f>
        <v>132000.0</v>
      </c>
      <c r="E120" s="53">
        <f>SUM($D119:E119)</f>
        <v>170597.08941471385</v>
      </c>
      <c r="F120" s="53">
        <f>SUM($D119:F119)</f>
        <v>218646.4826056347</v>
      </c>
      <c r="G120" s="53">
        <f>SUM($D119:G119)</f>
        <v>276722.7707714801</v>
      </c>
      <c r="H120" s="53">
        <f>SUM($D119:H119)</f>
        <v>323119.8461101658</v>
      </c>
      <c r="I120" s="53">
        <f>SUM($D119:I119)</f>
        <v>371441.39016028575</v>
      </c>
      <c r="J120" s="53">
        <f>SUM($D119:J119)</f>
        <v>410216.07990540646</v>
      </c>
      <c r="K120" s="53">
        <f>SUM($D119:K119)</f>
        <v>447314.2973398389</v>
      </c>
      <c r="L120" s="53">
        <f>SUM($D119:L119)</f>
        <v>480537.3096690101</v>
      </c>
      <c r="M120" s="53">
        <f>SUM($D119:M119)</f>
        <v>516715.62896929856</v>
      </c>
      <c r="N120" s="53">
        <f>SUM($D119:N119)</f>
        <v>535858.330439799</v>
      </c>
    </row>
    <row r="121">
      <c r="B121" s="39" t="inlineStr">
        <is>
          <t>Аннуитет по году</t>
        </is>
      </c>
      <c r="C121" s="24" t="inlineStr">
        <is>
          <t>руб/пог.м</t>
        </is>
      </c>
      <c r="D121" s="65" t="n"/>
      <c r="E121" s="65">
        <f>SUM($D119:E119)/SUM($E$6:E$6)/(SUM($E103:E103)/E$4)</f>
        <v>1852.2684749493299</v>
      </c>
      <c r="F121" s="65">
        <f>SUM($D119:F119)/SUM($E$6:F$6)/(SUM($E103:F103)/F$4)</f>
        <v>1272.859976618637</v>
      </c>
      <c r="G121" s="65">
        <f>SUM($D119:G119)/SUM($E$6:G$6)/(SUM($E103:G103)/G$4)</f>
        <v>1145.0528097822823</v>
      </c>
      <c r="H121" s="65">
        <f>SUM($D119:H119)/SUM($E$6:H$6)/(SUM($E103:H103)/H$4)</f>
        <v>1059.1702222892718</v>
      </c>
      <c r="I121" s="65">
        <f>SUM($D119:I119)/SUM($E$6:I$6)/(SUM($E103:I103)/I$4)</f>
        <v>1025.7834584142054</v>
      </c>
      <c r="J121" s="65">
        <f>SUM($D119:J119)/SUM($E$6:J$6)/(SUM($E103:J103)/J$4)</f>
        <v>998.1539197374035</v>
      </c>
      <c r="K121" s="65">
        <f>SUM($D119:K119)/SUM($E$6:K$6)/(SUM($E103:K103)/K$4)</f>
        <v>981.6950054488814</v>
      </c>
      <c r="L121" s="65">
        <f>SUM($D119:L119)/SUM($E$6:L$6)/(SUM($E103:L103)/L$4)</f>
        <v>968.020624794674</v>
      </c>
      <c r="M121" s="65">
        <f>SUM($D119:M119)/SUM($E$6:M$6)/(SUM($E103:M103)/M$4)</f>
        <v>972.0001651436909</v>
      </c>
      <c r="N121" s="65">
        <f>SUM($D119:N119)/SUM($E$6:N$6)/(SUM($E103:N103)/N$4)</f>
        <v>951.8080979239389</v>
      </c>
    </row>
  </sheetData>
  <mergeCells count="7">
    <mergeCell ref="B31:N31"/>
    <mergeCell ref="B1:N1"/>
    <mergeCell ref="B8:N8"/>
    <mergeCell ref="B100:N100"/>
    <mergeCell ref="B54:N54"/>
    <mergeCell ref="B77:N77"/>
    <mergeCell ref="B2:N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K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руб/пог.м и руб/м³.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 t="str">
        <f>'Ввод данных'!D7</f>
        <v>YANGZI DR75
(аналог Epiroc DM75)</v>
      </c>
      <c r="E4" s="15" t="str">
        <f>'Ввод данных'!E7</f>
        <v>Sunward
SWDRT250SM</v>
      </c>
      <c r="F4" s="15" t="str">
        <f>'Ввод данных'!F7</f>
        <v>Sunward
SWDRT270SM</v>
      </c>
      <c r="G4" s="15" t="str">
        <f>'Ввод данных'!G7</f>
        <v>Sunward
SWDRT270B</v>
      </c>
      <c r="H4" s="15" t="str">
        <f>'Ввод данных'!H7</f>
        <v>HIFO 75D
(аналог DM75)</v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</row>
    <row r="6">
      <c r="B6" s="22" t="inlineStr">
        <is>
          <t>NPV топлива/энергии</t>
        </is>
      </c>
      <c r="C6" s="24" t="inlineStr">
        <is>
          <t>тыс.руб</t>
        </is>
      </c>
      <c r="D6" s="53">
        <f>SUMPRODUCT('Денежный поток'!E13:N13,'Денежный поток'!$E$6:$N$6)</f>
        <v>159371.54269443662</v>
      </c>
      <c r="E6" s="53">
        <f>SUMPRODUCT('Денежный поток'!E36:N36,'Денежный поток'!$E$6:$N$6)</f>
        <v>88402.11370144282</v>
      </c>
      <c r="F6" s="53">
        <f>SUMPRODUCT('Денежный поток'!E59:N59,'Денежный поток'!$E$6:$N$6)</f>
        <v>114443.04641969729</v>
      </c>
      <c r="G6" s="53">
        <f>SUMPRODUCT('Денежный поток'!E82:N82,'Денежный поток'!$E$6:$N$6)</f>
        <v>184778.02517294372</v>
      </c>
      <c r="H6" s="53">
        <f>SUMPRODUCT('Денежный поток'!E105:N105,'Денежный поток'!$E$6:$N$6)</f>
        <v>213750.14122719396</v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3">
        <f>SUMPRODUCT('Денежный поток'!E14:N14,'Денежный поток'!$E$6:$N$6)</f>
        <v>155323.85843291887</v>
      </c>
      <c r="E7" s="53">
        <f>SUMPRODUCT('Денежный поток'!E37:N37,'Денежный поток'!$E$6:$N$6)</f>
        <v>282537.24958065536</v>
      </c>
      <c r="F7" s="53">
        <f>SUMPRODUCT('Денежный поток'!E60:N60,'Денежный поток'!$E$6:$N$6)</f>
        <v>282537.24958065536</v>
      </c>
      <c r="G7" s="53">
        <f>SUMPRODUCT('Денежный поток'!E83:N83,'Денежный поток'!$E$6:$N$6)</f>
        <v>359002.8009938534</v>
      </c>
      <c r="H7" s="53">
        <f>SUMPRODUCT('Денежный поток'!E106:N106,'Денежный поток'!$E$6:$N$6)</f>
        <v>267461.8798875215</v>
      </c>
    </row>
    <row r="8">
      <c r="B8" s="22" t="inlineStr">
        <is>
          <t>NPV долот</t>
        </is>
      </c>
      <c r="C8" s="24" t="inlineStr">
        <is>
          <t>тыс.руб</t>
        </is>
      </c>
      <c r="D8" s="53">
        <f>SUMPRODUCT('Денежный поток'!E15:N15,'Денежный поток'!$E$6:$N$6)</f>
        <v>81319.2330170243</v>
      </c>
      <c r="E8" s="53">
        <f>SUMPRODUCT('Денежный поток'!E38:N38,'Денежный поток'!$E$6:$N$6)</f>
        <v>0.0</v>
      </c>
      <c r="F8" s="53">
        <f>SUMPRODUCT('Денежный поток'!E61:N61,'Денежный поток'!$E$6:$N$6)</f>
        <v>0.0</v>
      </c>
      <c r="G8" s="53">
        <f>SUMPRODUCT('Денежный поток'!E84:N84,'Денежный поток'!$E$6:$N$6)</f>
        <v>0.0</v>
      </c>
      <c r="H8" s="53">
        <f>SUMPRODUCT('Денежный поток'!E107:N107,'Денежный поток'!$E$6:$N$6)</f>
        <v>0.0</v>
      </c>
    </row>
    <row r="9">
      <c r="B9" s="22" t="inlineStr">
        <is>
          <t>NPV штанг/адаптеров</t>
        </is>
      </c>
      <c r="C9" s="24" t="inlineStr">
        <is>
          <t>тыс.руб</t>
        </is>
      </c>
      <c r="D9" s="53">
        <f>SUMPRODUCT('Денежный поток'!E16:N16,'Денежный поток'!$E$6:$N$6)</f>
        <v>189998.20798370158</v>
      </c>
      <c r="E9" s="53">
        <f>SUMPRODUCT('Денежный поток'!E39:N39,'Денежный поток'!$E$6:$N$6)</f>
        <v>0.0</v>
      </c>
      <c r="F9" s="53">
        <f>SUMPRODUCT('Денежный поток'!E62:N62,'Денежный поток'!$E$6:$N$6)</f>
        <v>0.0</v>
      </c>
      <c r="G9" s="53">
        <f>SUMPRODUCT('Денежный поток'!E85:N85,'Денежный поток'!$E$6:$N$6)</f>
        <v>0.0</v>
      </c>
      <c r="H9" s="53">
        <f>SUMPRODUCT('Денежный поток'!E108:N108,'Денежный поток'!$E$6:$N$6)</f>
        <v>0.0</v>
      </c>
    </row>
    <row r="10">
      <c r="B10" s="22" t="inlineStr">
        <is>
          <t>NPV расходников</t>
        </is>
      </c>
      <c r="C10" s="24" t="inlineStr">
        <is>
          <t>тыс.руб</t>
        </is>
      </c>
      <c r="D10" s="53">
        <f>SUMPRODUCT('Денежный поток'!E17:N17,'Денежный поток'!$E$6:$N$6)</f>
        <v>0.0</v>
      </c>
      <c r="E10" s="53">
        <f>SUMPRODUCT('Денежный поток'!E40:N40,'Денежный поток'!$E$6:$N$6)</f>
        <v>0.0</v>
      </c>
      <c r="F10" s="53">
        <f>SUMPRODUCT('Денежный поток'!E63:N63,'Денежный поток'!$E$6:$N$6)</f>
        <v>0.0</v>
      </c>
      <c r="G10" s="53">
        <f>SUMPRODUCT('Денежный поток'!E86:N86,'Денежный поток'!$E$6:$N$6)</f>
        <v>0.0</v>
      </c>
      <c r="H10" s="53">
        <f>SUMPRODUCT('Денежный поток'!E109:N109,'Денежный поток'!$E$6:$N$6)</f>
        <v>0.0</v>
      </c>
    </row>
    <row r="11">
      <c r="B11" s="22" t="inlineStr">
        <is>
          <t>NPV персонала</t>
        </is>
      </c>
      <c r="C11" s="24" t="inlineStr">
        <is>
          <t>тыс.руб</t>
        </is>
      </c>
      <c r="D11" s="53">
        <f>SUMPRODUCT('Денежный поток'!E18:N18,'Денежный поток'!$E$6:$N$6)</f>
        <v>88765.00377633465</v>
      </c>
      <c r="E11" s="53">
        <f>SUMPRODUCT('Денежный поток'!E41:N41,'Денежный поток'!$E$6:$N$6)</f>
        <v>88765.00377633465</v>
      </c>
      <c r="F11" s="53">
        <f>SUMPRODUCT('Денежный поток'!E64:N64,'Денежный поток'!$E$6:$N$6)</f>
        <v>88765.00377633465</v>
      </c>
      <c r="G11" s="53">
        <f>SUMPRODUCT('Денежный поток'!E87:N87,'Денежный поток'!$E$6:$N$6)</f>
        <v>88765.00377633465</v>
      </c>
      <c r="H11" s="53">
        <f>SUMPRODUCT('Денежный поток'!E110:N110,'Денежный поток'!$E$6:$N$6)</f>
        <v>88765.00377633465</v>
      </c>
    </row>
    <row r="12">
      <c r="B12" s="22" t="inlineStr">
        <is>
          <t>NPV транспортного налога</t>
        </is>
      </c>
      <c r="C12" s="24" t="inlineStr">
        <is>
          <t>тыс.руб</t>
        </is>
      </c>
      <c r="D12" s="53">
        <f>SUMPRODUCT('Денежный поток'!E19:N19,'Денежный поток'!$E$6:$N$6)</f>
        <v>67.80267634093036</v>
      </c>
      <c r="E12" s="53">
        <f>SUMPRODUCT('Денежный поток'!E42:N42,'Денежный поток'!$E$6:$N$6)</f>
        <v>67.80267634093036</v>
      </c>
      <c r="F12" s="53">
        <f>SUMPRODUCT('Денежный поток'!E65:N65,'Денежный поток'!$E$6:$N$6)</f>
        <v>67.80267634093036</v>
      </c>
      <c r="G12" s="53">
        <f>SUMPRODUCT('Денежный поток'!E88:N88,'Денежный поток'!$E$6:$N$6)</f>
        <v>67.80267634093036</v>
      </c>
      <c r="H12" s="53">
        <f>SUMPRODUCT('Денежный поток'!E111:N111,'Денежный поток'!$E$6:$N$6)</f>
        <v>68.7934429489622</v>
      </c>
    </row>
    <row r="13">
      <c r="B13" s="22" t="inlineStr">
        <is>
          <t>NPV налога (щит)</t>
        </is>
      </c>
      <c r="C13" s="24" t="inlineStr">
        <is>
          <t>тыс.руб</t>
        </is>
      </c>
      <c r="D13" s="53">
        <f>SUMPRODUCT('Денежный поток'!E23:N23,'Денежный поток'!$E$6:$N$6)</f>
        <v>-195974.7232302381</v>
      </c>
      <c r="E13" s="53">
        <f>SUMPRODUCT('Денежный поток'!E46:N46,'Денежный поток'!$E$6:$N$6)</f>
        <v>-135031.79797004524</v>
      </c>
      <c r="F13" s="53">
        <f>SUMPRODUCT('Денежный поток'!E69:N69,'Денежный поток'!$E$6:$N$6)</f>
        <v>-145846.7644788271</v>
      </c>
      <c r="G13" s="53">
        <f>SUMPRODUCT('Денежный поток'!E92:N92,'Денежный поток'!$E$6:$N$6)</f>
        <v>-182546.89702043822</v>
      </c>
      <c r="H13" s="53">
        <f>SUMPRODUCT('Денежный поток'!E115:N115,'Денежный поток'!$E$6:$N$6)</f>
        <v>-166187.4878942001</v>
      </c>
    </row>
    <row r="14">
      <c r="B14" s="22" t="inlineStr">
        <is>
          <t>NPV инвестиций (за вычетом остат.)</t>
        </is>
      </c>
      <c r="C14" s="24" t="inlineStr">
        <is>
          <t>тыс.руб</t>
        </is>
      </c>
      <c r="D14" s="53">
        <f>'Производительность'!D5*(1-'Ввод данных'!D14*'Денежный поток'!$N$6)</f>
        <v>152000.0</v>
      </c>
      <c r="E14" s="53">
        <f>'Производительность'!E5*(1-'Ввод данных'!E14*'Денежный поток'!$N$6)</f>
        <v>112000.0</v>
      </c>
      <c r="F14" s="53">
        <f>'Производительность'!F5*(1-'Ввод данных'!F14*'Денежный поток'!$N$6)</f>
        <v>136000.0</v>
      </c>
      <c r="G14" s="53">
        <f>'Производительность'!G5*(1-'Ввод данных'!G14*'Денежный поток'!$N$6)</f>
        <v>136000.0</v>
      </c>
      <c r="H14" s="53">
        <f>'Производительность'!H5*(1-'Ввод данных'!H14*'Денежный поток'!$N$6)</f>
        <v>132000.0</v>
      </c>
    </row>
    <row r="15">
      <c r="B15" s="52" t="inlineStr">
        <is>
          <t>NPV операционных затрат</t>
        </is>
      </c>
      <c r="C15" s="24" t="inlineStr">
        <is>
          <t>тыс.руб</t>
        </is>
      </c>
      <c r="D15" s="64">
        <f>D6+D7+D8+D9+D10+D11+D12+D13</f>
        <v>478870.9253505189</v>
      </c>
      <c r="E15" s="64">
        <f>E6+E7+E8+E9+E10+E11+E12+E13</f>
        <v>324740.3717647285</v>
      </c>
      <c r="F15" s="64">
        <f>F6+F7+F8+F9+F10+F11+F12+F13</f>
        <v>339966.3379742011</v>
      </c>
      <c r="G15" s="64">
        <f>G6+G7+G8+G9+G10+G11+G12+G13</f>
        <v>450066.7355990346</v>
      </c>
      <c r="H15" s="64">
        <f>H6+H7+H8+H9+H10+H11+H12+H13</f>
        <v>403858.330439799</v>
      </c>
    </row>
    <row r="16">
      <c r="B16" s="39" t="inlineStr">
        <is>
          <t>NPV полной стоимости владения</t>
        </is>
      </c>
      <c r="C16" s="24" t="inlineStr">
        <is>
          <t>тыс.руб</t>
        </is>
      </c>
      <c r="D16" s="66">
        <f>D14+D15</f>
        <v>630870.9253505189</v>
      </c>
      <c r="E16" s="66">
        <f>E14+E15</f>
        <v>436740.3717647285</v>
      </c>
      <c r="F16" s="66">
        <f>F14+F15</f>
        <v>475966.3379742011</v>
      </c>
      <c r="G16" s="66">
        <f>G14+G15</f>
        <v>586066.7355990346</v>
      </c>
      <c r="H16" s="66">
        <f>H14+H15</f>
        <v>535858.330439799</v>
      </c>
    </row>
    <row r="17">
      <c r="B17" s="22" t="inlineStr">
        <is>
          <t>Средний годовой объём бурения</t>
        </is>
      </c>
      <c r="C17" s="24" t="inlineStr">
        <is>
          <t>тыс.пог.м/год</t>
        </is>
      </c>
      <c r="D17" s="53">
        <f>AVERAGE('Денежный поток'!E11:N11)</f>
        <v>104.5355868570933</v>
      </c>
      <c r="E17" s="53">
        <f>AVERAGE('Денежный поток'!E34:N34)</f>
        <v>107.37852305607248</v>
      </c>
      <c r="F17" s="53">
        <f>AVERAGE('Денежный поток'!E57:N57)</f>
        <v>122.3183443949109</v>
      </c>
      <c r="G17" s="53">
        <f>AVERAGE('Денежный поток'!E80:N80)</f>
        <v>132.67051983257335</v>
      </c>
      <c r="H17" s="53">
        <f>AVERAGE('Денежный поток'!E103:N103)</f>
        <v>99.64029401287584</v>
      </c>
    </row>
    <row r="18">
      <c r="B18" s="22" t="inlineStr">
        <is>
          <t>Средний годовой объём взрывания</t>
        </is>
      </c>
      <c r="C18" s="24" t="inlineStr">
        <is>
          <t>тыс.м³/год</t>
        </is>
      </c>
      <c r="D18" s="53">
        <f>D17*'Параметры'!C35</f>
        <v>5170.8528038861205</v>
      </c>
      <c r="E18" s="53">
        <f>E17*'Параметры'!C35</f>
        <v>5311.4786429686255</v>
      </c>
      <c r="F18" s="53">
        <f>F17*'Параметры'!C35</f>
        <v>6050.476905494268</v>
      </c>
      <c r="G18" s="53">
        <f>G17*'Параметры'!C35</f>
        <v>6562.547263518241</v>
      </c>
      <c r="H18" s="53">
        <f>H17*'Параметры'!C35</f>
        <v>4928.707143346904</v>
      </c>
    </row>
    <row r="19">
      <c r="B19" s="5" t="inlineStr">
        <is>
          <t>УДЕЛЬНЫЙ АННУИТЕТ (руб/пог.м) — ГЛАВНЫЙ КРИТЕРИЙ</t>
        </is>
      </c>
      <c r="C19" s="4" t="n"/>
      <c r="D19" s="4" t="n"/>
      <c r="E19" s="4" t="n"/>
      <c r="F19" s="4" t="n"/>
      <c r="G19" s="4" t="n"/>
      <c r="H19" s="4" t="n"/>
    </row>
    <row r="20">
      <c r="B20" s="22" t="inlineStr">
        <is>
          <t>Инвестиционный</t>
        </is>
      </c>
      <c r="C20" s="24" t="inlineStr">
        <is>
          <t>руб/пог.м</t>
        </is>
      </c>
      <c r="D20" s="55">
        <f>D14/'Параметры'!C39/D17</f>
        <v>257.3438745704126</v>
      </c>
      <c r="E20" s="55">
        <f>E14/'Параметры'!C39/E17</f>
        <v>184.60140651731143</v>
      </c>
      <c r="F20" s="55">
        <f>F14/'Параметры'!C39/F17</f>
        <v>196.7803475824369</v>
      </c>
      <c r="G20" s="55">
        <f>G14/'Параметры'!C39/G17</f>
        <v>181.4257331328338</v>
      </c>
      <c r="H20" s="55">
        <f>H14/'Параметры'!C39/H17</f>
        <v>234.46247224120506</v>
      </c>
    </row>
    <row r="21">
      <c r="B21" s="22" t="inlineStr">
        <is>
          <t>Топливо/энергия</t>
        </is>
      </c>
      <c r="C21" s="24" t="inlineStr">
        <is>
          <t>руб/пог.м</t>
        </is>
      </c>
      <c r="D21" s="55">
        <f>D6/'Параметры'!C39/D17</f>
        <v>269.8242782450675</v>
      </c>
      <c r="E21" s="55">
        <f>E6/'Параметры'!C39/E17</f>
        <v>145.70673686062173</v>
      </c>
      <c r="F21" s="55">
        <f>F6/'Параметры'!C39/F17</f>
        <v>165.58928274162494</v>
      </c>
      <c r="G21" s="55">
        <f>G6/'Параметры'!C39/G17</f>
        <v>246.4962403223422</v>
      </c>
      <c r="H21" s="55">
        <f>H6/'Параметры'!C39/H17</f>
        <v>379.66959510632296</v>
      </c>
    </row>
    <row r="22">
      <c r="B22" s="22" t="inlineStr">
        <is>
          <t>ТОиР + капремонты</t>
        </is>
      </c>
      <c r="C22" s="24" t="inlineStr">
        <is>
          <t>руб/пог.м</t>
        </is>
      </c>
      <c r="D22" s="55">
        <f>D7/'Параметры'!C39/D17</f>
        <v>262.9713390944316</v>
      </c>
      <c r="E22" s="55">
        <f>E7/'Параметры'!C39/E17</f>
        <v>465.68547916180034</v>
      </c>
      <c r="F22" s="55">
        <f>F7/'Параметры'!C39/F17</f>
        <v>408.8071924813757</v>
      </c>
      <c r="G22" s="55">
        <f>G7/'Параметры'!C39/G17</f>
        <v>478.9143115224316</v>
      </c>
      <c r="H22" s="55">
        <f>H7/'Параметры'!C39/H17</f>
        <v>475.074042338701</v>
      </c>
    </row>
    <row r="23">
      <c r="B23" s="22" t="inlineStr">
        <is>
          <t>Долота</t>
        </is>
      </c>
      <c r="C23" s="24" t="inlineStr">
        <is>
          <t>руб/пог.м</t>
        </is>
      </c>
      <c r="D23" s="55">
        <f>D8/'Параметры'!C39/D17</f>
        <v>137.67767435325825</v>
      </c>
      <c r="E23" s="55">
        <f>E8/'Параметры'!C39/E17</f>
        <v>0.0</v>
      </c>
      <c r="F23" s="55">
        <f>F8/'Параметры'!C39/F17</f>
        <v>0.0</v>
      </c>
      <c r="G23" s="55">
        <f>G8/'Параметры'!C39/G17</f>
        <v>0.0</v>
      </c>
      <c r="H23" s="55">
        <f>H8/'Параметры'!C39/H17</f>
        <v>0.0</v>
      </c>
    </row>
    <row r="24">
      <c r="B24" s="22" t="inlineStr">
        <is>
          <t>Штанги/адаптеры</t>
        </is>
      </c>
      <c r="C24" s="24" t="inlineStr">
        <is>
          <t>руб/пог.м</t>
        </is>
      </c>
      <c r="D24" s="55">
        <f>D9/'Параметры'!C39/D17</f>
        <v>321.67680923658463</v>
      </c>
      <c r="E24" s="55">
        <f>E9/'Параметры'!C39/E17</f>
        <v>0.0</v>
      </c>
      <c r="F24" s="55">
        <f>F9/'Параметры'!C39/F17</f>
        <v>0.0</v>
      </c>
      <c r="G24" s="55">
        <f>G9/'Параметры'!C39/G17</f>
        <v>0.0</v>
      </c>
      <c r="H24" s="55">
        <f>H9/'Параметры'!C39/H17</f>
        <v>0.0</v>
      </c>
    </row>
    <row r="25">
      <c r="B25" s="22" t="inlineStr">
        <is>
          <t>Расходники</t>
        </is>
      </c>
      <c r="C25" s="24" t="inlineStr">
        <is>
          <t>руб/пог.м</t>
        </is>
      </c>
      <c r="D25" s="55">
        <f>D10/'Параметры'!C39/D17</f>
        <v>0.0</v>
      </c>
      <c r="E25" s="55">
        <f>E10/'Параметры'!C39/E17</f>
        <v>0.0</v>
      </c>
      <c r="F25" s="55">
        <f>F10/'Параметры'!C39/F17</f>
        <v>0.0</v>
      </c>
      <c r="G25" s="55">
        <f>G10/'Параметры'!C39/G17</f>
        <v>0.0</v>
      </c>
      <c r="H25" s="55">
        <f>H10/'Параметры'!C39/H17</f>
        <v>0.0</v>
      </c>
    </row>
    <row r="26">
      <c r="B26" s="22" t="inlineStr">
        <is>
          <t>Персонал</t>
        </is>
      </c>
      <c r="C26" s="24" t="inlineStr">
        <is>
          <t>руб/пог.м</t>
        </is>
      </c>
      <c r="D26" s="55">
        <f>D11/'Параметры'!C39/D17</f>
        <v>150.283749987232</v>
      </c>
      <c r="E26" s="55">
        <f>E11/'Параметры'!C39/E17</f>
        <v>146.30486202344497</v>
      </c>
      <c r="F26" s="55">
        <f>F11/'Параметры'!C39/F17</f>
        <v>128.43535511958424</v>
      </c>
      <c r="G26" s="55">
        <f>G11/'Параметры'!C39/G17</f>
        <v>118.4136462254432</v>
      </c>
      <c r="H26" s="55">
        <f>H11/'Параметры'!C39/H17</f>
        <v>157.66713813560094</v>
      </c>
    </row>
    <row r="27">
      <c r="B27" s="22" t="inlineStr">
        <is>
          <t>Транспортный налог</t>
        </is>
      </c>
      <c r="C27" s="24" t="inlineStr">
        <is>
          <t>руб/пог.м</t>
        </is>
      </c>
      <c r="D27" s="55">
        <f>D12/'Параметры'!C39/D17</f>
        <v>0.11479344365670176</v>
      </c>
      <c r="E27" s="55">
        <f>E12/'Параметры'!C39/E17</f>
        <v>0.11175419123369446</v>
      </c>
      <c r="F27" s="55">
        <f>F12/'Параметры'!C39/F17</f>
        <v>0.0981046633631452</v>
      </c>
      <c r="G27" s="55">
        <f>G12/'Параметры'!C39/G17</f>
        <v>0.09044963429059955</v>
      </c>
      <c r="H27" s="55">
        <f>H12/'Параметры'!C39/H17</f>
        <v>0.12219303566513616</v>
      </c>
    </row>
    <row r="28">
      <c r="B28" s="22" t="inlineStr">
        <is>
          <t>Налог на прибыль (щит)</t>
        </is>
      </c>
      <c r="C28" s="24" t="inlineStr">
        <is>
          <t>руб/пог.м</t>
        </is>
      </c>
      <c r="D28" s="55">
        <f>D13/'Параметры'!C39/D17</f>
        <v>-331.79535917061656</v>
      </c>
      <c r="E28" s="55">
        <f>E13/'Параметры'!C39/E17</f>
        <v>-222.56303419492667</v>
      </c>
      <c r="F28" s="55">
        <f>F13/'Параметры'!C39/F17</f>
        <v>-211.02777211703977</v>
      </c>
      <c r="G28" s="55">
        <f>G13/'Параметры'!C39/G17</f>
        <v>-243.5198869342421</v>
      </c>
      <c r="H28" s="55">
        <f>H13/'Параметры'!C39/H17</f>
        <v>-295.1873429335568</v>
      </c>
    </row>
    <row r="29">
      <c r="B29" s="52" t="inlineStr">
        <is>
          <t>Операционный аннуитет</t>
        </is>
      </c>
      <c r="C29" s="24" t="inlineStr">
        <is>
          <t>руб/пог.м</t>
        </is>
      </c>
      <c r="D29" s="67">
        <f>D15/'Параметры'!C39/D17</f>
        <v>810.7532851896143</v>
      </c>
      <c r="E29" s="67">
        <f>E15/'Параметры'!C39/E17</f>
        <v>535.245798042174</v>
      </c>
      <c r="F29" s="67">
        <f>F15/'Параметры'!C39/F17</f>
        <v>491.90216288890815</v>
      </c>
      <c r="G29" s="67">
        <f>G15/'Параметры'!C39/G17</f>
        <v>600.3947607702656</v>
      </c>
      <c r="H29" s="67">
        <f>H15/'Параметры'!C39/H17</f>
        <v>717.3456256827333</v>
      </c>
    </row>
    <row r="30">
      <c r="B30" s="39" t="inlineStr">
        <is>
          <t>ОБЩИЙ АННУИТЕТ</t>
        </is>
      </c>
      <c r="C30" s="24" t="inlineStr">
        <is>
          <t>руб/пог.м</t>
        </is>
      </c>
      <c r="D30" s="56">
        <f>D16/'Параметры'!C39/D17</f>
        <v>1068.0971597600267</v>
      </c>
      <c r="E30" s="56">
        <f>E16/'Параметры'!C39/E17</f>
        <v>719.8472045594854</v>
      </c>
      <c r="F30" s="56">
        <f>F16/'Параметры'!C39/F17</f>
        <v>688.682510471345</v>
      </c>
      <c r="G30" s="56">
        <f>G16/'Параметры'!C39/G17</f>
        <v>781.8204939030994</v>
      </c>
      <c r="H30" s="56">
        <f>H16/'Параметры'!C39/H17</f>
        <v>951.8080979239384</v>
      </c>
    </row>
    <row r="31">
      <c r="B31" s="5" t="inlineStr">
        <is>
          <t>ДОПОЛНИТЕЛЬНЫЕ ПОКАЗАТЕЛИ</t>
        </is>
      </c>
      <c r="C31" s="4" t="n"/>
      <c r="D31" s="4" t="n"/>
      <c r="E31" s="4" t="n"/>
      <c r="F31" s="4" t="n"/>
      <c r="G31" s="4" t="n"/>
      <c r="H31" s="4" t="n"/>
    </row>
    <row r="32">
      <c r="B32" s="52" t="inlineStr">
        <is>
          <t>Удельный аннуитет на м³ (взрывание)</t>
        </is>
      </c>
      <c r="C32" s="24" t="inlineStr">
        <is>
          <t>руб/м³</t>
        </is>
      </c>
      <c r="D32" s="67">
        <f>D30/'Параметры'!C35</f>
        <v>21.592988168604602</v>
      </c>
      <c r="E32" s="67">
        <f>E30/'Параметры'!C35</f>
        <v>14.552657526725671</v>
      </c>
      <c r="F32" s="67">
        <f>F30/'Параметры'!C35</f>
        <v>13.922622267691196</v>
      </c>
      <c r="G32" s="67">
        <f>G30/'Параметры'!C35</f>
        <v>15.8055290387769</v>
      </c>
      <c r="H32" s="67">
        <f>H30/'Параметры'!C35</f>
        <v>19.242051913958118</v>
      </c>
    </row>
    <row r="33">
      <c r="B33" s="22" t="inlineStr">
        <is>
          <t>Себестоимость (без дисконта)</t>
        </is>
      </c>
      <c r="C33" s="24" t="inlineStr">
        <is>
          <t>руб/пог.м</t>
        </is>
      </c>
      <c r="D33" s="55">
        <f>AVERAGE('Денежный поток'!E20:N20)/D17</f>
        <v>1149.7499903857065</v>
      </c>
      <c r="E33" s="55">
        <f>AVERAGE('Денежный поток'!E43:N43)/E17</f>
        <v>761.9825808667014</v>
      </c>
      <c r="F33" s="55">
        <f>AVERAGE('Денежный поток'!E66:N66)/F17</f>
        <v>706.4788431290043</v>
      </c>
      <c r="G33" s="55">
        <f>AVERAGE('Денежный поток'!E89:N89)/G17</f>
        <v>854.9174468584517</v>
      </c>
      <c r="H33" s="55">
        <f>AVERAGE('Денежный поток'!E112:N112)/H17</f>
        <v>1039.5339065024941</v>
      </c>
    </row>
    <row r="34">
      <c r="B34" s="22" t="inlineStr">
        <is>
          <t>Доля инвестиций в аннуитете</t>
        </is>
      </c>
      <c r="C34" s="24" t="inlineStr">
        <is>
          <t>%</t>
        </is>
      </c>
      <c r="D34" s="57">
        <f>D20/D30</f>
        <v>0.24093676517989338</v>
      </c>
      <c r="E34" s="57">
        <f>E20/E30</f>
        <v>0.25644526414501995</v>
      </c>
      <c r="F34" s="57">
        <f>F20/F30</f>
        <v>0.28573449244087434</v>
      </c>
      <c r="G34" s="57">
        <f>G20/G30</f>
        <v>0.23205548402434195</v>
      </c>
      <c r="H34" s="57">
        <f>H20/H30</f>
        <v>0.24633376491816905</v>
      </c>
    </row>
  </sheetData>
  <mergeCells count="5">
    <mergeCell ref="B1:K1"/>
    <mergeCell ref="B19:H19"/>
    <mergeCell ref="B2:K2"/>
    <mergeCell ref="B5:H5"/>
    <mergeCell ref="B31:H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СРАВНИТЕЛЬНЫЙ АНАЛИЗ БУРОВЫХ СТАНКОВ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(руб/пог.м).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YANGZI DR75
(аналог Epiroc DM75)</v>
      </c>
      <c r="E4" s="15" t="str">
        <f>'Ввод данных'!E7</f>
        <v>Sunward
SWDRT250SM</v>
      </c>
      <c r="F4" s="15" t="str">
        <f>'Ввод данных'!F7</f>
        <v>Sunward
SWDRT270SM</v>
      </c>
      <c r="G4" s="15" t="str">
        <f>'Ввод данных'!G7</f>
        <v>Sunward
SWDRT270B</v>
      </c>
      <c r="H4" s="15" t="str">
        <f>'Ввод данных'!H7</f>
        <v>HIFO 75D
(аналог DM75)</v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3">
        <f>'Производительность'!D5</f>
        <v>152000.0</v>
      </c>
      <c r="E5" s="53">
        <f>'Производительность'!E5</f>
        <v>112000.0</v>
      </c>
      <c r="F5" s="53">
        <f>'Производительность'!F5</f>
        <v>136000.0</v>
      </c>
      <c r="G5" s="53">
        <f>'Производительность'!G5</f>
        <v>136000.0</v>
      </c>
      <c r="H5" s="53">
        <f>'Производительность'!H5</f>
        <v>132000.0</v>
      </c>
    </row>
    <row r="6">
      <c r="B6" s="22" t="inlineStr">
        <is>
          <t>Часовая производительность</t>
        </is>
      </c>
      <c r="C6" s="24" t="inlineStr">
        <is>
          <t>п.м/час</t>
        </is>
      </c>
      <c r="D6" s="55">
        <f>'Производительность'!D12</f>
        <v>16.306892944498475</v>
      </c>
      <c r="E6" s="55">
        <f>'Производительность'!E12</f>
        <v>17.588489626403494</v>
      </c>
      <c r="F6" s="55">
        <f>'Производительность'!F12</f>
        <v>20.03561671625241</v>
      </c>
      <c r="G6" s="55">
        <f>'Производительность'!G12</f>
        <v>20.03561671625241</v>
      </c>
      <c r="H6" s="55">
        <f>'Производительность'!H12</f>
        <v>16.306892944498475</v>
      </c>
    </row>
    <row r="7">
      <c r="B7" s="22" t="inlineStr">
        <is>
          <t>Средний годовой объём бурения</t>
        </is>
      </c>
      <c r="C7" s="24" t="inlineStr">
        <is>
          <t>тыс.пог.м</t>
        </is>
      </c>
      <c r="D7" s="53">
        <f>'Расчёт аннуитета'!D17</f>
        <v>104.5355868570933</v>
      </c>
      <c r="E7" s="53">
        <f>'Расчёт аннуитета'!E17</f>
        <v>107.37852305607248</v>
      </c>
      <c r="F7" s="53">
        <f>'Расчёт аннуитета'!F17</f>
        <v>122.3183443949109</v>
      </c>
      <c r="G7" s="53">
        <f>'Расчёт аннуитета'!G17</f>
        <v>132.67051983257335</v>
      </c>
      <c r="H7" s="53">
        <f>'Расчёт аннуитета'!H17</f>
        <v>99.64029401287584</v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3">
        <f>'Расчёт аннуитета'!D16</f>
        <v>630870.9253505189</v>
      </c>
      <c r="E8" s="53">
        <f>'Расчёт аннуитета'!E16</f>
        <v>436740.3717647285</v>
      </c>
      <c r="F8" s="53">
        <f>'Расчёт аннуитета'!F16</f>
        <v>475966.3379742011</v>
      </c>
      <c r="G8" s="53">
        <f>'Расчёт аннуитета'!G16</f>
        <v>586066.7355990346</v>
      </c>
      <c r="H8" s="53">
        <f>'Расчёт аннуитета'!H16</f>
        <v>535858.330439799</v>
      </c>
    </row>
    <row r="9">
      <c r="B9" s="22" t="inlineStr">
        <is>
          <t>Себестоимость (без дисконта)</t>
        </is>
      </c>
      <c r="C9" s="24" t="inlineStr">
        <is>
          <t>руб/пог.м</t>
        </is>
      </c>
      <c r="D9" s="55">
        <f>'Расчёт аннуитета'!D33</f>
        <v>1149.7499903857065</v>
      </c>
      <c r="E9" s="55">
        <f>'Расчёт аннуитета'!E33</f>
        <v>761.9825808667014</v>
      </c>
      <c r="F9" s="55">
        <f>'Расчёт аннуитета'!F33</f>
        <v>706.4788431290043</v>
      </c>
      <c r="G9" s="55">
        <f>'Расчёт аннуитета'!G33</f>
        <v>854.9174468584517</v>
      </c>
      <c r="H9" s="55">
        <f>'Расчёт аннуитета'!H33</f>
        <v>1039.5339065024941</v>
      </c>
    </row>
    <row r="10">
      <c r="B10" s="22" t="inlineStr">
        <is>
          <t>Инвестиционный аннуитет</t>
        </is>
      </c>
      <c r="C10" s="24" t="inlineStr">
        <is>
          <t>руб/пог.м</t>
        </is>
      </c>
      <c r="D10" s="55">
        <f>'Расчёт аннуитета'!D20</f>
        <v>257.3438745704126</v>
      </c>
      <c r="E10" s="55">
        <f>'Расчёт аннуитета'!E20</f>
        <v>184.60140651731143</v>
      </c>
      <c r="F10" s="55">
        <f>'Расчёт аннуитета'!F20</f>
        <v>196.7803475824369</v>
      </c>
      <c r="G10" s="55">
        <f>'Расчёт аннуитета'!G20</f>
        <v>181.4257331328338</v>
      </c>
      <c r="H10" s="55">
        <f>'Расчёт аннуитета'!H20</f>
        <v>234.46247224120506</v>
      </c>
    </row>
    <row r="11">
      <c r="B11" s="22" t="inlineStr">
        <is>
          <t>Операционный аннуитет</t>
        </is>
      </c>
      <c r="C11" s="24" t="inlineStr">
        <is>
          <t>руб/пог.м</t>
        </is>
      </c>
      <c r="D11" s="55">
        <f>'Расчёт аннуитета'!D29</f>
        <v>810.7532851896143</v>
      </c>
      <c r="E11" s="55">
        <f>'Расчёт аннуитета'!E29</f>
        <v>535.245798042174</v>
      </c>
      <c r="F11" s="55">
        <f>'Расчёт аннуитета'!F29</f>
        <v>491.90216288890815</v>
      </c>
      <c r="G11" s="55">
        <f>'Расчёт аннуитета'!G29</f>
        <v>600.3947607702656</v>
      </c>
      <c r="H11" s="55">
        <f>'Расчёт аннуитета'!H29</f>
        <v>717.3456256827333</v>
      </c>
    </row>
    <row r="12">
      <c r="B12" s="52" t="inlineStr">
        <is>
          <t>ОБЩИЙ АННУИТЕТ</t>
        </is>
      </c>
      <c r="C12" s="24" t="inlineStr">
        <is>
          <t>руб/пог.м</t>
        </is>
      </c>
      <c r="D12" s="68">
        <f>'Расчёт аннуитета'!D30</f>
        <v>1068.0971597600267</v>
      </c>
      <c r="E12" s="68">
        <f>'Расчёт аннуитета'!E30</f>
        <v>719.8472045594854</v>
      </c>
      <c r="F12" s="68">
        <f>'Расчёт аннуитета'!F30</f>
        <v>688.682510471345</v>
      </c>
      <c r="G12" s="68">
        <f>'Расчёт аннуитета'!G30</f>
        <v>781.8204939030994</v>
      </c>
      <c r="H12" s="68">
        <f>'Расчёт аннуитета'!H30</f>
        <v>951.8080979239384</v>
      </c>
    </row>
    <row r="13">
      <c r="B13" s="22" t="inlineStr">
        <is>
          <t>Аннуитет на м³ (взрывание)</t>
        </is>
      </c>
      <c r="C13" s="24" t="inlineStr">
        <is>
          <t>руб/м³</t>
        </is>
      </c>
      <c r="D13" s="55">
        <f>'Расчёт аннуитета'!D32</f>
        <v>21.592988168604602</v>
      </c>
      <c r="E13" s="55">
        <f>'Расчёт аннуитета'!E32</f>
        <v>14.552657526725671</v>
      </c>
      <c r="F13" s="55">
        <f>'Расчёт аннуитета'!F32</f>
        <v>13.922622267691196</v>
      </c>
      <c r="G13" s="55">
        <f>'Расчёт аннуитета'!G32</f>
        <v>15.8055290387769</v>
      </c>
      <c r="H13" s="55">
        <f>'Расчёт аннуитета'!H32</f>
        <v>19.242051913958118</v>
      </c>
    </row>
    <row r="14">
      <c r="B14" s="5" t="inlineStr">
        <is>
          <t>РАНЖИРОВАНИЕ (критерий: минимум аннуитета руб/пог.м)</t>
        </is>
      </c>
      <c r="C14" s="4" t="n"/>
      <c r="D14" s="4" t="n"/>
      <c r="E14" s="4" t="n"/>
      <c r="F14" s="4" t="n"/>
      <c r="G14" s="4" t="n"/>
      <c r="H14" s="4" t="n"/>
    </row>
    <row r="15">
      <c r="B15" s="69" t="inlineStr">
        <is>
          <t>Место в рейтинге</t>
        </is>
      </c>
      <c r="D15" s="18">
        <f>RANK(D12,D12:H12,1)</f>
        <v>5.0</v>
      </c>
      <c r="E15" s="18">
        <f>RANK(E12,D12:H12,1)</f>
        <v>2.0</v>
      </c>
      <c r="F15" s="18">
        <f>RANK(F12,D12:H12,1)</f>
        <v>1.0</v>
      </c>
      <c r="G15" s="18">
        <f>RANK(G12,D12:H12,1)</f>
        <v>3.0</v>
      </c>
      <c r="H15" s="18">
        <f>RANK(H12,D12:H12,1)</f>
        <v>4.0</v>
      </c>
    </row>
    <row r="16">
      <c r="B16" s="70" t="inlineStr">
        <is>
          <t>Отклонение от лучшего</t>
        </is>
      </c>
      <c r="D16" s="71">
        <f>D12/MIN(D12:H12)-1</f>
        <v>0.5509282485321201</v>
      </c>
      <c r="E16" s="71">
        <f>E12/MIN(D12:H12)-1</f>
        <v>0.04525262891722148</v>
      </c>
      <c r="F16" s="71">
        <f>F12/MIN(D12:H12)-1</f>
        <v>0.0</v>
      </c>
      <c r="G16" s="71">
        <f>G12/MIN(D12:H12)-1</f>
        <v>0.13524081418592915</v>
      </c>
      <c r="H16" s="71">
        <f>H12/MIN(D12:H12)-1</f>
        <v>0.38207095933437607</v>
      </c>
    </row>
    <row r="18">
      <c r="B18" s="72" t="inlineStr">
        <is>
          <t>РЕКОМЕНДУЕМЫЙ ВАРИАНТ:</t>
        </is>
      </c>
      <c r="C18" s="73" t="str">
        <f>INDEX(D4:H4,MATCH(MIN(D12:H12),D12:H12,0))&amp;"  ("&amp;TEXT(MIN(D12:H12),"0.00")&amp;" руб/пог.м)"</f>
        <v>Sunward
SWDRT270SM  (688.68 руб/пог.м)</v>
      </c>
      <c r="D18" s="74" t="n"/>
      <c r="E18" s="74" t="n"/>
      <c r="F18" s="74" t="n"/>
      <c r="G18" s="74" t="n"/>
      <c r="H18" s="74" t="n"/>
    </row>
    <row r="20">
      <c r="B20" s="5" t="inlineStr">
        <is>
          <t>СТРУКТУРА УДЕЛЬНОГО АННУИТЕТА (руб/пог.м)</t>
        </is>
      </c>
      <c r="C20" s="4" t="n"/>
      <c r="D20" s="4" t="n"/>
      <c r="E20" s="4" t="n"/>
      <c r="F20" s="4" t="n"/>
      <c r="G20" s="4" t="n"/>
      <c r="H20" s="4" t="n"/>
    </row>
    <row r="21">
      <c r="B21" s="75" t="inlineStr">
        <is>
          <t>Статья</t>
        </is>
      </c>
      <c r="D21" s="15" t="str">
        <f>'Ввод данных'!D7</f>
        <v>YANGZI DR75
(аналог Epiroc DM75)</v>
      </c>
      <c r="E21" s="15" t="str">
        <f>'Ввод данных'!E7</f>
        <v>Sunward
SWDRT250SM</v>
      </c>
      <c r="F21" s="15" t="str">
        <f>'Ввод данных'!F7</f>
        <v>Sunward
SWDRT270SM</v>
      </c>
      <c r="G21" s="15" t="str">
        <f>'Ввод данных'!G7</f>
        <v>Sunward
SWDRT270B</v>
      </c>
      <c r="H21" s="15" t="str">
        <f>'Ввод данных'!H7</f>
        <v>HIFO 75D
(аналог DM75)</v>
      </c>
    </row>
    <row r="22">
      <c r="B22" s="22" t="inlineStr">
        <is>
          <t>Инвестиционный</t>
        </is>
      </c>
      <c r="D22" s="55">
        <f>'Расчёт аннуитета'!D20</f>
        <v>257.3438745704126</v>
      </c>
      <c r="E22" s="55">
        <f>'Расчёт аннуитета'!E20</f>
        <v>184.60140651731143</v>
      </c>
      <c r="F22" s="55">
        <f>'Расчёт аннуитета'!F20</f>
        <v>196.7803475824369</v>
      </c>
      <c r="G22" s="55">
        <f>'Расчёт аннуитета'!G20</f>
        <v>181.4257331328338</v>
      </c>
      <c r="H22" s="55">
        <f>'Расчёт аннуитета'!H20</f>
        <v>234.46247224120506</v>
      </c>
    </row>
    <row r="23">
      <c r="B23" s="22" t="inlineStr">
        <is>
          <t>Топливо/энергия</t>
        </is>
      </c>
      <c r="D23" s="55">
        <f>'Расчёт аннуитета'!D21</f>
        <v>269.8242782450675</v>
      </c>
      <c r="E23" s="55">
        <f>'Расчёт аннуитета'!E21</f>
        <v>145.70673686062173</v>
      </c>
      <c r="F23" s="55">
        <f>'Расчёт аннуитета'!F21</f>
        <v>165.58928274162494</v>
      </c>
      <c r="G23" s="55">
        <f>'Расчёт аннуитета'!G21</f>
        <v>246.4962403223422</v>
      </c>
      <c r="H23" s="55">
        <f>'Расчёт аннуитета'!H21</f>
        <v>379.66959510632296</v>
      </c>
    </row>
    <row r="24">
      <c r="B24" s="22" t="inlineStr">
        <is>
          <t>ТОиР + капремонты</t>
        </is>
      </c>
      <c r="D24" s="55">
        <f>'Расчёт аннуитета'!D22</f>
        <v>262.9713390944316</v>
      </c>
      <c r="E24" s="55">
        <f>'Расчёт аннуитета'!E22</f>
        <v>465.68547916180034</v>
      </c>
      <c r="F24" s="55">
        <f>'Расчёт аннуитета'!F22</f>
        <v>408.8071924813757</v>
      </c>
      <c r="G24" s="55">
        <f>'Расчёт аннуитета'!G22</f>
        <v>478.9143115224316</v>
      </c>
      <c r="H24" s="55">
        <f>'Расчёт аннуитета'!H22</f>
        <v>475.074042338701</v>
      </c>
    </row>
    <row r="25">
      <c r="B25" s="22" t="inlineStr">
        <is>
          <t>Долота</t>
        </is>
      </c>
      <c r="D25" s="55">
        <f>'Расчёт аннуитета'!D23</f>
        <v>137.67767435325825</v>
      </c>
      <c r="E25" s="55">
        <f>'Расчёт аннуитета'!E23</f>
        <v>0.0</v>
      </c>
      <c r="F25" s="55">
        <f>'Расчёт аннуитета'!F23</f>
        <v>0.0</v>
      </c>
      <c r="G25" s="55">
        <f>'Расчёт аннуитета'!G23</f>
        <v>0.0</v>
      </c>
      <c r="H25" s="55">
        <f>'Расчёт аннуитета'!H23</f>
        <v>0.0</v>
      </c>
    </row>
    <row r="26">
      <c r="B26" s="22" t="inlineStr">
        <is>
          <t>Штанги/адаптеры</t>
        </is>
      </c>
      <c r="D26" s="55">
        <f>'Расчёт аннуитета'!D24</f>
        <v>321.67680923658463</v>
      </c>
      <c r="E26" s="55">
        <f>'Расчёт аннуитета'!E24</f>
        <v>0.0</v>
      </c>
      <c r="F26" s="55">
        <f>'Расчёт аннуитета'!F24</f>
        <v>0.0</v>
      </c>
      <c r="G26" s="55">
        <f>'Расчёт аннуитета'!G24</f>
        <v>0.0</v>
      </c>
      <c r="H26" s="55">
        <f>'Расчёт аннуитета'!H24</f>
        <v>0.0</v>
      </c>
    </row>
    <row r="27">
      <c r="B27" s="22" t="inlineStr">
        <is>
          <t>Расходники</t>
        </is>
      </c>
      <c r="D27" s="55">
        <f>'Расчёт аннуитета'!D25</f>
        <v>0.0</v>
      </c>
      <c r="E27" s="55">
        <f>'Расчёт аннуитета'!E25</f>
        <v>0.0</v>
      </c>
      <c r="F27" s="55">
        <f>'Расчёт аннуитета'!F25</f>
        <v>0.0</v>
      </c>
      <c r="G27" s="55">
        <f>'Расчёт аннуитета'!G25</f>
        <v>0.0</v>
      </c>
      <c r="H27" s="55">
        <f>'Расчёт аннуитета'!H25</f>
        <v>0.0</v>
      </c>
    </row>
    <row r="28">
      <c r="B28" s="22" t="inlineStr">
        <is>
          <t>Персонал</t>
        </is>
      </c>
      <c r="D28" s="55">
        <f>'Расчёт аннуитета'!D26</f>
        <v>150.283749987232</v>
      </c>
      <c r="E28" s="55">
        <f>'Расчёт аннуитета'!E26</f>
        <v>146.30486202344497</v>
      </c>
      <c r="F28" s="55">
        <f>'Расчёт аннуитета'!F26</f>
        <v>128.43535511958424</v>
      </c>
      <c r="G28" s="55">
        <f>'Расчёт аннуитета'!G26</f>
        <v>118.4136462254432</v>
      </c>
      <c r="H28" s="55">
        <f>'Расчёт аннуитета'!H26</f>
        <v>157.66713813560094</v>
      </c>
    </row>
    <row r="29">
      <c r="B29" s="22" t="inlineStr">
        <is>
          <t>Транспортный налог</t>
        </is>
      </c>
      <c r="D29" s="55">
        <f>'Расчёт аннуитета'!D27</f>
        <v>0.11479344365670176</v>
      </c>
      <c r="E29" s="55">
        <f>'Расчёт аннуитета'!E27</f>
        <v>0.11175419123369446</v>
      </c>
      <c r="F29" s="55">
        <f>'Расчёт аннуитета'!F27</f>
        <v>0.0981046633631452</v>
      </c>
      <c r="G29" s="55">
        <f>'Расчёт аннуитета'!G27</f>
        <v>0.09044963429059955</v>
      </c>
      <c r="H29" s="55">
        <f>'Расчёт аннуитета'!H27</f>
        <v>0.12219303566513616</v>
      </c>
    </row>
    <row r="30">
      <c r="B30" s="22" t="inlineStr">
        <is>
          <t>Налог (щит)</t>
        </is>
      </c>
      <c r="D30" s="55">
        <f>'Расчёт аннуитета'!D28</f>
        <v>-331.79535917061656</v>
      </c>
      <c r="E30" s="55">
        <f>'Расчёт аннуитета'!E28</f>
        <v>-222.56303419492667</v>
      </c>
      <c r="F30" s="55">
        <f>'Расчёт аннуитета'!F28</f>
        <v>-211.02777211703977</v>
      </c>
      <c r="G30" s="55">
        <f>'Расчёт аннуитета'!G28</f>
        <v>-243.5198869342421</v>
      </c>
      <c r="H30" s="55">
        <f>'Расчёт аннуитета'!H28</f>
        <v>-295.1873429335568</v>
      </c>
    </row>
  </sheetData>
  <mergeCells count="5">
    <mergeCell ref="B14:H14"/>
    <mergeCell ref="B1:K1"/>
    <mergeCell ref="C18:H18"/>
    <mergeCell ref="B2:K2"/>
    <mergeCell ref="B20:H20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str">
        <f>'Ввод данных'!D7</f>
        <v>YANGZI DR75
(аналог Epiroc DM75)</v>
      </c>
      <c r="E4" s="15" t="str">
        <f>'Ввод данных'!E7</f>
        <v>Sunward
SWDRT250SM</v>
      </c>
      <c r="F4" s="15" t="str">
        <f>'Ввод данных'!F7</f>
        <v>Sunward
SWDRT270SM</v>
      </c>
      <c r="G4" s="15" t="str">
        <f>'Ввод данных'!G7</f>
        <v>Sunward
SWDRT270B</v>
      </c>
      <c r="H4" s="15" t="str">
        <f>'Ввод данных'!H7</f>
        <v>HIFO 75D
(аналог DM75)</v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3">
        <f>'Производительность'!D5</f>
        <v>152000.0</v>
      </c>
      <c r="E6" s="53">
        <f>'Производительность'!E5</f>
        <v>112000.0</v>
      </c>
      <c r="F6" s="53">
        <f>'Производительность'!F5</f>
        <v>136000.0</v>
      </c>
      <c r="G6" s="53">
        <f>'Производительность'!G5</f>
        <v>136000.0</v>
      </c>
      <c r="H6" s="53">
        <f>'Производительность'!H5</f>
        <v>132000.0</v>
      </c>
    </row>
    <row r="7">
      <c r="B7" s="22" t="inlineStr">
        <is>
          <t>Средний годовой объём бурения</t>
        </is>
      </c>
      <c r="C7" s="24" t="inlineStr">
        <is>
          <t>тыс.пог.м</t>
        </is>
      </c>
      <c r="D7" s="53">
        <f>'Расчёт аннуитета'!D17</f>
        <v>104.5355868570933</v>
      </c>
      <c r="E7" s="53">
        <f>'Расчёт аннуитета'!E17</f>
        <v>107.37852305607248</v>
      </c>
      <c r="F7" s="53">
        <f>'Расчёт аннуитета'!F17</f>
        <v>122.3183443949109</v>
      </c>
      <c r="G7" s="53">
        <f>'Расчёт аннуитета'!G17</f>
        <v>132.67051983257335</v>
      </c>
      <c r="H7" s="53">
        <f>'Расчёт аннуитета'!H17</f>
        <v>99.64029401287584</v>
      </c>
    </row>
    <row r="8">
      <c r="B8" s="22" t="inlineStr">
        <is>
          <t>КТГ средний</t>
        </is>
      </c>
      <c r="C8" s="24" t="inlineStr">
        <is>
          <t>коэф.</t>
        </is>
      </c>
      <c r="D8" s="57">
        <f>AVERAGE('Данные по годам'!E7:N7)</f>
        <v>0.9051877219685439</v>
      </c>
      <c r="E8" s="57">
        <f>AVERAGE('Данные по годам'!E11:N11)</f>
        <v>0.8620542395991881</v>
      </c>
      <c r="F8" s="57">
        <f>AVERAGE('Данные по годам'!E15:N15)</f>
        <v>0.8620542395991881</v>
      </c>
      <c r="G8" s="57">
        <f>AVERAGE('Данные по годам'!E19:N19)</f>
        <v>0.9350125253678335</v>
      </c>
      <c r="H8" s="57">
        <f>AVERAGE('Данные по годам'!E23:N23)</f>
        <v>0.862798722095383</v>
      </c>
    </row>
    <row r="9">
      <c r="B9" s="39" t="inlineStr">
        <is>
          <t>Аннуитет</t>
        </is>
      </c>
      <c r="C9" s="24" t="inlineStr">
        <is>
          <t>руб/пог.м</t>
        </is>
      </c>
      <c r="D9" s="56">
        <f>'Расчёт аннуитета'!D30</f>
        <v>1068.0971597600267</v>
      </c>
      <c r="E9" s="56">
        <f>'Расчёт аннуитета'!E30</f>
        <v>719.8472045594854</v>
      </c>
      <c r="F9" s="56">
        <f>'Расчёт аннуитета'!F30</f>
        <v>688.682510471345</v>
      </c>
      <c r="G9" s="56">
        <f>'Расчёт аннуитета'!G30</f>
        <v>781.8204939030994</v>
      </c>
      <c r="H9" s="56">
        <f>'Расчёт аннуитета'!H30</f>
        <v>951.8080979239384</v>
      </c>
    </row>
    <row r="10">
      <c r="B10" s="22" t="inlineStr">
        <is>
          <t>Аннуитет</t>
        </is>
      </c>
      <c r="C10" s="24" t="inlineStr">
        <is>
          <t>руб/м³</t>
        </is>
      </c>
      <c r="D10" s="55">
        <f>'Расчёт аннуитета'!D32</f>
        <v>21.592988168604602</v>
      </c>
      <c r="E10" s="55">
        <f>'Расчёт аннуитета'!E32</f>
        <v>14.552657526725671</v>
      </c>
      <c r="F10" s="55">
        <f>'Расчёт аннуитета'!F32</f>
        <v>13.922622267691196</v>
      </c>
      <c r="G10" s="55">
        <f>'Расчёт аннуитета'!G32</f>
        <v>15.8055290387769</v>
      </c>
      <c r="H10" s="55">
        <f>'Расчёт аннуитета'!H32</f>
        <v>19.242051913958118</v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3">
        <f>'Расчёт аннуитета'!D16</f>
        <v>630870.9253505189</v>
      </c>
      <c r="E11" s="53">
        <f>'Расчёт аннуитета'!E16</f>
        <v>436740.3717647285</v>
      </c>
      <c r="F11" s="53">
        <f>'Расчёт аннуитета'!F16</f>
        <v>475966.3379742011</v>
      </c>
      <c r="G11" s="53">
        <f>'Расчёт аннуитета'!G16</f>
        <v>586066.7355990346</v>
      </c>
      <c r="H11" s="53">
        <f>'Расчёт аннуитета'!H16</f>
        <v>535858.330439799</v>
      </c>
    </row>
    <row r="12">
      <c r="B12" s="22" t="inlineStr">
        <is>
          <t>Доля CAPEX</t>
        </is>
      </c>
      <c r="C12" s="24" t="inlineStr">
        <is>
          <t>%</t>
        </is>
      </c>
      <c r="D12" s="57">
        <f>'Расчёт аннуитета'!D20/'Расчёт аннуитета'!D30</f>
        <v>0.24093676517989338</v>
      </c>
      <c r="E12" s="57">
        <f>'Расчёт аннуитета'!E20/'Расчёт аннуитета'!E30</f>
        <v>0.25644526414501995</v>
      </c>
      <c r="F12" s="57">
        <f>'Расчёт аннуитета'!F20/'Расчёт аннуитета'!F30</f>
        <v>0.28573449244087434</v>
      </c>
      <c r="G12" s="57">
        <f>'Расчёт аннуитета'!G20/'Расчёт аннуитета'!G30</f>
        <v>0.23205548402434195</v>
      </c>
      <c r="H12" s="57">
        <f>'Расчёт аннуитета'!H20/'Расчёт аннуитета'!H30</f>
        <v>0.24633376491816905</v>
      </c>
    </row>
    <row r="13">
      <c r="B13" s="22" t="inlineStr">
        <is>
          <t>Доля топлива/энергии</t>
        </is>
      </c>
      <c r="C13" s="24" t="inlineStr">
        <is>
          <t>%</t>
        </is>
      </c>
      <c r="D13" s="57">
        <f>'Расчёт аннуитета'!D21/'Расчёт аннуитета'!D30</f>
        <v>0.2526214734113607</v>
      </c>
      <c r="E13" s="57">
        <f>'Расчёт аннуитета'!E21/'Расчёт аннуитета'!E30</f>
        <v>0.20241342320664815</v>
      </c>
      <c r="F13" s="57">
        <f>'Расчёт аннуитета'!F21/'Расчёт аннуитета'!F30</f>
        <v>0.24044357192735016</v>
      </c>
      <c r="G13" s="57">
        <f>'Расчёт аннуитета'!G21/'Расчёт аннуитета'!G30</f>
        <v>0.3152849563865404</v>
      </c>
      <c r="H13" s="57">
        <f>'Расчёт аннуитета'!H21/'Расчёт аннуитета'!H30</f>
        <v>0.3988930078809472</v>
      </c>
    </row>
    <row r="14">
      <c r="B14" s="22" t="inlineStr">
        <is>
          <t>Доля ТОиР</t>
        </is>
      </c>
      <c r="C14" s="24" t="inlineStr">
        <is>
          <t>%</t>
        </is>
      </c>
      <c r="D14" s="57">
        <f>'Расчёт аннуитета'!D22/'Расчёт аннуитета'!D30</f>
        <v>0.24620544740846828</v>
      </c>
      <c r="E14" s="57">
        <f>'Расчёт аннуитета'!E22/'Расчёт аннуитета'!E30</f>
        <v>0.6469226749957017</v>
      </c>
      <c r="F14" s="57">
        <f>'Расчёт аннуитета'!F22/'Расчёт аннуитета'!F30</f>
        <v>0.5936076294453618</v>
      </c>
      <c r="G14" s="57">
        <f>'Расчёт аннуитета'!G22/'Расчёт аннуитета'!G30</f>
        <v>0.6125630055200233</v>
      </c>
      <c r="H14" s="57">
        <f>'Расчёт аннуитета'!H22/'Расчёт аннуитета'!H30</f>
        <v>0.4991279685210931</v>
      </c>
    </row>
    <row r="15">
      <c r="B15" s="39" t="inlineStr">
        <is>
          <t>Место в рейтинге</t>
        </is>
      </c>
      <c r="C15" s="24" t="inlineStr"/>
      <c r="D15" s="66">
        <f>RANK(D9,D9:H9,1)</f>
        <v>5.0</v>
      </c>
      <c r="E15" s="66">
        <f>RANK(E9,D9:H9,1)</f>
        <v>2.0</v>
      </c>
      <c r="F15" s="66">
        <f>RANK(F9,D9:H9,1)</f>
        <v>1.0</v>
      </c>
      <c r="G15" s="66">
        <f>RANK(G9,D9:H9,1)</f>
        <v>3.0</v>
      </c>
      <c r="H15" s="66">
        <f>RANK(H9,D9:H9,1)</f>
        <v>4.0</v>
      </c>
    </row>
    <row r="16">
      <c r="B16" s="5" t="inlineStr">
        <is>
          <t>РАЗЛОЖЕНИЕ ПРЕВЫШЕНИЯ АННУИТЕТА НАД ЛУЧШИМ (руб/пог.м)</t>
        </is>
      </c>
      <c r="C16" s="4" t="n"/>
      <c r="D16" s="4" t="n"/>
      <c r="E16" s="4" t="n"/>
      <c r="F16" s="4" t="n"/>
      <c r="G16" s="4" t="n"/>
      <c r="H16" s="4" t="n"/>
    </row>
    <row r="17">
      <c r="B17" s="22" t="inlineStr">
        <is>
          <t>Δ инвестиции</t>
        </is>
      </c>
      <c r="C17" s="24" t="inlineStr">
        <is>
          <t>руб/пог.м</t>
        </is>
      </c>
      <c r="D17" s="55">
        <f>'Расчёт аннуитета'!D20-MIN(D20:H20)</f>
        <v>918.8520651123864</v>
      </c>
      <c r="E17" s="55">
        <f>'Расчёт аннуитета'!E20-MIN(D20:H20)</f>
        <v>846.1095970592853</v>
      </c>
      <c r="F17" s="55">
        <f>'Расчёт аннуитета'!F20-MIN(D20:H20)</f>
        <v>858.2885381244107</v>
      </c>
      <c r="G17" s="55">
        <f>'Расчёт аннуитета'!G20-MIN(D20:H20)</f>
        <v>842.9339236748076</v>
      </c>
      <c r="H17" s="55">
        <f>'Расчёт аннуитета'!H20-MIN(D20:H20)</f>
        <v>895.9706627831789</v>
      </c>
    </row>
    <row r="18">
      <c r="B18" s="22" t="inlineStr">
        <is>
          <t>Δ топливо/энергия</t>
        </is>
      </c>
      <c r="C18" s="24" t="inlineStr">
        <is>
          <t>руб/пог.м</t>
        </is>
      </c>
      <c r="D18" s="55">
        <f>'Расчёт аннуитета'!D21-MIN(D21:H21)</f>
        <v>601.6196374156841</v>
      </c>
      <c r="E18" s="55">
        <f>'Расчёт аннуитета'!E21-MIN(D21:H21)</f>
        <v>477.5020960312383</v>
      </c>
      <c r="F18" s="55">
        <f>'Расчёт аннуитета'!F21-MIN(D21:H21)</f>
        <v>497.3846419122415</v>
      </c>
      <c r="G18" s="55">
        <f>'Расчёт аннуитета'!G21-MIN(D21:H21)</f>
        <v>578.2915994929588</v>
      </c>
      <c r="H18" s="55">
        <f>'Расчёт аннуитета'!H21-MIN(D21:H21)</f>
        <v>711.4649542769396</v>
      </c>
    </row>
    <row r="19">
      <c r="B19" s="22" t="inlineStr">
        <is>
          <t>Δ ТОиР</t>
        </is>
      </c>
      <c r="C19" s="24" t="inlineStr">
        <is>
          <t>руб/пог.м</t>
        </is>
      </c>
      <c r="D19" s="55">
        <f>'Расчёт аннуитета'!D22-MIN(D22:H22)</f>
        <v>262.9713390944316</v>
      </c>
      <c r="E19" s="55">
        <f>'Расчёт аннуитета'!E22-MIN(D22:H22)</f>
        <v>465.68547916180034</v>
      </c>
      <c r="F19" s="55">
        <f>'Расчёт аннуитета'!F22-MIN(D22:H22)</f>
        <v>408.8071924813757</v>
      </c>
      <c r="G19" s="55">
        <f>'Расчёт аннуитета'!G22-MIN(D22:H22)</f>
        <v>478.9143115224316</v>
      </c>
      <c r="H19" s="55">
        <f>'Расчёт аннуитета'!H22-MIN(D22:H22)</f>
        <v>475.074042338701</v>
      </c>
    </row>
    <row r="20">
      <c r="B20" s="22" t="inlineStr">
        <is>
          <t>Δ персонал</t>
        </is>
      </c>
      <c r="C20" s="24" t="inlineStr">
        <is>
          <t>руб/пог.м</t>
        </is>
      </c>
      <c r="D20" s="55">
        <f>'Расчёт аннуитета'!D26-MIN(D26:H26)</f>
        <v>-629.6380867801851</v>
      </c>
      <c r="E20" s="55">
        <f>'Расчёт аннуитета'!E26-MIN(D26:H26)</f>
        <v>-633.6169747439722</v>
      </c>
      <c r="F20" s="55">
        <f>'Расчёт аннуитета'!F26-MIN(D26:H26)</f>
        <v>-651.4864816478328</v>
      </c>
      <c r="G20" s="55">
        <f>'Расчёт аннуитета'!G26-MIN(D26:H26)</f>
        <v>-661.5081905419738</v>
      </c>
      <c r="H20" s="55">
        <f>'Расчёт аннуитета'!H26-MIN(D26:H26)</f>
        <v>-622.2546986318162</v>
      </c>
    </row>
    <row r="21">
      <c r="B21" s="22" t="inlineStr">
        <is>
          <t>Δ налог (щит)</t>
        </is>
      </c>
      <c r="C21" s="24" t="inlineStr">
        <is>
          <t>руб/пог.м</t>
        </is>
      </c>
      <c r="D21" s="55">
        <f>'Расчёт аннуитета'!D28-MIN(D28:H28)</f>
        <v>-331.79535917061656</v>
      </c>
      <c r="E21" s="55">
        <f>'Расчёт аннуитета'!E28-MIN(D28:H28)</f>
        <v>-222.56303419492667</v>
      </c>
      <c r="F21" s="55">
        <f>'Расчёт аннуитета'!F28-MIN(D28:H28)</f>
        <v>-211.02777211703977</v>
      </c>
      <c r="G21" s="55">
        <f>'Расчёт аннуитета'!G28-MIN(D28:H28)</f>
        <v>-243.5198869342421</v>
      </c>
      <c r="H21" s="55">
        <f>'Расчёт аннуитета'!H28-MIN(D28:H28)</f>
        <v>-295.1873429335568</v>
      </c>
    </row>
    <row r="22">
      <c r="B22" s="39" t="inlineStr">
        <is>
          <t>ИТОГО превышение над лучшим</t>
        </is>
      </c>
      <c r="C22" s="24" t="inlineStr">
        <is>
          <t>руб/пог.м</t>
        </is>
      </c>
      <c r="D22" s="56">
        <f>D9-MIN(D9:H9)</f>
        <v>379.41464928868163</v>
      </c>
      <c r="E22" s="56">
        <f>E9-MIN(D9:H9)</f>
        <v>31.164694088140322</v>
      </c>
      <c r="F22" s="56">
        <f>F9-MIN(D9:H9)</f>
        <v>0.0</v>
      </c>
      <c r="G22" s="56">
        <f>G9-MIN(D9:H9)</f>
        <v>93.13798343175438</v>
      </c>
      <c r="H22" s="56">
        <f>H9-MIN(D9:H9)</f>
        <v>263.1255874525933</v>
      </c>
    </row>
    <row r="23">
      <c r="B23" s="5" t="inlineStr">
        <is>
          <t>ДИАПАЗОН РИСКА АННУИТЕТА (руб/пог.м)</t>
        </is>
      </c>
      <c r="C23" s="4" t="n"/>
      <c r="D23" s="4" t="n"/>
      <c r="E23" s="4" t="n"/>
      <c r="F23" s="4" t="n"/>
      <c r="G23" s="4" t="n"/>
      <c r="H23" s="4" t="n"/>
    </row>
    <row r="24">
      <c r="B24" s="22" t="inlineStr">
        <is>
          <t>Оптимистичный (КТГ +10%, ДТ −20%)</t>
        </is>
      </c>
      <c r="C24" s="24" t="inlineStr">
        <is>
          <t>руб/пог.м</t>
        </is>
      </c>
      <c r="D24" s="55">
        <f>('Расчёт аннуитета'!D20+'Расчёт аннуитета'!D22+'Расчёт аннуитета'!D26+'Расчёт аннуитета'!D27+'Расчёт аннуитета'!D28)/1.1+('Расчёт аннуитета'!D21+'Расчёт аннуитета'!D23+'Расчёт аннуитета'!D24+'Расчёт аннуитета'!D25)-0.2*'Расчёт аннуитета'!D21</f>
        <v>983.3215406632751</v>
      </c>
      <c r="E24" s="55">
        <f>('Расчёт аннуитета'!E20+'Расчёт аннуитета'!E22+'Расчёт аннуитета'!E26+'Расчёт аннуитета'!E27+'Расчёт аннуитета'!E28)/1.1+('Расчёт аннуитета'!E21+'Расчёт аннуитета'!E23+'Расчёт аннуитета'!E24+'Расчёт аннуитета'!E25)-0.2*'Расчёт аннуитета'!E21</f>
        <v>638.511269214737</v>
      </c>
      <c r="F24" s="55">
        <f>('Расчёт аннуитета'!F20+'Расчёт аннуитета'!F22+'Расчёт аннуитета'!F26+'Расчёт аннуитета'!F27+'Расчёт аннуитета'!F28)/1.1+('Расчёт аннуитета'!F21+'Расчёт аннуитета'!F23+'Расчёт аннуитета'!F24+'Расчёт аннуитета'!F25)-0.2*'Расчёт аннуитета'!F21</f>
        <v>608.0107241294094</v>
      </c>
      <c r="G24" s="55">
        <f>('Расчёт аннуитета'!G20+'Расчёт аннуитета'!G22+'Расчёт аннуитета'!G26+'Расчёт аннуитета'!G27+'Расчёт аннуитета'!G28)/1.1+('Расчёт аннуитета'!G21+'Расчёт аннуитета'!G23+'Расчёт аннуитета'!G24+'Расчёт аннуитета'!G25)-0.2*'Расчёт аннуитета'!G21</f>
        <v>683.8554046040166</v>
      </c>
      <c r="H24" s="55">
        <f>('Расчёт аннуитета'!H20+'Расчёт аннуитета'!H22+'Расчёт аннуитета'!H26+'Расчёт аннуитета'!H27+'Расчёт аннуитета'!H28)/1.1+('Расчёт аннуитета'!H21+'Расчёт аннуитета'!H23+'Расчёт аннуитета'!H24+'Расчёт аннуитета'!H25)-0.2*'Расчёт аннуитета'!H21</f>
        <v>823.8615877374359</v>
      </c>
    </row>
    <row r="25">
      <c r="B25" s="39" t="inlineStr">
        <is>
          <t>Базовый</t>
        </is>
      </c>
      <c r="C25" s="24" t="inlineStr">
        <is>
          <t>руб/пог.м</t>
        </is>
      </c>
      <c r="D25" s="56">
        <f>'Расчёт аннуитета'!D30</f>
        <v>1068.0971597600267</v>
      </c>
      <c r="E25" s="56">
        <f>'Расчёт аннуитета'!E30</f>
        <v>719.8472045594854</v>
      </c>
      <c r="F25" s="56">
        <f>'Расчёт аннуитета'!F30</f>
        <v>688.682510471345</v>
      </c>
      <c r="G25" s="56">
        <f>'Расчёт аннуитета'!G30</f>
        <v>781.8204939030994</v>
      </c>
      <c r="H25" s="56">
        <f>'Расчёт аннуитета'!H30</f>
        <v>951.8080979239384</v>
      </c>
    </row>
    <row r="26">
      <c r="B26" s="22" t="inlineStr">
        <is>
          <t>Пессимистичный (КТГ −10%, ДТ +20%)</t>
        </is>
      </c>
      <c r="C26" s="24" t="inlineStr">
        <is>
          <t>руб/пог.м</t>
        </is>
      </c>
      <c r="D26" s="55">
        <f>('Расчёт аннуитета'!D20+'Расчёт аннуитета'!D22+'Расчёт аннуитета'!D26+'Расчёт аннуитета'!D27+'Расчёт аннуитета'!D28)/0.9+('Расчёт аннуитета'!D21+'Расчёт аннуитета'!D23+'Расчёт аннуитета'!D24+'Расчёт аннуитета'!D25)+0.2*'Расчёт аннуитета'!D21</f>
        <v>1159.7196151784976</v>
      </c>
      <c r="E26" s="55">
        <f>('Расчёт аннуитета'!E20+'Расчёт аннуитета'!E22+'Расчёт аннуитета'!E26+'Расчёт аннуитета'!E27+'Расчёт аннуитета'!E28)/0.9+('Расчёт аннуитета'!E21+'Расчёт аннуитета'!E23+'Расчёт аннуитета'!E24+'Расчёт аннуитета'!E25)+0.2*'Расчёт аннуитета'!E21</f>
        <v>812.7819372314834</v>
      </c>
      <c r="F26" s="55">
        <f>('Расчёт аннуитета'!F20+'Расчёт аннуитета'!F22+'Расчёт аннуитета'!F26+'Расчёт аннуитета'!F27+'Расчёт аннуитета'!F28)/0.9+('Расчёт аннуитета'!F21+'Расчёт аннуитета'!F23+'Расчёт аннуитета'!F24+'Расчёт аннуитета'!F25)+0.2*'Расчёт аннуитета'!F21</f>
        <v>779.9218367674171</v>
      </c>
      <c r="G26" s="55">
        <f>('Расчёт аннуитета'!G20+'Расчёт аннуитета'!G22+'Расчёт аннуитета'!G26+'Расчёт аннуитета'!G27+'Расчёт аннуитета'!G28)/0.9+('Расчёт аннуитета'!G21+'Расчёт аннуитета'!G23+'Расчёт аннуитета'!G24+'Расчёт аннуитета'!G25)+0.2*'Расчёт аннуитета'!G21</f>
        <v>890.6002145876519</v>
      </c>
      <c r="H26" s="55">
        <f>('Расчёт аннуитета'!H20+'Расчёт аннуитета'!H22+'Расчёт аннуитета'!H26+'Расчёт аннуитета'!H27+'Расчёт аннуитета'!H28)/0.9+('Расчёт аннуитета'!H21+'Расчёт аннуитета'!H23+'Расчёт аннуитета'!H24+'Расчёт аннуитета'!H25)+0.2*'Расчёт аннуитета'!H21</f>
        <v>1091.3129617027157</v>
      </c>
    </row>
    <row r="27">
      <c r="B27" s="22" t="inlineStr">
        <is>
          <t>Ширина диапазона (риск)</t>
        </is>
      </c>
      <c r="C27" s="24" t="inlineStr">
        <is>
          <t>руб/пог.м</t>
        </is>
      </c>
      <c r="D27" s="55">
        <f>D26-D24</f>
        <v>176.39807451522256</v>
      </c>
      <c r="E27" s="55">
        <f>E26-E24</f>
        <v>174.2706680167464</v>
      </c>
      <c r="F27" s="55">
        <f>F26-F24</f>
        <v>171.9111126380077</v>
      </c>
      <c r="G27" s="55">
        <f>G26-G24</f>
        <v>206.74480998363526</v>
      </c>
      <c r="H27" s="55">
        <f>H26-H24</f>
        <v>267.4513739652798</v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</row>
    <row r="29">
      <c r="B29" s="22" t="inlineStr">
        <is>
          <t>Эффект +1 п.п. КТГ на аннуитет</t>
        </is>
      </c>
      <c r="C29" s="24" t="inlineStr">
        <is>
          <t>руб/пог.м</t>
        </is>
      </c>
      <c r="D29" s="55">
        <f>-('Расчёт аннуитета'!D20+'Расчёт аннуитета'!D22+'Расчёт аннуитета'!D26+'Расчёт аннуитета'!D27+'Расчёт аннуитета'!D28)*0.01/AVERAGE('Данные по годам'!E7:N7)</f>
        <v>-3.744178027382634</v>
      </c>
      <c r="E29" s="55">
        <f>-('Расчёт аннуитета'!E20+'Расчёт аннуитета'!E22+'Расчёт аннуитета'!E26+'Расчёт аннуитета'!E27+'Расчёт аннуитета'!E28)*0.01/AVERAGE('Данные по годам'!E11:N11)</f>
        <v>-6.660143194305384</v>
      </c>
      <c r="F29" s="55">
        <f>-('Расчёт аннуитета'!F20+'Расчёт аннуитета'!F22+'Расчёт аннуитета'!F26+'Расчёт аннуитета'!F27+'Расчёт аннуитета'!F28)*0.01/AVERAGE('Данные по годам'!E15:N15)</f>
        <v>-6.067985095380221</v>
      </c>
      <c r="G29" s="55">
        <f>-('Расчёт аннуитета'!G20+'Расчёт аннуитета'!G22+'Расчёт аннуитета'!G26+'Расчёт аннуитета'!G27+'Расчёт аннуитета'!G28)*0.01/AVERAGE('Данные по годам'!E19:N19)</f>
        <v>-5.725316389426557</v>
      </c>
      <c r="H29" s="55">
        <f>-('Расчёт аннуитета'!H20+'Расчёт аннуитета'!H22+'Расчёт аннуитета'!H26+'Расчёт аннуитета'!H27+'Расчёт аннуитета'!H28)*0.01/AVERAGE('Данные по годам'!E23:N23)</f>
        <v>-6.631193210719257</v>
      </c>
    </row>
    <row r="31">
      <c r="B31" s="72" t="inlineStr">
        <is>
          <t>ВЫВОД:</t>
        </is>
      </c>
      <c r="C31" s="76" t="str">
        <f>"Лучший по удельному TCO: "&amp;INDEX(D4:H4,MATCH(MIN(D9:H9),D9:H9,0))&amp;" ("&amp;TEXT(MIN(D9:H9),"0.00")&amp;" руб/пог.м, "&amp;TEXT(MIN(D10:H10),"0.00")&amp;" руб/м³). "&amp;"Отрыв от худшего: "&amp;TEXT(MAX(D9:H9)-MIN(D9:H9),"0.00")&amp;" руб/пог.м."</f>
        <v>Лучший по удельному TCO: Sunward
SWDRT270SM (688.68 руб/пог.м, 13.92 руб/м³). Отрыв от худшего: 379.41 руб/пог.м.</v>
      </c>
      <c r="D31" s="77" t="n"/>
      <c r="E31" s="77" t="n"/>
      <c r="F31" s="77" t="n"/>
      <c r="G31" s="77" t="n"/>
      <c r="H31" s="77" t="n"/>
    </row>
    <row r="33">
      <c r="B33" s="7" t="inlineStr">
        <is>
          <t>Метод (лучшие практики):</t>
        </is>
      </c>
    </row>
    <row r="34">
      <c r="B34" s="61" t="inlineStr">
        <is>
          <t>•  Levelized cost — приведённые затраты на единицу продукции (руб/пог.м, руб/м³) уравнивают станки с разной ценой и производительностью.</t>
        </is>
      </c>
    </row>
    <row r="35">
      <c r="B35" s="61" t="inlineStr">
        <is>
          <t>•  Многокритериальная оценка — не только цена, но и структура затрат, КТГ, доля топлива.</t>
        </is>
      </c>
    </row>
    <row r="36">
      <c r="B36" s="61" t="inlineStr">
        <is>
          <t>•  Разложение над лучшим — показывает, за счёт каких статей вариант дороже (управляемость).</t>
        </is>
      </c>
    </row>
    <row r="37">
      <c r="B37" s="61" t="inlineStr">
        <is>
          <t>•  Диапазон риска — устойчивость выбора к колебаниям КТГ и цены топлива.</t>
        </is>
      </c>
    </row>
    <row r="38">
      <c r="B38" s="61" t="inlineStr">
        <is>
          <t>•  Ценность готовности — сколько руб/пог.м даёт рост КТГ на 1 п.п. (обоснование сервисного контракта).</t>
        </is>
      </c>
    </row>
  </sheetData>
  <mergeCells count="12">
    <mergeCell ref="B1:K1"/>
    <mergeCell ref="B36:K36"/>
    <mergeCell ref="B37:K37"/>
    <mergeCell ref="B35:K35"/>
    <mergeCell ref="C31:H31"/>
    <mergeCell ref="B16:H16"/>
    <mergeCell ref="B38:K38"/>
    <mergeCell ref="B2:K2"/>
    <mergeCell ref="B34:K34"/>
    <mergeCell ref="B5:H5"/>
    <mergeCell ref="B28:H28"/>
    <mergeCell ref="B23:H23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станок (1–5):</t>
        </is>
      </c>
      <c r="C4" s="38" t="n">
        <v>1</v>
      </c>
      <c r="D4" s="78" t="str">
        <f>INDEX('Ввод данных'!D7:H7,$C$4)</f>
        <v>YANGZI DR75
(аналог Epiroc DM75)</v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руб/пог.м</t>
        </is>
      </c>
      <c r="D7" s="55">
        <f>INDEX('Расчёт аннуитета'!D30:H30,$C$4)</f>
        <v>1068.0971597600267</v>
      </c>
    </row>
    <row r="8">
      <c r="B8" s="22" t="inlineStr">
        <is>
          <t>— инвестиционный</t>
        </is>
      </c>
      <c r="C8" s="24" t="inlineStr">
        <is>
          <t>руб/пог.м</t>
        </is>
      </c>
      <c r="D8" s="55">
        <f>INDEX('Расчёт аннуитета'!D20:H20,$C$4)</f>
        <v>257.3438745704126</v>
      </c>
    </row>
    <row r="9">
      <c r="B9" s="22" t="inlineStr">
        <is>
          <t>— топливо/энергия</t>
        </is>
      </c>
      <c r="C9" s="24" t="inlineStr">
        <is>
          <t>руб/пог.м</t>
        </is>
      </c>
      <c r="D9" s="55">
        <f>INDEX('Расчёт аннуитета'!D21:H21,$C$4)</f>
        <v>269.8242782450675</v>
      </c>
    </row>
    <row r="10">
      <c r="B10" s="22" t="inlineStr">
        <is>
          <t>— ТОиР + капремонты</t>
        </is>
      </c>
      <c r="C10" s="24" t="inlineStr">
        <is>
          <t>руб/пог.м</t>
        </is>
      </c>
      <c r="D10" s="55">
        <f>INDEX('Расчёт аннуитета'!D22:H22,$C$4)</f>
        <v>262.9713390944316</v>
      </c>
    </row>
    <row r="11">
      <c r="B11" s="22" t="inlineStr">
        <is>
          <t>— персонал</t>
        </is>
      </c>
      <c r="C11" s="24" t="inlineStr">
        <is>
          <t>руб/пог.м</t>
        </is>
      </c>
      <c r="D11" s="55">
        <f>INDEX('Расчёт аннуитета'!D26:H26,$C$4)</f>
        <v>150.283749987232</v>
      </c>
    </row>
    <row r="12">
      <c r="B12" s="22" t="inlineStr">
        <is>
          <t>Средний годовой объём бурения</t>
        </is>
      </c>
      <c r="C12" s="24" t="inlineStr">
        <is>
          <t>тыс.пог.м</t>
        </is>
      </c>
      <c r="D12" s="53">
        <f>INDEX('Расчёт аннуитета'!D17:H17,$C$4)</f>
        <v>104.5355868570933</v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3">
        <f>INDEX('Производительность'!D5:H5,$C$4)</f>
        <v>152000.0</v>
      </c>
    </row>
    <row r="14">
      <c r="B14" s="22" t="inlineStr">
        <is>
          <t>Постоянные (инв+ТОиР+перс+налоги)</t>
        </is>
      </c>
      <c r="C14" s="24" t="inlineStr">
        <is>
          <t>руб/пог.м</t>
        </is>
      </c>
      <c r="D14" s="55">
        <f>INDEX('Расчёт аннуитета'!D20:H20,$C$4)+INDEX('Расчёт аннуитета'!D22:H22,$C$4)+INDEX('Расчёт аннуитета'!D26:H26,$C$4)+INDEX('Расчёт аннуитета'!D27:H27,$C$4)+INDEX('Расчёт аннуитета'!D28:H28,$C$4)</f>
        <v>338.91839792511627</v>
      </c>
    </row>
    <row r="15">
      <c r="B15" s="22" t="inlineStr">
        <is>
          <t>Переменные (топл+инструм+расходн)</t>
        </is>
      </c>
      <c r="C15" s="24" t="inlineStr">
        <is>
          <t>руб/пог.м</t>
        </is>
      </c>
      <c r="D15" s="55">
        <f>INDEX('Расчёт аннуитета'!D21:H21,$C$4)+INDEX('Расчёт аннуитета'!D23:H23,$C$4)+INDEX('Расчёт аннуитета'!D24:H24,$C$4)+INDEX('Расчёт аннуитета'!D25:H25,$C$4)</f>
        <v>729.1787618349103</v>
      </c>
    </row>
    <row r="17">
      <c r="B17" s="5" t="inlineStr">
        <is>
          <t>ТОРНАДО: ВЛИЯНИЕ ДРАЙВЕРОВ НА ОБЩИЙ АННУИТЕТ (руб/пог.м)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79" t="inlineStr">
        <is>
          <t>низкое</t>
        </is>
      </c>
      <c r="J18" s="79" t="inlineStr">
        <is>
          <t>высокое</t>
        </is>
      </c>
    </row>
    <row r="19">
      <c r="B19" s="22" t="inlineStr">
        <is>
          <t>Расход / цена ДТ</t>
        </is>
      </c>
      <c r="C19" s="80" t="inlineStr">
        <is>
          <t>±20%</t>
        </is>
      </c>
      <c r="D19" s="55">
        <f>$D$7-0.2*($D$9*(1-'Параметры'!C7))</f>
        <v>1027.6235180232666</v>
      </c>
      <c r="E19" s="55">
        <f>$D$7+0.2*($D$9*(1-'Параметры'!C7))</f>
        <v>1108.5708014967868</v>
      </c>
      <c r="F19" s="55">
        <f>E19-D19</f>
        <v>80.9472834735202</v>
      </c>
      <c r="I19" s="81">
        <f>D19-$D$7</f>
        <v>-40.4736417367601</v>
      </c>
      <c r="J19" s="81">
        <f>E19-$D$7</f>
        <v>40.4736417367601</v>
      </c>
    </row>
    <row r="20">
      <c r="B20" s="22" t="inlineStr">
        <is>
          <t>Затраты на ТОиР/ремонты</t>
        </is>
      </c>
      <c r="C20" s="80" t="inlineStr">
        <is>
          <t>±25%</t>
        </is>
      </c>
      <c r="D20" s="55">
        <f>$D$7-0.25*($D$10*(1-'Параметры'!C7))</f>
        <v>1018.7900336798208</v>
      </c>
      <c r="E20" s="55">
        <f>$D$7+0.25*($D$10*(1-'Параметры'!C7))</f>
        <v>1117.4042858402327</v>
      </c>
      <c r="F20" s="55">
        <f>E20-D20</f>
        <v>98.61425216041187</v>
      </c>
      <c r="I20" s="81">
        <f>D20-$D$7</f>
        <v>-49.307126080205876</v>
      </c>
      <c r="J20" s="81">
        <f>E20-$D$7</f>
        <v>49.30712608020599</v>
      </c>
    </row>
    <row r="21">
      <c r="B21" s="22" t="inlineStr">
        <is>
          <t>Цена приобретения</t>
        </is>
      </c>
      <c r="C21" s="80" t="inlineStr">
        <is>
          <t>±15%</t>
        </is>
      </c>
      <c r="D21" s="55">
        <f>$D$7-0.15*($D$8*(1-'Параметры'!C7*'Параметры'!C40))</f>
        <v>1036.4193082865486</v>
      </c>
      <c r="E21" s="55">
        <f>$D$7+0.15*($D$8*(1-'Параметры'!C7*'Параметры'!C40))</f>
        <v>1099.7750112335048</v>
      </c>
      <c r="F21" s="55">
        <f>E21-D21</f>
        <v>63.35570294695617</v>
      </c>
      <c r="I21" s="81">
        <f>D21-$D$7</f>
        <v>-31.677851473478086</v>
      </c>
      <c r="J21" s="81">
        <f>E21-$D$7</f>
        <v>31.677851473478086</v>
      </c>
    </row>
    <row r="22">
      <c r="B22" s="22" t="inlineStr">
        <is>
          <t>Расходы на персонал</t>
        </is>
      </c>
      <c r="C22" s="80" t="inlineStr">
        <is>
          <t>±15%</t>
        </is>
      </c>
      <c r="D22" s="55">
        <f>$D$7-0.15*($D$11*(1-'Параметры'!C7))</f>
        <v>1051.1902378864631</v>
      </c>
      <c r="E22" s="55">
        <f>$D$7+0.15*($D$11*(1-'Параметры'!C7))</f>
        <v>1085.0040816335902</v>
      </c>
      <c r="F22" s="55">
        <f>E22-D22</f>
        <v>33.813843747127066</v>
      </c>
      <c r="I22" s="81">
        <f>D22-$D$7</f>
        <v>-16.906921873563533</v>
      </c>
      <c r="J22" s="81">
        <f>E22-$D$7</f>
        <v>16.906921873563533</v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2" t="inlineStr">
        <is>
          <t>Общий аннуитет, руб/пог.м</t>
        </is>
      </c>
      <c r="C27" s="67">
        <f>$D$14/(1+-0.15)+$D$15</f>
        <v>1127.9062888056353</v>
      </c>
      <c r="D27" s="67">
        <f>$D$14/(1+-0.1)+$D$15</f>
        <v>1105.754759529484</v>
      </c>
      <c r="E27" s="68">
        <f>$D$14/(1+0.0)+$D$15</f>
        <v>1068.0971597600267</v>
      </c>
      <c r="F27" s="67">
        <f>$D$14/(1+0.1)+$D$15</f>
        <v>1037.2863963122886</v>
      </c>
      <c r="G27" s="67">
        <f>$D$14/(1+0.15)+$D$15</f>
        <v>1023.8904122045767</v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2" t="n">
        <v>0.08</v>
      </c>
      <c r="D30" s="82" t="n">
        <v>0.1</v>
      </c>
      <c r="E30" s="82" t="n">
        <v>0.12</v>
      </c>
      <c r="F30" s="82" t="n">
        <v>0.14</v>
      </c>
      <c r="G30" s="82" t="n">
        <v>0.16</v>
      </c>
    </row>
    <row r="31">
      <c r="B31" s="52" t="inlineStr">
        <is>
          <t>Общий аннуитет, руб/пог.м (оценка)</t>
        </is>
      </c>
      <c r="C31" s="67">
        <f>$D$13*(1-INDEX('Ввод данных'!D14:H14,$C$4)/(1+C30)^'Параметры'!C8)/((1-(1+C30)^-'Параметры'!C8)/C30)/$D$12+$D$7-$D$8</f>
        <v>1027.4496558994547</v>
      </c>
      <c r="D31" s="67">
        <f>$D$13*(1-INDEX('Ввод данных'!D14:H14,$C$4)/(1+D30)^'Параметры'!C8)/((1-(1+D30)^-'Параметры'!C8)/D30)/$D$12+$D$7-$D$8</f>
        <v>1047.3932732155022</v>
      </c>
      <c r="E31" s="68">
        <f>$D$13*(1-INDEX('Ввод данных'!D14:H14,$C$4)/(1+E30)^'Параметры'!C8)/((1-(1+E30)^-'Параметры'!C8)/E30)/$D$12+$D$7-$D$8</f>
        <v>1068.097159760027</v>
      </c>
      <c r="F31" s="67">
        <f>$D$13*(1-INDEX('Ввод данных'!D14:H14,$C$4)/(1+F30)^'Параметры'!C8)/((1-(1+F30)^-'Параметры'!C8)/F30)/$D$12+$D$7-$D$8</f>
        <v>1089.514414144151</v>
      </c>
      <c r="G31" s="67">
        <f>$D$13*(1-INDEX('Ввод данных'!D14:H14,$C$4)/(1+G30)^'Параметры'!C8)/((1-(1+G30)^-'Параметры'!C8)/G30)/$D$12+$D$7-$D$8</f>
        <v>1111.5978642621235</v>
      </c>
    </row>
    <row r="33">
      <c r="B33" s="61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I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250–270 мм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80" t="inlineStr">
        <is>
          <t>12%</t>
        </is>
      </c>
      <c r="D5" s="80" t="inlineStr">
        <is>
          <t>8–16%</t>
        </is>
      </c>
      <c r="E5" s="22" t="inlineStr">
        <is>
          <t>Согласуется с эскалацией</t>
        </is>
      </c>
    </row>
    <row r="6">
      <c r="B6" s="83" t="inlineStr">
        <is>
          <t>Налог на прибыль</t>
        </is>
      </c>
      <c r="C6" s="84" t="inlineStr">
        <is>
          <t>25%</t>
        </is>
      </c>
      <c r="D6" s="84" t="inlineStr">
        <is>
          <t>20–25%</t>
        </is>
      </c>
      <c r="E6" s="83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80" t="inlineStr">
        <is>
          <t>0,85–0,93</t>
        </is>
      </c>
      <c r="D7" s="80" t="inlineStr">
        <is>
          <t>0,80–0,95</t>
        </is>
      </c>
      <c r="E7" s="22" t="inlineStr">
        <is>
          <t>Зависит от бренда и сервиса</t>
        </is>
      </c>
    </row>
    <row r="8">
      <c r="B8" s="83" t="inlineStr">
        <is>
          <t>КИО (использование)</t>
        </is>
      </c>
      <c r="C8" s="84" t="inlineStr">
        <is>
          <t>0,72–0,75</t>
        </is>
      </c>
      <c r="D8" s="84" t="inlineStr">
        <is>
          <t>0,65–0,80</t>
        </is>
      </c>
      <c r="E8" s="83" t="inlineStr">
        <is>
          <t>Доля рабочего времени в КФВ</t>
        </is>
      </c>
    </row>
    <row r="9">
      <c r="B9" s="22" t="inlineStr">
        <is>
          <t>Часовая производительность</t>
        </is>
      </c>
      <c r="C9" s="80" t="inlineStr">
        <is>
          <t>16–20</t>
        </is>
      </c>
      <c r="D9" s="80" t="inlineStr">
        <is>
          <t>14–36 п.м/час</t>
        </is>
      </c>
      <c r="E9" s="22" t="inlineStr">
        <is>
          <t>Мощность вращателя, крепость породы, диаметр</t>
        </is>
      </c>
    </row>
    <row r="10">
      <c r="B10" s="83" t="inlineStr">
        <is>
          <t>Мощность вращателя</t>
        </is>
      </c>
      <c r="C10" s="84" t="inlineStr">
        <is>
          <t>136–173</t>
        </is>
      </c>
      <c r="D10" s="84" t="inlineStr">
        <is>
          <t>80–200 кВт</t>
        </is>
      </c>
      <c r="E10" s="83" t="inlineStr">
        <is>
          <t>Ключевой драйвер скорости бурения</t>
        </is>
      </c>
    </row>
    <row r="11">
      <c r="B11" s="22" t="inlineStr">
        <is>
          <t>Удельный расход ДТ</t>
        </is>
      </c>
      <c r="C11" s="80" t="inlineStr">
        <is>
          <t>39–94</t>
        </is>
      </c>
      <c r="D11" s="80" t="inlineStr">
        <is>
          <t>40–120 кг/ч</t>
        </is>
      </c>
      <c r="E11" s="22" t="inlineStr">
        <is>
          <t>Двигатель и режим</t>
        </is>
      </c>
    </row>
    <row r="12">
      <c r="B12" s="83" t="inlineStr">
        <is>
          <t>Выход с 1 пог.м</t>
        </is>
      </c>
      <c r="C12" s="84" t="inlineStr">
        <is>
          <t>19–49</t>
        </is>
      </c>
      <c r="D12" s="84" t="inlineStr">
        <is>
          <t>15–55 м³/пог.м</t>
        </is>
      </c>
      <c r="E12" s="83" t="inlineStr">
        <is>
          <t>Сетка БВР, диаметр скважины, порода</t>
        </is>
      </c>
    </row>
    <row r="13">
      <c r="B13" s="22" t="inlineStr">
        <is>
          <t>Срок амортизации (НУ)</t>
        </is>
      </c>
      <c r="C13" s="80" t="inlineStr">
        <is>
          <t>61 мес</t>
        </is>
      </c>
      <c r="D13" s="80" t="inlineStr">
        <is>
          <t>5–7 лет</t>
        </is>
      </c>
      <c r="E13" s="22" t="inlineStr">
        <is>
          <t>Линейная амортизация</t>
        </is>
      </c>
    </row>
    <row r="14">
      <c r="B14" s="83" t="inlineStr">
        <is>
          <t>Остаточная стоимость</t>
        </is>
      </c>
      <c r="C14" s="84" t="inlineStr">
        <is>
          <t>0–10%</t>
        </is>
      </c>
      <c r="D14" s="84" t="inlineStr">
        <is>
          <t>0–20%</t>
        </is>
      </c>
      <c r="E14" s="83" t="inlineStr">
        <is>
          <t>Реализация в конце срока</t>
        </is>
      </c>
    </row>
    <row r="15">
      <c r="B15" s="22" t="inlineStr">
        <is>
          <t>Долота (удельный расход)</t>
        </is>
      </c>
      <c r="C15" s="80" t="inlineStr">
        <is>
          <t>1–3</t>
        </is>
      </c>
      <c r="D15" s="80" t="inlineStr">
        <is>
          <t>0,5–5 шт/тыс.пог.м</t>
        </is>
      </c>
      <c r="E15" s="22" t="inlineStr">
        <is>
          <t>Порода, диаметр, тип долота</t>
        </is>
      </c>
    </row>
    <row r="17">
      <c r="B17" s="7" t="inlineStr">
        <is>
          <t>Методические примечания:</t>
        </is>
      </c>
    </row>
    <row r="18">
      <c r="B18" s="85" t="inlineStr">
        <is>
          <t>•  Часовая производительность считается по физике бурения (методика листа «W час» исходного файла): скорость бурения зависит от мощности вращателя, крепости породы и диаметра заряда.</t>
        </is>
      </c>
    </row>
    <row r="19">
      <c r="B19" s="85" t="inlineStr">
        <is>
          <t>•  ТОиР задаётся по годам (ТО, текущие и капитальные ремонты, сервис) — «рваный» график капремонтов учитывается дисконтированием.</t>
        </is>
      </c>
    </row>
    <row r="20">
      <c r="B20" s="85" t="inlineStr">
        <is>
          <t>•  Цена станков в исходном файле не заполнена — в модель подставлена ОЦЕНКА; замените жёлтые ячейки данными ТКП.</t>
        </is>
      </c>
    </row>
    <row r="21">
      <c r="B21" s="85" t="inlineStr">
        <is>
          <t>•  Значения таблицы — ориентир порядка величин, а не норматив.</t>
        </is>
      </c>
    </row>
  </sheetData>
  <mergeCells count="6">
    <mergeCell ref="B18:I18"/>
    <mergeCell ref="B21:I21"/>
    <mergeCell ref="B2:I2"/>
    <mergeCell ref="B20:I20"/>
    <mergeCell ref="B19:I19"/>
    <mergeCell ref="B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2026-07-30T03:56:38Z</dcterms:created>
  <dcterms:modified xsi:type="dcterms:W3CDTF">2026-07-30T03:56:38Z</dcterms:modified>
</cp:coreProperties>
</file>